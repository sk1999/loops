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Loops\Productivity Vs Billing\2025\"/>
    </mc:Choice>
  </mc:AlternateContent>
  <xr:revisionPtr revIDLastSave="0" documentId="13_ncr:1_{E662C81A-B8E1-40EE-B6AF-CBAD55A7AB0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IVIL-Consolidated" sheetId="20" r:id="rId1"/>
    <sheet name="MEP-Consolidated" sheetId="19" r:id="rId2"/>
    <sheet name="CLEANING-Consolidated" sheetId="18" r:id="rId3"/>
    <sheet name="CIVIL-Productivity" sheetId="4" r:id="rId4"/>
    <sheet name="MEP-Productivity" sheetId="3" r:id="rId5"/>
    <sheet name="CLEANING-Productivity" sheetId="5" r:id="rId6"/>
  </sheets>
  <definedNames>
    <definedName name="_xlnm._FilterDatabase" localSheetId="0" hidden="1">'CIVIL-Consolidated'!$A$2:$AL$2</definedName>
    <definedName name="_xlnm._FilterDatabase" localSheetId="3" hidden="1">'CIVIL-Productivity'!$A$2:$AL$2</definedName>
    <definedName name="_xlnm._FilterDatabase" localSheetId="2" hidden="1">'CLEANING-Consolidated'!$A$2:$AL$2</definedName>
    <definedName name="_xlnm._FilterDatabase" localSheetId="5" hidden="1">'CLEANING-Productivity'!$A$2:$AL$39</definedName>
    <definedName name="_xlnm._FilterDatabase" localSheetId="1" hidden="1">'MEP-Consolidated'!$A$2:$AL$2</definedName>
    <definedName name="_xlnm._FilterDatabase" localSheetId="4" hidden="1">'MEP-Productivity'!$A$2:$AL$118</definedName>
    <definedName name="_xlnm.Print_Area" localSheetId="0">'CIVIL-Consolidated'!$A$2:$AI$2</definedName>
    <definedName name="_xlnm.Print_Area" localSheetId="3">'CIVIL-Productivity'!$A$2:$AI$2</definedName>
    <definedName name="_xlnm.Print_Area" localSheetId="2">'CLEANING-Consolidated'!$A$2:$AI$2</definedName>
    <definedName name="_xlnm.Print_Area" localSheetId="5">'CLEANING-Productivity'!$A$2:$AI$2</definedName>
    <definedName name="_xlnm.Print_Area" localSheetId="1">'MEP-Consolidated'!$A$2:$AI$2</definedName>
    <definedName name="_xlnm.Print_Area" localSheetId="4">'MEP-Productivity'!$A$2:$AI$2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12" i="20" l="1"/>
  <c r="AK112" i="20" s="1"/>
  <c r="AI75" i="20"/>
  <c r="AK75" i="20" s="1"/>
  <c r="AI18" i="20"/>
  <c r="AK18" i="20" s="1"/>
  <c r="AI25" i="20"/>
  <c r="AK25" i="20" s="1"/>
  <c r="AI80" i="20"/>
  <c r="AK80" i="20" s="1"/>
  <c r="AI77" i="20"/>
  <c r="AK77" i="20" s="1"/>
  <c r="AI74" i="20"/>
  <c r="AK74" i="20" s="1"/>
  <c r="AI65" i="20"/>
  <c r="AK65" i="20" s="1"/>
  <c r="AI63" i="20"/>
  <c r="AK63" i="20" s="1"/>
  <c r="AI62" i="20"/>
  <c r="AK62" i="20" s="1"/>
  <c r="AI46" i="20"/>
  <c r="AK46" i="20" s="1"/>
  <c r="AI45" i="20"/>
  <c r="AK45" i="20" s="1"/>
  <c r="AI16" i="20"/>
  <c r="AK16" i="20" s="1"/>
  <c r="AI15" i="20"/>
  <c r="AK15" i="20" s="1"/>
  <c r="AI114" i="20"/>
  <c r="AK114" i="20" s="1"/>
  <c r="AI109" i="20"/>
  <c r="AK109" i="20" s="1"/>
  <c r="AI107" i="20"/>
  <c r="AK107" i="20" s="1"/>
  <c r="AI106" i="20"/>
  <c r="AK106" i="20" s="1"/>
  <c r="AI105" i="20"/>
  <c r="AK105" i="20" s="1"/>
  <c r="AI104" i="20"/>
  <c r="AK104" i="20" s="1"/>
  <c r="AI103" i="20"/>
  <c r="AK103" i="20" s="1"/>
  <c r="AI97" i="20"/>
  <c r="AK97" i="20" s="1"/>
  <c r="AI95" i="20"/>
  <c r="AK95" i="20" s="1"/>
  <c r="AI94" i="20"/>
  <c r="AK94" i="20" s="1"/>
  <c r="AI87" i="20"/>
  <c r="AK87" i="20" s="1"/>
  <c r="AI85" i="20"/>
  <c r="AK85" i="20" s="1"/>
  <c r="AI118" i="20"/>
  <c r="AK118" i="20" s="1"/>
  <c r="AI76" i="20"/>
  <c r="AK76" i="20" s="1"/>
  <c r="AI70" i="20"/>
  <c r="AK70" i="20" s="1"/>
  <c r="AI68" i="20"/>
  <c r="AK68" i="20" s="1"/>
  <c r="AI66" i="20"/>
  <c r="AK66" i="20" s="1"/>
  <c r="AI60" i="20"/>
  <c r="AK60" i="20" s="1"/>
  <c r="AI59" i="20"/>
  <c r="AK59" i="20" s="1"/>
  <c r="AI57" i="20"/>
  <c r="AK57" i="20" s="1"/>
  <c r="AI50" i="20"/>
  <c r="AK50" i="20" s="1"/>
  <c r="AI49" i="20"/>
  <c r="AK49" i="20" s="1"/>
  <c r="AI48" i="20"/>
  <c r="AK48" i="20" s="1"/>
  <c r="AI44" i="20"/>
  <c r="AK44" i="20" s="1"/>
  <c r="AI117" i="20"/>
  <c r="AK117" i="20" s="1"/>
  <c r="AI35" i="20"/>
  <c r="AK35" i="20" s="1"/>
  <c r="AI34" i="20"/>
  <c r="AK34" i="20" s="1"/>
  <c r="AI32" i="20"/>
  <c r="AK32" i="20" s="1"/>
  <c r="AI27" i="20"/>
  <c r="AK27" i="20" s="1"/>
  <c r="AI19" i="20"/>
  <c r="AK19" i="20" s="1"/>
  <c r="AI17" i="20"/>
  <c r="AK17" i="20" s="1"/>
  <c r="AI10" i="20"/>
  <c r="AK10" i="20" s="1"/>
  <c r="AI6" i="20"/>
  <c r="AK6" i="20" s="1"/>
  <c r="AI5" i="20"/>
  <c r="AK5" i="20" s="1"/>
  <c r="AI4" i="20"/>
  <c r="AK4" i="20" s="1"/>
  <c r="AI116" i="20"/>
  <c r="AK116" i="20" s="1"/>
  <c r="AI108" i="20"/>
  <c r="AK108" i="20" s="1"/>
  <c r="AI102" i="20"/>
  <c r="AK102" i="20" s="1"/>
  <c r="AI101" i="20"/>
  <c r="AK101" i="20" s="1"/>
  <c r="AI100" i="20"/>
  <c r="AK100" i="20" s="1"/>
  <c r="AI90" i="20"/>
  <c r="AK90" i="20" s="1"/>
  <c r="AI78" i="20"/>
  <c r="AK78" i="20" s="1"/>
  <c r="AI47" i="20"/>
  <c r="AK47" i="20" s="1"/>
  <c r="AI33" i="20"/>
  <c r="AK33" i="20" s="1"/>
  <c r="AI28" i="20"/>
  <c r="AK28" i="20" s="1"/>
  <c r="AI14" i="20"/>
  <c r="AK14" i="20" s="1"/>
  <c r="AI91" i="20"/>
  <c r="AK91" i="20" s="1"/>
  <c r="AI55" i="20"/>
  <c r="AK55" i="20" s="1"/>
  <c r="AI52" i="20"/>
  <c r="AK52" i="20" s="1"/>
  <c r="AI51" i="20"/>
  <c r="AK51" i="20" s="1"/>
  <c r="AI22" i="20"/>
  <c r="AK22" i="20" s="1"/>
  <c r="AI41" i="20"/>
  <c r="AK41" i="20" s="1"/>
  <c r="AI115" i="20"/>
  <c r="AK115" i="20" s="1"/>
  <c r="AI54" i="20"/>
  <c r="AK54" i="20" s="1"/>
  <c r="AI113" i="20"/>
  <c r="AK113" i="20" s="1"/>
  <c r="AI110" i="20"/>
  <c r="AK110" i="20" s="1"/>
  <c r="AI56" i="20"/>
  <c r="AK56" i="20" s="1"/>
  <c r="AI30" i="20"/>
  <c r="AK30" i="20" s="1"/>
  <c r="AI20" i="20"/>
  <c r="AK20" i="20" s="1"/>
  <c r="AI12" i="20"/>
  <c r="AK12" i="20" s="1"/>
  <c r="AI11" i="20"/>
  <c r="AK11" i="20" s="1"/>
  <c r="AI82" i="20"/>
  <c r="AK82" i="20" s="1"/>
  <c r="AI73" i="20"/>
  <c r="AK73" i="20" s="1"/>
  <c r="AI53" i="20"/>
  <c r="AK53" i="20" s="1"/>
  <c r="AI36" i="20"/>
  <c r="AK36" i="20" s="1"/>
  <c r="AI38" i="20"/>
  <c r="AK38" i="20" s="1"/>
  <c r="AI89" i="20"/>
  <c r="AK89" i="20" s="1"/>
  <c r="AI81" i="20"/>
  <c r="AK81" i="20" s="1"/>
  <c r="AI61" i="20"/>
  <c r="AK61" i="20" s="1"/>
  <c r="AI58" i="20"/>
  <c r="AK58" i="20" s="1"/>
  <c r="AI23" i="20"/>
  <c r="AK23" i="20" s="1"/>
  <c r="AI21" i="20"/>
  <c r="AK21" i="20" s="1"/>
  <c r="AI88" i="20"/>
  <c r="AK88" i="20" s="1"/>
  <c r="AI31" i="20"/>
  <c r="AK31" i="20" s="1"/>
  <c r="AI64" i="20"/>
  <c r="AK64" i="20" s="1"/>
  <c r="AI83" i="20"/>
  <c r="AK83" i="20" s="1"/>
  <c r="AI72" i="20"/>
  <c r="AK72" i="20" s="1"/>
  <c r="AI71" i="20"/>
  <c r="AK71" i="20" s="1"/>
  <c r="AI84" i="20"/>
  <c r="AK84" i="20" s="1"/>
  <c r="AI43" i="20"/>
  <c r="AK43" i="20" s="1"/>
  <c r="AI37" i="20"/>
  <c r="AK37" i="20" s="1"/>
  <c r="AI26" i="20"/>
  <c r="AK26" i="20" s="1"/>
  <c r="AI29" i="20"/>
  <c r="AK29" i="20" s="1"/>
  <c r="AI3" i="20"/>
  <c r="AK3" i="20" s="1"/>
  <c r="AI24" i="20"/>
  <c r="AK24" i="20" s="1"/>
  <c r="AI96" i="20"/>
  <c r="AK96" i="20" s="1"/>
  <c r="AI93" i="20"/>
  <c r="AK93" i="20" s="1"/>
  <c r="AI86" i="20"/>
  <c r="AK86" i="20" s="1"/>
  <c r="AI79" i="20"/>
  <c r="AK79" i="20" s="1"/>
  <c r="AI69" i="20"/>
  <c r="AK69" i="20" s="1"/>
  <c r="AI67" i="20"/>
  <c r="AK67" i="20" s="1"/>
  <c r="AI42" i="20"/>
  <c r="AK42" i="20" s="1"/>
  <c r="AI40" i="20"/>
  <c r="AK40" i="20" s="1"/>
  <c r="AI39" i="20"/>
  <c r="AK39" i="20" s="1"/>
  <c r="AI13" i="20"/>
  <c r="AK13" i="20" s="1"/>
  <c r="AI9" i="20"/>
  <c r="AK9" i="20" s="1"/>
  <c r="AI8" i="20"/>
  <c r="AK8" i="20" s="1"/>
  <c r="AI7" i="20"/>
  <c r="AK7" i="20" s="1"/>
  <c r="AI111" i="20"/>
  <c r="AK111" i="20" s="1"/>
  <c r="AI99" i="20"/>
  <c r="AK99" i="20" s="1"/>
  <c r="AI98" i="20"/>
  <c r="AK98" i="20" s="1"/>
  <c r="AI92" i="20"/>
  <c r="AK92" i="20" s="1"/>
  <c r="AI175" i="4"/>
  <c r="AK175" i="4" s="1"/>
  <c r="AI174" i="4"/>
  <c r="AK174" i="4" s="1"/>
  <c r="AI173" i="4"/>
  <c r="AK173" i="4" s="1"/>
  <c r="AI172" i="4"/>
  <c r="AK172" i="4" s="1"/>
  <c r="AI171" i="4"/>
  <c r="AK171" i="4" s="1"/>
  <c r="AI170" i="4"/>
  <c r="AK170" i="4" s="1"/>
  <c r="AI169" i="4"/>
  <c r="AK169" i="4" s="1"/>
  <c r="AI168" i="4"/>
  <c r="AK168" i="4" s="1"/>
  <c r="AI167" i="4"/>
  <c r="AK167" i="4" s="1"/>
  <c r="AI166" i="4"/>
  <c r="AK166" i="4" s="1"/>
  <c r="AI120" i="20" l="1"/>
  <c r="AK120" i="20"/>
  <c r="AI55" i="4" l="1"/>
  <c r="AK55" i="4" s="1"/>
  <c r="AI54" i="4"/>
  <c r="AK54" i="4" s="1"/>
  <c r="AI53" i="4"/>
  <c r="AK53" i="4" s="1"/>
  <c r="AI52" i="4"/>
  <c r="AK52" i="4" s="1"/>
  <c r="AI51" i="4"/>
  <c r="AK51" i="4" s="1"/>
  <c r="AI50" i="4"/>
  <c r="AK50" i="4" s="1"/>
  <c r="AI49" i="4"/>
  <c r="AK49" i="4" s="1"/>
  <c r="AI62" i="4"/>
  <c r="AK62" i="4" s="1"/>
  <c r="AI61" i="4"/>
  <c r="AK61" i="4" s="1"/>
  <c r="AI60" i="4"/>
  <c r="AK60" i="4" s="1"/>
  <c r="AI59" i="4"/>
  <c r="AK59" i="4" s="1"/>
  <c r="AI58" i="4"/>
  <c r="AK58" i="4" s="1"/>
  <c r="AI57" i="4"/>
  <c r="AK57" i="4" s="1"/>
  <c r="AI56" i="4"/>
  <c r="AK56" i="4" s="1"/>
  <c r="AI82" i="19" l="1"/>
  <c r="AK82" i="19" s="1"/>
  <c r="AI51" i="19"/>
  <c r="AK51" i="19" s="1"/>
  <c r="AI33" i="19"/>
  <c r="AK33" i="19" s="1"/>
  <c r="AI14" i="19"/>
  <c r="AK14" i="19" s="1"/>
  <c r="AI12" i="19"/>
  <c r="AK12" i="19" s="1"/>
  <c r="AI85" i="19"/>
  <c r="AK85" i="19" s="1"/>
  <c r="AI23" i="19"/>
  <c r="AK23" i="19" s="1"/>
  <c r="AI24" i="19"/>
  <c r="AK24" i="19" s="1"/>
  <c r="AI63" i="19"/>
  <c r="AK63" i="19" s="1"/>
  <c r="AI9" i="19"/>
  <c r="AK9" i="19" s="1"/>
  <c r="AI79" i="19"/>
  <c r="AK79" i="19" s="1"/>
  <c r="AI78" i="19"/>
  <c r="AK78" i="19" s="1"/>
  <c r="AI49" i="19"/>
  <c r="AK49" i="19" s="1"/>
  <c r="AI30" i="19"/>
  <c r="AK30" i="19" s="1"/>
  <c r="AI75" i="19"/>
  <c r="AK75" i="19" s="1"/>
  <c r="AI74" i="19"/>
  <c r="AK74" i="19" s="1"/>
  <c r="AI77" i="19"/>
  <c r="AK77" i="19" s="1"/>
  <c r="AI76" i="19"/>
  <c r="AK76" i="19" s="1"/>
  <c r="AI62" i="19"/>
  <c r="AK62" i="19" s="1"/>
  <c r="AI37" i="19"/>
  <c r="AK37" i="19" s="1"/>
  <c r="AI31" i="19"/>
  <c r="AK31" i="19" s="1"/>
  <c r="AI88" i="19"/>
  <c r="AK88" i="19" s="1"/>
  <c r="AI65" i="19"/>
  <c r="AK65" i="19" s="1"/>
  <c r="AI6" i="19"/>
  <c r="AK6" i="19" s="1"/>
  <c r="AI87" i="19"/>
  <c r="AK87" i="19" s="1"/>
  <c r="AI73" i="19"/>
  <c r="AK73" i="19" s="1"/>
  <c r="AI70" i="19"/>
  <c r="AK70" i="19" s="1"/>
  <c r="AI69" i="19"/>
  <c r="AK69" i="19" s="1"/>
  <c r="AI68" i="19"/>
  <c r="AK68" i="19" s="1"/>
  <c r="AI66" i="19"/>
  <c r="AK66" i="19" s="1"/>
  <c r="AI55" i="19"/>
  <c r="AK55" i="19" s="1"/>
  <c r="AI52" i="19"/>
  <c r="AK52" i="19" s="1"/>
  <c r="AI71" i="19"/>
  <c r="AK71" i="19" s="1"/>
  <c r="AI38" i="19"/>
  <c r="AK38" i="19" s="1"/>
  <c r="AI21" i="19"/>
  <c r="AK21" i="19" s="1"/>
  <c r="AI15" i="19"/>
  <c r="AK15" i="19" s="1"/>
  <c r="AI11" i="19"/>
  <c r="AK11" i="19" s="1"/>
  <c r="AI10" i="19"/>
  <c r="AK10" i="19" s="1"/>
  <c r="AI5" i="19"/>
  <c r="AK5" i="19" s="1"/>
  <c r="AI4" i="19"/>
  <c r="AK4" i="19" s="1"/>
  <c r="AI44" i="19"/>
  <c r="AK44" i="19" s="1"/>
  <c r="AI43" i="19"/>
  <c r="AK43" i="19" s="1"/>
  <c r="AI39" i="19"/>
  <c r="AK39" i="19" s="1"/>
  <c r="AI22" i="19"/>
  <c r="AK22" i="19" s="1"/>
  <c r="AI17" i="19"/>
  <c r="AK17" i="19" s="1"/>
  <c r="AI13" i="19"/>
  <c r="AK13" i="19" s="1"/>
  <c r="AI41" i="19"/>
  <c r="AK41" i="19" s="1"/>
  <c r="AI20" i="19"/>
  <c r="AK20" i="19" s="1"/>
  <c r="AI19" i="19"/>
  <c r="AK19" i="19" s="1"/>
  <c r="AI86" i="19"/>
  <c r="AK86" i="19" s="1"/>
  <c r="AI81" i="19"/>
  <c r="AK81" i="19" s="1"/>
  <c r="AI53" i="19"/>
  <c r="AK53" i="19" s="1"/>
  <c r="AI26" i="19"/>
  <c r="AK26" i="19" s="1"/>
  <c r="AI18" i="19"/>
  <c r="AK18" i="19" s="1"/>
  <c r="AI8" i="19"/>
  <c r="AK8" i="19" s="1"/>
  <c r="AI89" i="19"/>
  <c r="AK89" i="19" s="1"/>
  <c r="AI57" i="19"/>
  <c r="AK57" i="19" s="1"/>
  <c r="AI50" i="19"/>
  <c r="AK50" i="19" s="1"/>
  <c r="AI40" i="19"/>
  <c r="AK40" i="19" s="1"/>
  <c r="AI93" i="19"/>
  <c r="AK93" i="19" s="1"/>
  <c r="AI92" i="19"/>
  <c r="AK92" i="19" s="1"/>
  <c r="AI91" i="19"/>
  <c r="AK91" i="19" s="1"/>
  <c r="AI67" i="19"/>
  <c r="AK67" i="19" s="1"/>
  <c r="AI64" i="19"/>
  <c r="AK64" i="19" s="1"/>
  <c r="AI27" i="19"/>
  <c r="AK27" i="19" s="1"/>
  <c r="AI56" i="19"/>
  <c r="AK56" i="19" s="1"/>
  <c r="AI34" i="19"/>
  <c r="AK34" i="19" s="1"/>
  <c r="AI54" i="19"/>
  <c r="AK54" i="19" s="1"/>
  <c r="AI42" i="19"/>
  <c r="AK42" i="19" s="1"/>
  <c r="AI29" i="19"/>
  <c r="AK29" i="19" s="1"/>
  <c r="AI25" i="19"/>
  <c r="AK25" i="19" s="1"/>
  <c r="AI96" i="19"/>
  <c r="AK96" i="19" s="1"/>
  <c r="AI95" i="19"/>
  <c r="AK95" i="19" s="1"/>
  <c r="AI94" i="19"/>
  <c r="AK94" i="19" s="1"/>
  <c r="AI36" i="19"/>
  <c r="AK36" i="19" s="1"/>
  <c r="AI16" i="19"/>
  <c r="AK16" i="19" s="1"/>
  <c r="AI90" i="19"/>
  <c r="AK90" i="19" s="1"/>
  <c r="AI3" i="19"/>
  <c r="AK3" i="19" s="1"/>
  <c r="AI84" i="19"/>
  <c r="AK84" i="19" s="1"/>
  <c r="AI83" i="19"/>
  <c r="AK83" i="19" s="1"/>
  <c r="AI80" i="19"/>
  <c r="AK80" i="19" s="1"/>
  <c r="AI72" i="19"/>
  <c r="AK72" i="19" s="1"/>
  <c r="AI35" i="19"/>
  <c r="AK35" i="19" s="1"/>
  <c r="AI32" i="19"/>
  <c r="AK32" i="19" s="1"/>
  <c r="AI28" i="19"/>
  <c r="AK28" i="19" s="1"/>
  <c r="AI7" i="19"/>
  <c r="AK7" i="19" s="1"/>
  <c r="AI97" i="19"/>
  <c r="AK97" i="19" s="1"/>
  <c r="AI61" i="19"/>
  <c r="AK61" i="19" s="1"/>
  <c r="AI60" i="19"/>
  <c r="AK60" i="19" s="1"/>
  <c r="AI59" i="19"/>
  <c r="AK59" i="19" s="1"/>
  <c r="AI58" i="19"/>
  <c r="AK58" i="19" s="1"/>
  <c r="AI48" i="19"/>
  <c r="AK48" i="19" s="1"/>
  <c r="AI47" i="19"/>
  <c r="AK47" i="19" s="1"/>
  <c r="AI46" i="19"/>
  <c r="AK46" i="19" s="1"/>
  <c r="AI45" i="19"/>
  <c r="AI99" i="19" l="1"/>
  <c r="AK45" i="19"/>
  <c r="AK99" i="19" s="1"/>
  <c r="AK101" i="19" s="1"/>
  <c r="AI65" i="3" l="1"/>
  <c r="AK65" i="3" s="1"/>
  <c r="AI4" i="3" l="1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66" i="3"/>
  <c r="AI67" i="3"/>
  <c r="AI68" i="3"/>
  <c r="AI69" i="3"/>
  <c r="AI70" i="3"/>
  <c r="AI71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K37" i="3" l="1"/>
  <c r="AK36" i="3"/>
  <c r="AK35" i="3"/>
  <c r="AK34" i="3"/>
  <c r="AK33" i="3"/>
  <c r="AK32" i="3"/>
  <c r="AK31" i="3"/>
  <c r="AK30" i="3"/>
  <c r="AK29" i="3"/>
  <c r="AK28" i="3"/>
  <c r="AK42" i="3"/>
  <c r="AK41" i="3"/>
  <c r="AK40" i="3"/>
  <c r="AK39" i="3"/>
  <c r="AK38" i="3"/>
  <c r="AI38" i="18" l="1"/>
  <c r="AK38" i="18" s="1"/>
  <c r="AI31" i="18"/>
  <c r="AK31" i="18" s="1"/>
  <c r="AI29" i="18"/>
  <c r="AK29" i="18" s="1"/>
  <c r="AI36" i="18"/>
  <c r="AK36" i="18" s="1"/>
  <c r="AI34" i="18"/>
  <c r="AK34" i="18" s="1"/>
  <c r="AI33" i="18"/>
  <c r="AK33" i="18" s="1"/>
  <c r="AI37" i="18"/>
  <c r="AK37" i="18" s="1"/>
  <c r="AI32" i="18"/>
  <c r="AK32" i="18" s="1"/>
  <c r="AI30" i="18"/>
  <c r="AK30" i="18" s="1"/>
  <c r="AI35" i="18"/>
  <c r="AK35" i="18" s="1"/>
  <c r="AI25" i="18"/>
  <c r="AK25" i="18" s="1"/>
  <c r="AI26" i="18"/>
  <c r="AK26" i="18" s="1"/>
  <c r="AI27" i="18"/>
  <c r="AK27" i="18" s="1"/>
  <c r="AI28" i="18"/>
  <c r="AK28" i="18" s="1"/>
  <c r="AI9" i="18"/>
  <c r="AK9" i="18" s="1"/>
  <c r="AI24" i="18"/>
  <c r="AK24" i="18" s="1"/>
  <c r="AI8" i="18"/>
  <c r="AK8" i="18" s="1"/>
  <c r="AI17" i="18"/>
  <c r="AK17" i="18" s="1"/>
  <c r="AI22" i="18"/>
  <c r="AK22" i="18" s="1"/>
  <c r="AI4" i="18"/>
  <c r="AK4" i="18" s="1"/>
  <c r="AI14" i="18"/>
  <c r="AK14" i="18" s="1"/>
  <c r="AI15" i="18"/>
  <c r="AK15" i="18" s="1"/>
  <c r="AI11" i="18"/>
  <c r="AK11" i="18" s="1"/>
  <c r="AI16" i="18"/>
  <c r="AK16" i="18" s="1"/>
  <c r="AI13" i="18"/>
  <c r="AK13" i="18" s="1"/>
  <c r="AI20" i="18"/>
  <c r="AK20" i="18" s="1"/>
  <c r="AI18" i="18"/>
  <c r="AK18" i="18" s="1"/>
  <c r="AI7" i="18"/>
  <c r="AK7" i="18" s="1"/>
  <c r="AI21" i="18"/>
  <c r="AK21" i="18" s="1"/>
  <c r="AI5" i="18"/>
  <c r="AK5" i="18" s="1"/>
  <c r="AI23" i="18"/>
  <c r="AK23" i="18" s="1"/>
  <c r="AI6" i="18"/>
  <c r="AK6" i="18" s="1"/>
  <c r="AI3" i="18"/>
  <c r="AK3" i="18" s="1"/>
  <c r="AI10" i="18"/>
  <c r="AK10" i="18" s="1"/>
  <c r="AI19" i="18"/>
  <c r="AK19" i="18" s="1"/>
  <c r="AI12" i="18"/>
  <c r="AI33" i="5"/>
  <c r="AK33" i="5" s="1"/>
  <c r="AI150" i="4"/>
  <c r="AK150" i="4" s="1"/>
  <c r="AI149" i="4"/>
  <c r="AK149" i="4" s="1"/>
  <c r="AI148" i="4"/>
  <c r="AK148" i="4" s="1"/>
  <c r="AI147" i="4"/>
  <c r="AK147" i="4" s="1"/>
  <c r="AI39" i="18" l="1"/>
  <c r="AK12" i="18"/>
  <c r="AK39" i="18" s="1"/>
  <c r="AK41" i="18" s="1"/>
  <c r="AI189" i="4" l="1"/>
  <c r="AK189" i="4" s="1"/>
  <c r="AI188" i="4"/>
  <c r="AK188" i="4" s="1"/>
  <c r="AI187" i="4"/>
  <c r="AK187" i="4" s="1"/>
  <c r="AI186" i="4"/>
  <c r="AK186" i="4" s="1"/>
  <c r="AI146" i="4"/>
  <c r="AK146" i="4" s="1"/>
  <c r="AI145" i="4"/>
  <c r="AK145" i="4" s="1"/>
  <c r="AI144" i="4"/>
  <c r="AK144" i="4" s="1"/>
  <c r="AI143" i="4"/>
  <c r="AK143" i="4" s="1"/>
  <c r="AI142" i="4"/>
  <c r="AK142" i="4" s="1"/>
  <c r="AI141" i="4"/>
  <c r="AK141" i="4" s="1"/>
  <c r="AI140" i="4"/>
  <c r="AK140" i="4" s="1"/>
  <c r="AI139" i="4"/>
  <c r="AK139" i="4" s="1"/>
  <c r="AI138" i="4"/>
  <c r="AK138" i="4" s="1"/>
  <c r="AI137" i="4"/>
  <c r="AK137" i="4" s="1"/>
  <c r="AK14" i="3" l="1"/>
  <c r="AK13" i="3"/>
  <c r="AK12" i="3"/>
  <c r="AI4" i="4" l="1"/>
  <c r="AK4" i="4" s="1"/>
  <c r="AI5" i="4"/>
  <c r="AK5" i="4" s="1"/>
  <c r="AI6" i="4"/>
  <c r="AK6" i="4" s="1"/>
  <c r="AI7" i="4"/>
  <c r="AK7" i="4" s="1"/>
  <c r="AI8" i="4"/>
  <c r="AK8" i="4" s="1"/>
  <c r="AI9" i="4"/>
  <c r="AK9" i="4" s="1"/>
  <c r="AI10" i="4"/>
  <c r="AK10" i="4" s="1"/>
  <c r="AI11" i="4"/>
  <c r="AK11" i="4" s="1"/>
  <c r="AI12" i="4"/>
  <c r="AK12" i="4" s="1"/>
  <c r="AI13" i="4"/>
  <c r="AK13" i="4" s="1"/>
  <c r="AI14" i="4"/>
  <c r="AK14" i="4" s="1"/>
  <c r="AI15" i="4"/>
  <c r="AK15" i="4" s="1"/>
  <c r="AI16" i="4"/>
  <c r="AK16" i="4" s="1"/>
  <c r="AI17" i="4"/>
  <c r="AK17" i="4" s="1"/>
  <c r="AI18" i="4"/>
  <c r="AK18" i="4" s="1"/>
  <c r="AI19" i="4"/>
  <c r="AK19" i="4" s="1"/>
  <c r="AI20" i="4"/>
  <c r="AK20" i="4" s="1"/>
  <c r="AI21" i="4"/>
  <c r="AK21" i="4" s="1"/>
  <c r="AI22" i="4"/>
  <c r="AK22" i="4" s="1"/>
  <c r="AI23" i="4"/>
  <c r="AK23" i="4" s="1"/>
  <c r="AI24" i="4"/>
  <c r="AK24" i="4" s="1"/>
  <c r="AI25" i="4"/>
  <c r="AK25" i="4" s="1"/>
  <c r="AI26" i="4"/>
  <c r="AK26" i="4" s="1"/>
  <c r="AI27" i="4"/>
  <c r="AK27" i="4" s="1"/>
  <c r="AI28" i="4"/>
  <c r="AK28" i="4" s="1"/>
  <c r="AI29" i="4"/>
  <c r="AK29" i="4" s="1"/>
  <c r="AI30" i="4"/>
  <c r="AK30" i="4" s="1"/>
  <c r="AI31" i="4"/>
  <c r="AK31" i="4" s="1"/>
  <c r="AI32" i="4"/>
  <c r="AK32" i="4" s="1"/>
  <c r="AI33" i="4"/>
  <c r="AK33" i="4" s="1"/>
  <c r="AI34" i="4"/>
  <c r="AK34" i="4" s="1"/>
  <c r="AI35" i="4"/>
  <c r="AK35" i="4" s="1"/>
  <c r="AI39" i="4"/>
  <c r="AK39" i="4" s="1"/>
  <c r="AI40" i="4"/>
  <c r="AK40" i="4" s="1"/>
  <c r="AI41" i="4"/>
  <c r="AK41" i="4" s="1"/>
  <c r="AI42" i="4"/>
  <c r="AK42" i="4" s="1"/>
  <c r="AI43" i="4"/>
  <c r="AK43" i="4" s="1"/>
  <c r="AI44" i="4"/>
  <c r="AK44" i="4" s="1"/>
  <c r="AI45" i="4"/>
  <c r="AK45" i="4" s="1"/>
  <c r="AI46" i="4"/>
  <c r="AK46" i="4" s="1"/>
  <c r="AI47" i="4"/>
  <c r="AK47" i="4" s="1"/>
  <c r="AI48" i="4"/>
  <c r="AK48" i="4" s="1"/>
  <c r="AI63" i="4"/>
  <c r="AK63" i="4" s="1"/>
  <c r="AI64" i="4"/>
  <c r="AK64" i="4" s="1"/>
  <c r="AI65" i="4"/>
  <c r="AK65" i="4" s="1"/>
  <c r="AI66" i="4"/>
  <c r="AK66" i="4" s="1"/>
  <c r="AI67" i="4"/>
  <c r="AK67" i="4" s="1"/>
  <c r="AI68" i="4"/>
  <c r="AK68" i="4" s="1"/>
  <c r="AI69" i="4"/>
  <c r="AK69" i="4" s="1"/>
  <c r="AI70" i="4"/>
  <c r="AK70" i="4" s="1"/>
  <c r="AI71" i="4"/>
  <c r="AK71" i="4" s="1"/>
  <c r="AI72" i="4"/>
  <c r="AK72" i="4" s="1"/>
  <c r="AI73" i="4"/>
  <c r="AK73" i="4" s="1"/>
  <c r="AI74" i="4"/>
  <c r="AK74" i="4" s="1"/>
  <c r="AI75" i="4"/>
  <c r="AK75" i="4" s="1"/>
  <c r="AI76" i="4"/>
  <c r="AK76" i="4" s="1"/>
  <c r="AI77" i="4"/>
  <c r="AK77" i="4" s="1"/>
  <c r="AI78" i="4"/>
  <c r="AK78" i="4" s="1"/>
  <c r="AI79" i="4"/>
  <c r="AK79" i="4" s="1"/>
  <c r="AI80" i="4"/>
  <c r="AK80" i="4" s="1"/>
  <c r="AI81" i="4"/>
  <c r="AK81" i="4" s="1"/>
  <c r="AI36" i="4"/>
  <c r="AK36" i="4" s="1"/>
  <c r="AI37" i="4"/>
  <c r="AK37" i="4" s="1"/>
  <c r="AI38" i="4"/>
  <c r="AK38" i="4" s="1"/>
  <c r="AI82" i="4"/>
  <c r="AK82" i="4" s="1"/>
  <c r="AI83" i="4"/>
  <c r="AK83" i="4" s="1"/>
  <c r="AI84" i="4"/>
  <c r="AK84" i="4" s="1"/>
  <c r="AI85" i="4"/>
  <c r="AK85" i="4" s="1"/>
  <c r="AI86" i="4"/>
  <c r="AK86" i="4" s="1"/>
  <c r="AI87" i="4"/>
  <c r="AK87" i="4" s="1"/>
  <c r="AI88" i="4"/>
  <c r="AK88" i="4" s="1"/>
  <c r="AI89" i="4"/>
  <c r="AK89" i="4" s="1"/>
  <c r="AI90" i="4"/>
  <c r="AK90" i="4" s="1"/>
  <c r="AI91" i="4"/>
  <c r="AK91" i="4" s="1"/>
  <c r="AI92" i="4"/>
  <c r="AK92" i="4" s="1"/>
  <c r="AI93" i="4"/>
  <c r="AK93" i="4" s="1"/>
  <c r="AI94" i="4"/>
  <c r="AK94" i="4" s="1"/>
  <c r="AI95" i="4"/>
  <c r="AK95" i="4" s="1"/>
  <c r="AI96" i="4"/>
  <c r="AK96" i="4" s="1"/>
  <c r="AI97" i="4"/>
  <c r="AK97" i="4" s="1"/>
  <c r="AI98" i="4"/>
  <c r="AK98" i="4" s="1"/>
  <c r="AI99" i="4"/>
  <c r="AK99" i="4" s="1"/>
  <c r="AI100" i="4"/>
  <c r="AK100" i="4" s="1"/>
  <c r="AI101" i="4"/>
  <c r="AK101" i="4" s="1"/>
  <c r="AI102" i="4"/>
  <c r="AK102" i="4" s="1"/>
  <c r="AI103" i="4"/>
  <c r="AK103" i="4" s="1"/>
  <c r="AI104" i="4"/>
  <c r="AK104" i="4" s="1"/>
  <c r="AI105" i="4"/>
  <c r="AK105" i="4" s="1"/>
  <c r="AI106" i="4"/>
  <c r="AK106" i="4" s="1"/>
  <c r="AI107" i="4"/>
  <c r="AK107" i="4" s="1"/>
  <c r="AI108" i="4"/>
  <c r="AK108" i="4" s="1"/>
  <c r="AI109" i="4"/>
  <c r="AK109" i="4" s="1"/>
  <c r="AI110" i="4"/>
  <c r="AK110" i="4" s="1"/>
  <c r="AI111" i="4"/>
  <c r="AK111" i="4" s="1"/>
  <c r="AI112" i="4"/>
  <c r="AK112" i="4" s="1"/>
  <c r="AI113" i="4"/>
  <c r="AK113" i="4" s="1"/>
  <c r="AI114" i="4"/>
  <c r="AK114" i="4" s="1"/>
  <c r="AI115" i="4"/>
  <c r="AK115" i="4" s="1"/>
  <c r="AI116" i="4"/>
  <c r="AK116" i="4" s="1"/>
  <c r="AI117" i="4"/>
  <c r="AK117" i="4" s="1"/>
  <c r="AI118" i="4"/>
  <c r="AK118" i="4" s="1"/>
  <c r="AI119" i="4"/>
  <c r="AK119" i="4" s="1"/>
  <c r="AI120" i="4"/>
  <c r="AK120" i="4" s="1"/>
  <c r="AI121" i="4"/>
  <c r="AK121" i="4" s="1"/>
  <c r="AI122" i="4"/>
  <c r="AK122" i="4" s="1"/>
  <c r="AI123" i="4"/>
  <c r="AK123" i="4" s="1"/>
  <c r="AI124" i="4"/>
  <c r="AK124" i="4" s="1"/>
  <c r="AI125" i="4"/>
  <c r="AK125" i="4" s="1"/>
  <c r="AI126" i="4"/>
  <c r="AK126" i="4" s="1"/>
  <c r="AI127" i="4"/>
  <c r="AK127" i="4" s="1"/>
  <c r="AI128" i="4"/>
  <c r="AK128" i="4" s="1"/>
  <c r="AI129" i="4"/>
  <c r="AK129" i="4" s="1"/>
  <c r="AI130" i="4"/>
  <c r="AK130" i="4" s="1"/>
  <c r="AI131" i="4"/>
  <c r="AK131" i="4" s="1"/>
  <c r="AI132" i="4"/>
  <c r="AK132" i="4" s="1"/>
  <c r="AI133" i="4"/>
  <c r="AK133" i="4" s="1"/>
  <c r="AI134" i="4"/>
  <c r="AK134" i="4" s="1"/>
  <c r="AI135" i="4"/>
  <c r="AK135" i="4" s="1"/>
  <c r="AI136" i="4"/>
  <c r="AK136" i="4" s="1"/>
  <c r="AI151" i="4"/>
  <c r="AK151" i="4" s="1"/>
  <c r="AI152" i="4"/>
  <c r="AK152" i="4" s="1"/>
  <c r="AI153" i="4"/>
  <c r="AK153" i="4" s="1"/>
  <c r="AI154" i="4"/>
  <c r="AK154" i="4" s="1"/>
  <c r="AI160" i="4"/>
  <c r="AK160" i="4" s="1"/>
  <c r="AI161" i="4"/>
  <c r="AK161" i="4" s="1"/>
  <c r="AI157" i="4"/>
  <c r="AK157" i="4" s="1"/>
  <c r="AI159" i="4"/>
  <c r="AK159" i="4" s="1"/>
  <c r="AI158" i="4"/>
  <c r="AK158" i="4" s="1"/>
  <c r="AI156" i="4"/>
  <c r="AK156" i="4" s="1"/>
  <c r="AI155" i="4"/>
  <c r="AK155" i="4" s="1"/>
  <c r="AI162" i="4"/>
  <c r="AK162" i="4" s="1"/>
  <c r="AI163" i="4"/>
  <c r="AK163" i="4" s="1"/>
  <c r="AI164" i="4"/>
  <c r="AK164" i="4" s="1"/>
  <c r="AI165" i="4"/>
  <c r="AK165" i="4" s="1"/>
  <c r="AI176" i="4"/>
  <c r="AK176" i="4" s="1"/>
  <c r="AI177" i="4"/>
  <c r="AK177" i="4" s="1"/>
  <c r="AI178" i="4"/>
  <c r="AK178" i="4" s="1"/>
  <c r="AI179" i="4"/>
  <c r="AK179" i="4" s="1"/>
  <c r="AI180" i="4"/>
  <c r="AK180" i="4" s="1"/>
  <c r="AI181" i="4"/>
  <c r="AK181" i="4" s="1"/>
  <c r="AI182" i="4"/>
  <c r="AK182" i="4" s="1"/>
  <c r="AI183" i="4"/>
  <c r="AK183" i="4" s="1"/>
  <c r="AI184" i="4"/>
  <c r="AK184" i="4" s="1"/>
  <c r="AI185" i="4"/>
  <c r="AK185" i="4" s="1"/>
  <c r="AK113" i="3" l="1"/>
  <c r="AK112" i="3"/>
  <c r="AK111" i="3"/>
  <c r="AK110" i="3"/>
  <c r="AK109" i="3"/>
  <c r="AK108" i="3"/>
  <c r="AK107" i="3"/>
  <c r="AK106" i="3"/>
  <c r="AK105" i="3"/>
  <c r="AK104" i="3"/>
  <c r="AK103" i="3"/>
  <c r="AK102" i="3"/>
  <c r="AK101" i="3"/>
  <c r="AK100" i="3"/>
  <c r="AK99" i="3"/>
  <c r="AK98" i="3"/>
  <c r="AK47" i="3"/>
  <c r="AK46" i="3"/>
  <c r="AK45" i="3"/>
  <c r="AK44" i="3"/>
  <c r="AK43" i="3"/>
  <c r="AK27" i="3"/>
  <c r="AK118" i="3"/>
  <c r="AK117" i="3"/>
  <c r="AK116" i="3"/>
  <c r="AK115" i="3"/>
  <c r="AK114" i="3"/>
  <c r="AI3" i="4" l="1"/>
  <c r="AK58" i="3" l="1"/>
  <c r="AI17" i="5" l="1"/>
  <c r="AK17" i="5" s="1"/>
  <c r="AI15" i="5"/>
  <c r="AK15" i="5" s="1"/>
  <c r="AI11" i="5"/>
  <c r="AK11" i="5" s="1"/>
  <c r="AI24" i="5"/>
  <c r="AK24" i="5" s="1"/>
  <c r="AI37" i="5"/>
  <c r="AK37" i="5" s="1"/>
  <c r="AK71" i="3" l="1"/>
  <c r="AK70" i="3"/>
  <c r="AK69" i="3"/>
  <c r="AK68" i="3"/>
  <c r="AK67" i="3"/>
  <c r="AK66" i="3"/>
  <c r="AK97" i="3"/>
  <c r="AK96" i="3"/>
  <c r="AK95" i="3"/>
  <c r="AI3" i="5" l="1"/>
  <c r="AK3" i="5" s="1"/>
  <c r="AI35" i="5"/>
  <c r="AK35" i="5" s="1"/>
  <c r="AI4" i="5"/>
  <c r="AK4" i="5" s="1"/>
  <c r="AI9" i="5"/>
  <c r="AK9" i="5" s="1"/>
  <c r="AI5" i="5"/>
  <c r="AK5" i="5" s="1"/>
  <c r="AI14" i="5"/>
  <c r="AK14" i="5" s="1"/>
  <c r="AI34" i="5"/>
  <c r="AK34" i="5" s="1"/>
  <c r="AI18" i="5"/>
  <c r="AK18" i="5" s="1"/>
  <c r="AI29" i="5"/>
  <c r="AK29" i="5" s="1"/>
  <c r="AI13" i="5"/>
  <c r="AK13" i="5" s="1"/>
  <c r="AI10" i="5"/>
  <c r="AK10" i="5" s="1"/>
  <c r="AI6" i="5"/>
  <c r="AK6" i="5" s="1"/>
  <c r="AI30" i="5"/>
  <c r="AK30" i="5" s="1"/>
  <c r="AI7" i="5"/>
  <c r="AK7" i="5" s="1"/>
  <c r="AI8" i="5"/>
  <c r="AK8" i="5" s="1"/>
  <c r="AI31" i="5"/>
  <c r="AK31" i="5" s="1"/>
  <c r="AI19" i="5"/>
  <c r="AK19" i="5" s="1"/>
  <c r="AI20" i="5"/>
  <c r="AK20" i="5" s="1"/>
  <c r="AI12" i="5"/>
  <c r="AK12" i="5" s="1"/>
  <c r="AI23" i="5"/>
  <c r="AK23" i="5" s="1"/>
  <c r="AI36" i="5"/>
  <c r="AK36" i="5" s="1"/>
  <c r="AI26" i="5"/>
  <c r="AK26" i="5" s="1"/>
  <c r="AI25" i="5"/>
  <c r="AK25" i="5" s="1"/>
  <c r="AI16" i="5"/>
  <c r="AK16" i="5" s="1"/>
  <c r="AI27" i="5"/>
  <c r="AK27" i="5" s="1"/>
  <c r="AI21" i="5"/>
  <c r="AK21" i="5" s="1"/>
  <c r="AI32" i="5"/>
  <c r="AK32" i="5" s="1"/>
  <c r="AI22" i="5"/>
  <c r="AK22" i="5" s="1"/>
  <c r="AI38" i="5"/>
  <c r="AK38" i="5" s="1"/>
  <c r="AK11" i="3" l="1"/>
  <c r="AK52" i="3"/>
  <c r="AK10" i="3"/>
  <c r="AK9" i="3"/>
  <c r="AK8" i="3"/>
  <c r="AK7" i="3"/>
  <c r="AI3" i="3" l="1"/>
  <c r="AK94" i="3" l="1"/>
  <c r="AK93" i="3"/>
  <c r="AK92" i="3"/>
  <c r="AK91" i="3"/>
  <c r="AK90" i="3"/>
  <c r="AK89" i="3"/>
  <c r="AK88" i="3"/>
  <c r="AK87" i="3"/>
  <c r="AK86" i="3"/>
  <c r="AK85" i="3"/>
  <c r="AI28" i="5" l="1"/>
  <c r="AK50" i="3" l="1"/>
  <c r="AK3" i="3"/>
  <c r="AK81" i="3"/>
  <c r="AK73" i="3"/>
  <c r="AK63" i="3"/>
  <c r="AK24" i="3"/>
  <c r="AK56" i="3"/>
  <c r="AK55" i="3"/>
  <c r="AK53" i="3"/>
  <c r="AK6" i="3"/>
  <c r="AK3" i="4" l="1"/>
  <c r="AK28" i="5" l="1"/>
  <c r="AK49" i="3" l="1"/>
  <c r="AK57" i="3"/>
  <c r="AK48" i="3"/>
  <c r="AK75" i="3" l="1"/>
  <c r="AK26" i="3"/>
  <c r="AK60" i="3"/>
  <c r="AK16" i="3"/>
  <c r="AI39" i="5"/>
  <c r="AK39" i="5"/>
  <c r="AK41" i="5" s="1"/>
  <c r="AK74" i="3" l="1"/>
  <c r="AK22" i="3"/>
  <c r="AK64" i="3" l="1"/>
  <c r="AK25" i="3"/>
  <c r="AK59" i="3" l="1"/>
  <c r="AI191" i="4"/>
  <c r="AK78" i="3"/>
  <c r="AK80" i="3" l="1"/>
  <c r="AK15" i="3"/>
  <c r="AK54" i="3"/>
  <c r="AK18" i="3"/>
  <c r="AK5" i="3"/>
  <c r="AK83" i="3"/>
  <c r="AK23" i="3"/>
  <c r="AK76" i="3"/>
  <c r="AK4" i="3"/>
  <c r="AK82" i="3"/>
  <c r="AK21" i="3"/>
  <c r="AK84" i="3"/>
  <c r="AK72" i="3"/>
  <c r="AK61" i="3"/>
  <c r="AK191" i="4"/>
  <c r="AK79" i="3"/>
  <c r="AK17" i="3" l="1"/>
  <c r="AK51" i="3"/>
  <c r="AK20" i="3"/>
  <c r="AK77" i="3"/>
  <c r="AK19" i="3"/>
  <c r="AK62" i="3"/>
  <c r="AI120" i="3"/>
  <c r="AK120" i="3" l="1"/>
  <c r="AK122" i="3" s="1"/>
</calcChain>
</file>

<file path=xl/sharedStrings.xml><?xml version="1.0" encoding="utf-8"?>
<sst xmlns="http://schemas.openxmlformats.org/spreadsheetml/2006/main" count="6088" uniqueCount="571">
  <si>
    <t>S.NO</t>
  </si>
  <si>
    <t>E.NO</t>
  </si>
  <si>
    <t>NAME</t>
  </si>
  <si>
    <t>TRADE</t>
  </si>
  <si>
    <t>PROJECT</t>
  </si>
  <si>
    <t>TOTAL 
WORKED 
HRS</t>
  </si>
  <si>
    <t>MARGIN</t>
  </si>
  <si>
    <t>056</t>
  </si>
  <si>
    <t>Al Amin Miah</t>
  </si>
  <si>
    <t>Cleaner</t>
  </si>
  <si>
    <t>S</t>
  </si>
  <si>
    <t>P</t>
  </si>
  <si>
    <t>054</t>
  </si>
  <si>
    <t xml:space="preserve">Abdulla Khokan </t>
  </si>
  <si>
    <t>081</t>
  </si>
  <si>
    <t>Osman ali</t>
  </si>
  <si>
    <t>200</t>
  </si>
  <si>
    <t>MD Israfil</t>
  </si>
  <si>
    <t>182</t>
  </si>
  <si>
    <t>Joinal Abadin</t>
  </si>
  <si>
    <t>199</t>
  </si>
  <si>
    <t>MD Sharif</t>
  </si>
  <si>
    <t>188</t>
  </si>
  <si>
    <t xml:space="preserve">Shapan Miya </t>
  </si>
  <si>
    <t>184</t>
  </si>
  <si>
    <t>Md Monir Hussain</t>
  </si>
  <si>
    <t>201</t>
  </si>
  <si>
    <t>Sagor</t>
  </si>
  <si>
    <t>186</t>
  </si>
  <si>
    <t>Soboz</t>
  </si>
  <si>
    <t>179</t>
  </si>
  <si>
    <t>Md Rahan Khan</t>
  </si>
  <si>
    <t>A</t>
  </si>
  <si>
    <t>142</t>
  </si>
  <si>
    <t>203</t>
  </si>
  <si>
    <t>Muktar Miah</t>
  </si>
  <si>
    <t>206</t>
  </si>
  <si>
    <t>Md Amran Mia</t>
  </si>
  <si>
    <t>205</t>
  </si>
  <si>
    <t>Abdul Halim</t>
  </si>
  <si>
    <t>208</t>
  </si>
  <si>
    <t>Monirul Sheikh</t>
  </si>
  <si>
    <t>055</t>
  </si>
  <si>
    <t>207</t>
  </si>
  <si>
    <t>Saifur Rahman</t>
  </si>
  <si>
    <t>062</t>
  </si>
  <si>
    <t>Liton</t>
  </si>
  <si>
    <t>057</t>
  </si>
  <si>
    <t>Arif Dewan</t>
  </si>
  <si>
    <t>060</t>
  </si>
  <si>
    <t>082</t>
  </si>
  <si>
    <t>Rana Chandra Moni Das</t>
  </si>
  <si>
    <t>140</t>
  </si>
  <si>
    <t>MD Sweet Molla</t>
  </si>
  <si>
    <t>153</t>
  </si>
  <si>
    <t>193</t>
  </si>
  <si>
    <t>Masud Miah</t>
  </si>
  <si>
    <t>194</t>
  </si>
  <si>
    <t>Mohammad Zahid</t>
  </si>
  <si>
    <t>202</t>
  </si>
  <si>
    <t>Saiful Islam</t>
  </si>
  <si>
    <t>204</t>
  </si>
  <si>
    <t>080</t>
  </si>
  <si>
    <t>Md Muklesh Mia</t>
  </si>
  <si>
    <t>085</t>
  </si>
  <si>
    <t>MD Robin</t>
  </si>
  <si>
    <t>196</t>
  </si>
  <si>
    <t>Shamim Mia</t>
  </si>
  <si>
    <t>181</t>
  </si>
  <si>
    <t>Arman Md Afsar Uddin</t>
  </si>
  <si>
    <t>185</t>
  </si>
  <si>
    <t>Md Sabbir Hosen</t>
  </si>
  <si>
    <t>058</t>
  </si>
  <si>
    <t>Babul Mia</t>
  </si>
  <si>
    <t>183</t>
  </si>
  <si>
    <t>Md Abdur Razzak Sarker</t>
  </si>
  <si>
    <t>DUNES</t>
  </si>
  <si>
    <t>INAYA - AKHT</t>
  </si>
  <si>
    <t>INAYA - BHRE</t>
  </si>
  <si>
    <t>INAYA - EDI</t>
  </si>
  <si>
    <t>INAYA - SOFITEL</t>
  </si>
  <si>
    <t>RATE 
PER 
DAY</t>
  </si>
  <si>
    <t>Arif Lal mia</t>
  </si>
  <si>
    <t>INAYA - VIRGIN</t>
  </si>
  <si>
    <t>Electrician</t>
  </si>
  <si>
    <t>283</t>
  </si>
  <si>
    <t>284</t>
  </si>
  <si>
    <t>285</t>
  </si>
  <si>
    <t>286</t>
  </si>
  <si>
    <t>287</t>
  </si>
  <si>
    <t>161</t>
  </si>
  <si>
    <t>296</t>
  </si>
  <si>
    <t>298</t>
  </si>
  <si>
    <t>300</t>
  </si>
  <si>
    <t>KAVALAR</t>
  </si>
  <si>
    <t>136</t>
  </si>
  <si>
    <t>Ravindra Kumar Singh</t>
  </si>
  <si>
    <t>159</t>
  </si>
  <si>
    <t>Ajay Kumar</t>
  </si>
  <si>
    <t>166</t>
  </si>
  <si>
    <t>168</t>
  </si>
  <si>
    <t>Munna Lal</t>
  </si>
  <si>
    <t>175</t>
  </si>
  <si>
    <t>Manikanta Swamy Gurajapu</t>
  </si>
  <si>
    <t>224</t>
  </si>
  <si>
    <t>Awadhesh Kumar</t>
  </si>
  <si>
    <t>235</t>
  </si>
  <si>
    <t>Safe Alam</t>
  </si>
  <si>
    <t>243</t>
  </si>
  <si>
    <t>Sundarbabu Muruganantham</t>
  </si>
  <si>
    <t>245</t>
  </si>
  <si>
    <t>Mohammad Gulab</t>
  </si>
  <si>
    <t>Amit Kumar</t>
  </si>
  <si>
    <t>097</t>
  </si>
  <si>
    <t>Hareram Singh</t>
  </si>
  <si>
    <t>137</t>
  </si>
  <si>
    <t>Nagarajan Veerasamy</t>
  </si>
  <si>
    <t>156</t>
  </si>
  <si>
    <t>Thirupathi Kanikarupu</t>
  </si>
  <si>
    <t>212</t>
  </si>
  <si>
    <t>229</t>
  </si>
  <si>
    <t>Rajesh Kharavar</t>
  </si>
  <si>
    <t>222</t>
  </si>
  <si>
    <t>Lakshman Kumar</t>
  </si>
  <si>
    <t>264</t>
  </si>
  <si>
    <t>Pratik Ashok</t>
  </si>
  <si>
    <t>299</t>
  </si>
  <si>
    <t>295</t>
  </si>
  <si>
    <t>132</t>
  </si>
  <si>
    <t>Mari Ramasamy</t>
  </si>
  <si>
    <t>Plumber</t>
  </si>
  <si>
    <t>148</t>
  </si>
  <si>
    <t>Om Prakash Kumar</t>
  </si>
  <si>
    <t>160</t>
  </si>
  <si>
    <t>Akash Kumar</t>
  </si>
  <si>
    <t>163</t>
  </si>
  <si>
    <t>164</t>
  </si>
  <si>
    <t>167</t>
  </si>
  <si>
    <t>Mohammad Arif</t>
  </si>
  <si>
    <t>180</t>
  </si>
  <si>
    <t>Firoz Mohammad</t>
  </si>
  <si>
    <t>191</t>
  </si>
  <si>
    <t>Sandeep Krishnan</t>
  </si>
  <si>
    <t>267</t>
  </si>
  <si>
    <t>Sushil Kumar Ram</t>
  </si>
  <si>
    <t>271</t>
  </si>
  <si>
    <t>Mohammed Sajid Mohd Sharfuddin</t>
  </si>
  <si>
    <t>260</t>
  </si>
  <si>
    <t>Abdul Kathar Jailani</t>
  </si>
  <si>
    <t>Hari Kishor Prasad</t>
  </si>
  <si>
    <t>147</t>
  </si>
  <si>
    <t>Shahnewaj Afroj</t>
  </si>
  <si>
    <t>254</t>
  </si>
  <si>
    <t>Vidyanand Paras Kumar</t>
  </si>
  <si>
    <t>149</t>
  </si>
  <si>
    <t>Hasarat Ali</t>
  </si>
  <si>
    <t>221</t>
  </si>
  <si>
    <t>Gopi Patel</t>
  </si>
  <si>
    <t>294</t>
  </si>
  <si>
    <t>Rohit Mansukhbhai</t>
  </si>
  <si>
    <t>293</t>
  </si>
  <si>
    <t>Yasir Arfat</t>
  </si>
  <si>
    <t>301</t>
  </si>
  <si>
    <t>Muslim Ali</t>
  </si>
  <si>
    <t>CRCC - AH</t>
  </si>
  <si>
    <t>Mason</t>
  </si>
  <si>
    <t>107</t>
  </si>
  <si>
    <t>Mohit Lal</t>
  </si>
  <si>
    <t>234</t>
  </si>
  <si>
    <t>269</t>
  </si>
  <si>
    <t>270</t>
  </si>
  <si>
    <t>273</t>
  </si>
  <si>
    <t>Gulam Mehdi</t>
  </si>
  <si>
    <t>289</t>
  </si>
  <si>
    <t>Bharat Karshan</t>
  </si>
  <si>
    <t>290</t>
  </si>
  <si>
    <t>Vanraj Khimjibhai</t>
  </si>
  <si>
    <t>006</t>
  </si>
  <si>
    <t>Kanahya Sha</t>
  </si>
  <si>
    <t>Mason Chargehand</t>
  </si>
  <si>
    <t>045</t>
  </si>
  <si>
    <t>Uttam Rajbhar</t>
  </si>
  <si>
    <t>115</t>
  </si>
  <si>
    <t>Ashok Ram</t>
  </si>
  <si>
    <t>169</t>
  </si>
  <si>
    <t>Munna Sah Jamuna Sah</t>
  </si>
  <si>
    <t>215</t>
  </si>
  <si>
    <t>Velu Udaiyar</t>
  </si>
  <si>
    <t>220</t>
  </si>
  <si>
    <t>Vijiyan Chanthu</t>
  </si>
  <si>
    <t>238</t>
  </si>
  <si>
    <t>Mundrika Shri</t>
  </si>
  <si>
    <t>250</t>
  </si>
  <si>
    <t>253</t>
  </si>
  <si>
    <t>Mukesh Ram</t>
  </si>
  <si>
    <t>255</t>
  </si>
  <si>
    <t>Mohammad Salim</t>
  </si>
  <si>
    <t>Muslim Alam</t>
  </si>
  <si>
    <t>276</t>
  </si>
  <si>
    <t>Harilal Pandit</t>
  </si>
  <si>
    <t>278</t>
  </si>
  <si>
    <t>Karmegam</t>
  </si>
  <si>
    <t>280</t>
  </si>
  <si>
    <t>282</t>
  </si>
  <si>
    <t>Pawan Kumar</t>
  </si>
  <si>
    <t>176</t>
  </si>
  <si>
    <t>133</t>
  </si>
  <si>
    <t>165</t>
  </si>
  <si>
    <t>005</t>
  </si>
  <si>
    <t>227</t>
  </si>
  <si>
    <t>230</t>
  </si>
  <si>
    <t>025</t>
  </si>
  <si>
    <t>Sandeep Kumar</t>
  </si>
  <si>
    <t>111</t>
  </si>
  <si>
    <t>Laxman Ram</t>
  </si>
  <si>
    <t>Raj Kumar</t>
  </si>
  <si>
    <t>123</t>
  </si>
  <si>
    <t>130</t>
  </si>
  <si>
    <t>Ashok Meghwal</t>
  </si>
  <si>
    <t>131</t>
  </si>
  <si>
    <t>Pichandi Ponnusamy</t>
  </si>
  <si>
    <t>216</t>
  </si>
  <si>
    <t>Karuppaiah Adaikalam</t>
  </si>
  <si>
    <t>219</t>
  </si>
  <si>
    <t>Saddam Mohammad</t>
  </si>
  <si>
    <t>232</t>
  </si>
  <si>
    <t>248</t>
  </si>
  <si>
    <t>Kishor Nat</t>
  </si>
  <si>
    <t>249</t>
  </si>
  <si>
    <t>Chandan Pandit</t>
  </si>
  <si>
    <t>251</t>
  </si>
  <si>
    <t>Md Makbul Ansari</t>
  </si>
  <si>
    <t>Shashi Kumar</t>
  </si>
  <si>
    <t>262</t>
  </si>
  <si>
    <t>281</t>
  </si>
  <si>
    <t>291</t>
  </si>
  <si>
    <t>Vishaldeep Singh</t>
  </si>
  <si>
    <t>MERAKI</t>
  </si>
  <si>
    <t>040</t>
  </si>
  <si>
    <t>018</t>
  </si>
  <si>
    <t>Saroj Pandit</t>
  </si>
  <si>
    <t>ECC</t>
  </si>
  <si>
    <t>178</t>
  </si>
  <si>
    <t>Mani Adaikkappan</t>
  </si>
  <si>
    <t>Tile Mason</t>
  </si>
  <si>
    <t>274</t>
  </si>
  <si>
    <t>Mansukhbhai Ghela</t>
  </si>
  <si>
    <t>237</t>
  </si>
  <si>
    <t>Saddam Ansari</t>
  </si>
  <si>
    <t>239</t>
  </si>
  <si>
    <t>Sambhu Nathune</t>
  </si>
  <si>
    <t>043</t>
  </si>
  <si>
    <t>Om Prakash Bhar</t>
  </si>
  <si>
    <t>172</t>
  </si>
  <si>
    <t>Meer Hasan Ansari</t>
  </si>
  <si>
    <t>158</t>
  </si>
  <si>
    <t>Shekh Sheraj</t>
  </si>
  <si>
    <t>277</t>
  </si>
  <si>
    <t>275</t>
  </si>
  <si>
    <t>Mumtaz Ali</t>
  </si>
  <si>
    <t>242</t>
  </si>
  <si>
    <t>Tamilmaran Pulikuthi</t>
  </si>
  <si>
    <t>138</t>
  </si>
  <si>
    <t>Ragho Singh</t>
  </si>
  <si>
    <t>246</t>
  </si>
  <si>
    <t>257</t>
  </si>
  <si>
    <t>Murugan Muniyandi</t>
  </si>
  <si>
    <t>228</t>
  </si>
  <si>
    <t>247</t>
  </si>
  <si>
    <t>Meraj Alam</t>
  </si>
  <si>
    <t>135</t>
  </si>
  <si>
    <t>Raj Kumar Genoliya</t>
  </si>
  <si>
    <t>259</t>
  </si>
  <si>
    <t>218</t>
  </si>
  <si>
    <t>Shailesh Ray</t>
  </si>
  <si>
    <t>DH</t>
  </si>
  <si>
    <t>214</t>
  </si>
  <si>
    <t>Nagendran</t>
  </si>
  <si>
    <t>261</t>
  </si>
  <si>
    <t>Amajed Alee</t>
  </si>
  <si>
    <t>279</t>
  </si>
  <si>
    <t>Ramesh Chauhan</t>
  </si>
  <si>
    <t>292</t>
  </si>
  <si>
    <t>Samsher Ansari</t>
  </si>
  <si>
    <t>PL</t>
  </si>
  <si>
    <t>308</t>
  </si>
  <si>
    <t>309</t>
  </si>
  <si>
    <t>310</t>
  </si>
  <si>
    <t>316</t>
  </si>
  <si>
    <t>317</t>
  </si>
  <si>
    <t>318</t>
  </si>
  <si>
    <t>302</t>
  </si>
  <si>
    <t>307</t>
  </si>
  <si>
    <t>313</t>
  </si>
  <si>
    <t>Ramarao Kadali</t>
  </si>
  <si>
    <t>315</t>
  </si>
  <si>
    <t>Venkanna Raja</t>
  </si>
  <si>
    <t>314</t>
  </si>
  <si>
    <t>Mokhtar Ansari</t>
  </si>
  <si>
    <t>DANWAY</t>
  </si>
  <si>
    <t>311</t>
  </si>
  <si>
    <t>312</t>
  </si>
  <si>
    <t>304</t>
  </si>
  <si>
    <t>Hitesh Danabhai</t>
  </si>
  <si>
    <t>225</t>
  </si>
  <si>
    <t>231</t>
  </si>
  <si>
    <t>241</t>
  </si>
  <si>
    <t>258</t>
  </si>
  <si>
    <t>Kawsar Ahmed</t>
  </si>
  <si>
    <t>EW</t>
  </si>
  <si>
    <t>Palani Samy</t>
  </si>
  <si>
    <t>Ayush Sharma</t>
  </si>
  <si>
    <t>Vimal Kumar</t>
  </si>
  <si>
    <t>Amarjeet</t>
  </si>
  <si>
    <t>146</t>
  </si>
  <si>
    <t>319</t>
  </si>
  <si>
    <t>320</t>
  </si>
  <si>
    <t>321</t>
  </si>
  <si>
    <t>322</t>
  </si>
  <si>
    <t>030</t>
  </si>
  <si>
    <t>Govinda Rajan</t>
  </si>
  <si>
    <t>Sanjay Tiwari</t>
  </si>
  <si>
    <t>Sikandar</t>
  </si>
  <si>
    <t>Balaji Sopan</t>
  </si>
  <si>
    <t>323</t>
  </si>
  <si>
    <t>325</t>
  </si>
  <si>
    <t>Ramnik Vala</t>
  </si>
  <si>
    <t>Paresh Chana</t>
  </si>
  <si>
    <t>Ramesh Vajshi</t>
  </si>
  <si>
    <t>324</t>
  </si>
  <si>
    <t>Muthukumar</t>
  </si>
  <si>
    <t>Vignesh Mariyappan</t>
  </si>
  <si>
    <t>Arbind Chaurasiya</t>
  </si>
  <si>
    <t>Manjay Kumar</t>
  </si>
  <si>
    <t>Rajan Kumar Pasi</t>
  </si>
  <si>
    <t>Wasim Akram</t>
  </si>
  <si>
    <t>Sek Mosarraf</t>
  </si>
  <si>
    <t>Mohammad Mahfuz</t>
  </si>
  <si>
    <t>Devlal Singh</t>
  </si>
  <si>
    <t>Virendra Kumar</t>
  </si>
  <si>
    <t>Rajesh Kumar Chaudhari</t>
  </si>
  <si>
    <t>326</t>
  </si>
  <si>
    <t>Jaya Bharathi</t>
  </si>
  <si>
    <t>Pavan Kumar</t>
  </si>
  <si>
    <t>CRCC - PL</t>
  </si>
  <si>
    <t>Brijesh Kumar</t>
  </si>
  <si>
    <t>Md Adil</t>
  </si>
  <si>
    <t>Naimuddin Ansari</t>
  </si>
  <si>
    <t>Salauddin Ansari</t>
  </si>
  <si>
    <t>Shaquib Nawaj Shahid Jamal</t>
  </si>
  <si>
    <t>Guljar Harun</t>
  </si>
  <si>
    <t>328</t>
  </si>
  <si>
    <t>329</t>
  </si>
  <si>
    <t>330</t>
  </si>
  <si>
    <t>334</t>
  </si>
  <si>
    <t>335</t>
  </si>
  <si>
    <t>336</t>
  </si>
  <si>
    <t>337</t>
  </si>
  <si>
    <t>338</t>
  </si>
  <si>
    <t>341</t>
  </si>
  <si>
    <t>342</t>
  </si>
  <si>
    <t>327</t>
  </si>
  <si>
    <t>Sunil Kumar</t>
  </si>
  <si>
    <t>331</t>
  </si>
  <si>
    <t>Md Muslim</t>
  </si>
  <si>
    <t>Arif Reja</t>
  </si>
  <si>
    <t>Motilal Sah</t>
  </si>
  <si>
    <t>AZTEC - MEYDAN</t>
  </si>
  <si>
    <t>Sagiralam Ishaque Miyan</t>
  </si>
  <si>
    <t>Asserwadam Cheeli</t>
  </si>
  <si>
    <t>Ashokbhai Mohanbhai</t>
  </si>
  <si>
    <t>332</t>
  </si>
  <si>
    <t>333</t>
  </si>
  <si>
    <t>AZTEC - RAS AL KHOR</t>
  </si>
  <si>
    <t>339</t>
  </si>
  <si>
    <t>340</t>
  </si>
  <si>
    <t>VACATION</t>
  </si>
  <si>
    <t>Md Abu Taher</t>
  </si>
  <si>
    <t>MD Maruf Rahman</t>
  </si>
  <si>
    <t>V</t>
  </si>
  <si>
    <t>ABS</t>
  </si>
  <si>
    <t>ABSCONDING</t>
  </si>
  <si>
    <t>049</t>
  </si>
  <si>
    <t>Guddoo Kumar</t>
  </si>
  <si>
    <t>086</t>
  </si>
  <si>
    <t>Afzal</t>
  </si>
  <si>
    <t>MD Sharif Ansari</t>
  </si>
  <si>
    <t>MD. Sarfaraz</t>
  </si>
  <si>
    <t>Chandan Ram</t>
  </si>
  <si>
    <t>Manoj</t>
  </si>
  <si>
    <t>Akhilesh</t>
  </si>
  <si>
    <t>343</t>
  </si>
  <si>
    <t>345</t>
  </si>
  <si>
    <t>347</t>
  </si>
  <si>
    <t>019</t>
  </si>
  <si>
    <t>Ajad Sha</t>
  </si>
  <si>
    <t>036</t>
  </si>
  <si>
    <t xml:space="preserve">Karuppasamy Karuppasamy </t>
  </si>
  <si>
    <t>Foreman</t>
  </si>
  <si>
    <t>346</t>
  </si>
  <si>
    <t>Shivchand</t>
  </si>
  <si>
    <t>348</t>
  </si>
  <si>
    <t>026</t>
  </si>
  <si>
    <t>Aras Miyan</t>
  </si>
  <si>
    <t>032</t>
  </si>
  <si>
    <t>Hemant Karsan</t>
  </si>
  <si>
    <t>033</t>
  </si>
  <si>
    <t>Manish Kumar</t>
  </si>
  <si>
    <t>Abhay Kumar</t>
  </si>
  <si>
    <t>Girajesh Suresh</t>
  </si>
  <si>
    <t>Chndrdev Ram</t>
  </si>
  <si>
    <t>Harsh Prajapati</t>
  </si>
  <si>
    <t>349</t>
  </si>
  <si>
    <t>350</t>
  </si>
  <si>
    <t>Kartik Ganesan</t>
  </si>
  <si>
    <t>Manivel Krishnan</t>
  </si>
  <si>
    <t>Karuppasamy Paramasiva</t>
  </si>
  <si>
    <t>Nagarajan Subramanian</t>
  </si>
  <si>
    <t>Vinod Chandra</t>
  </si>
  <si>
    <t>Lalchand Chauhan</t>
  </si>
  <si>
    <t>Pramod Chauhan</t>
  </si>
  <si>
    <t>Dinu Naran</t>
  </si>
  <si>
    <t>Rajman Ram</t>
  </si>
  <si>
    <t>INAYA - HOAM - GCV</t>
  </si>
  <si>
    <t>INAYA - HOAM - HIL</t>
  </si>
  <si>
    <t>INAYA - HOAM - ITP</t>
  </si>
  <si>
    <t>226</t>
  </si>
  <si>
    <t>Harendra Prasad</t>
  </si>
  <si>
    <t>Ananthan Balasubramaniyan</t>
  </si>
  <si>
    <t>Mohammad Ladla</t>
  </si>
  <si>
    <t>MD. Dilshad</t>
  </si>
  <si>
    <t>IEMS</t>
  </si>
  <si>
    <t>Vijay Kumar</t>
  </si>
  <si>
    <t>Deepak Kumar</t>
  </si>
  <si>
    <t>368</t>
  </si>
  <si>
    <t>Arun Kumar</t>
  </si>
  <si>
    <t>252</t>
  </si>
  <si>
    <t>Ajaj Alam</t>
  </si>
  <si>
    <t>Vikas Kumar</t>
  </si>
  <si>
    <t>Surendra</t>
  </si>
  <si>
    <t>Vinod Bommidi</t>
  </si>
  <si>
    <t>Mohammad Rustam Alam</t>
  </si>
  <si>
    <t>FARNEK</t>
  </si>
  <si>
    <t>352</t>
  </si>
  <si>
    <t>353</t>
  </si>
  <si>
    <t>365</t>
  </si>
  <si>
    <t>366</t>
  </si>
  <si>
    <t>367</t>
  </si>
  <si>
    <t>370</t>
  </si>
  <si>
    <t>374</t>
  </si>
  <si>
    <t>372</t>
  </si>
  <si>
    <t>Rameshkumar</t>
  </si>
  <si>
    <t>375</t>
  </si>
  <si>
    <t>369</t>
  </si>
  <si>
    <t>376</t>
  </si>
  <si>
    <t>039</t>
  </si>
  <si>
    <t>Ramprakash Mahto</t>
  </si>
  <si>
    <t>Ram Lakhan</t>
  </si>
  <si>
    <t>MAETEL</t>
  </si>
  <si>
    <t>Saravanan Thangavel</t>
  </si>
  <si>
    <t>Vivek Yadav</t>
  </si>
  <si>
    <t>Manish Maurya</t>
  </si>
  <si>
    <t>Mohammad Sohayal</t>
  </si>
  <si>
    <t>011</t>
  </si>
  <si>
    <t>Rajan Kumar</t>
  </si>
  <si>
    <t>373</t>
  </si>
  <si>
    <t>362</t>
  </si>
  <si>
    <t>355</t>
  </si>
  <si>
    <t>356</t>
  </si>
  <si>
    <t>357</t>
  </si>
  <si>
    <t>358</t>
  </si>
  <si>
    <t>359</t>
  </si>
  <si>
    <t>363</t>
  </si>
  <si>
    <t>364</t>
  </si>
  <si>
    <t>371</t>
  </si>
  <si>
    <t>INAYA - DTC</t>
  </si>
  <si>
    <t>INAYA - IFZA</t>
  </si>
  <si>
    <t>MD Abu Kalam</t>
  </si>
  <si>
    <t>INAYA - TWT</t>
  </si>
  <si>
    <t>Ganganna Kasarapu</t>
  </si>
  <si>
    <t>Sethumanickam Karuppan</t>
  </si>
  <si>
    <t>Sudhakar Karuppasamy</t>
  </si>
  <si>
    <t>Electrician Helper</t>
  </si>
  <si>
    <t>Plumber Helper</t>
  </si>
  <si>
    <t>380</t>
  </si>
  <si>
    <t>Mangesh Kumar</t>
  </si>
  <si>
    <t>382</t>
  </si>
  <si>
    <t>Takrar Hussain</t>
  </si>
  <si>
    <t>383</t>
  </si>
  <si>
    <t>Ubedur Rhman</t>
  </si>
  <si>
    <t>377</t>
  </si>
  <si>
    <t>378</t>
  </si>
  <si>
    <t>Govind Rajan</t>
  </si>
  <si>
    <t>ZeeaulHaque</t>
  </si>
  <si>
    <t>Jentilal odha</t>
  </si>
  <si>
    <t>Majhar Ansari</t>
  </si>
  <si>
    <t>Vadivelu Muthu</t>
  </si>
  <si>
    <t>Viji Veerapathiran</t>
  </si>
  <si>
    <t>Mohammad Yunus</t>
  </si>
  <si>
    <t>Gulshan Kumar</t>
  </si>
  <si>
    <t>Mohammad Irshad</t>
  </si>
  <si>
    <t>Gulab Hussain</t>
  </si>
  <si>
    <t>Pankaj Kumar</t>
  </si>
  <si>
    <t>Chandan Durga</t>
  </si>
  <si>
    <t>Serajuddin Khan</t>
  </si>
  <si>
    <t xml:space="preserve">Selvaraj </t>
  </si>
  <si>
    <t>Raj Singh</t>
  </si>
  <si>
    <t>223</t>
  </si>
  <si>
    <t>297</t>
  </si>
  <si>
    <t>379</t>
  </si>
  <si>
    <t>381</t>
  </si>
  <si>
    <t>134</t>
  </si>
  <si>
    <t>Parasuram</t>
  </si>
  <si>
    <t>MAINTENANACE</t>
  </si>
  <si>
    <t>SEPTEMBER 2025</t>
  </si>
  <si>
    <t>PH</t>
  </si>
  <si>
    <t>INAYA - HOAM - AB2</t>
  </si>
  <si>
    <t>INAYA - BMDA</t>
  </si>
  <si>
    <t>INAYA - HOAM - J5</t>
  </si>
  <si>
    <t>INAYA - HOAM - LSR</t>
  </si>
  <si>
    <t>INAYA - PINNACLE</t>
  </si>
  <si>
    <t>DUTCO</t>
  </si>
  <si>
    <t>ABHISHEK KUMAR SHYAM LAL MA</t>
  </si>
  <si>
    <t>ELECTRICIAN</t>
  </si>
  <si>
    <t>ARMAN ALI JAMALUDDIN MIYA</t>
  </si>
  <si>
    <t>EKBAL ALI MASUM ALI</t>
  </si>
  <si>
    <t>MOHAMMAD ABDUL MOHAMMAD</t>
  </si>
  <si>
    <t>RAJU KUSHAWAHA JAGLAL KUSH</t>
  </si>
  <si>
    <t>ANIL KUMAR TIWARI MAHATAM TI</t>
  </si>
  <si>
    <t>KASHMIR SINGH RAJESH KUMAR</t>
  </si>
  <si>
    <t>PLUMBER</t>
  </si>
  <si>
    <t>RAVI KISHAN RAM RAJ KISHOR RA</t>
  </si>
  <si>
    <t>CHANDRSHEKHAR RAJBHAR HAR</t>
  </si>
  <si>
    <t>GOVARDHAN CHAUHAN</t>
  </si>
  <si>
    <t>S-09</t>
  </si>
  <si>
    <t>Ahmed Tharick</t>
  </si>
  <si>
    <t>Forman</t>
  </si>
  <si>
    <t>Rajesh Kharava</t>
  </si>
  <si>
    <t>Ravish Kumar</t>
  </si>
  <si>
    <t>Dinesh Kumar</t>
  </si>
  <si>
    <t>Ashok Kumar</t>
  </si>
  <si>
    <t>Chandrashekhar Rajbhar</t>
  </si>
  <si>
    <t>Govardhan  Chauhan</t>
  </si>
  <si>
    <t>Kashmir Singh</t>
  </si>
  <si>
    <t>095</t>
  </si>
  <si>
    <t>096</t>
  </si>
  <si>
    <t>Birendra Pal</t>
  </si>
  <si>
    <t>384</t>
  </si>
  <si>
    <t>385</t>
  </si>
  <si>
    <t>386</t>
  </si>
  <si>
    <t>IEMS - DUTCO</t>
  </si>
  <si>
    <t>CRCC - AH - DUTCO</t>
  </si>
  <si>
    <t>KAVALAR - DUTCO</t>
  </si>
  <si>
    <t>CRCC - PL - IEMS</t>
  </si>
  <si>
    <t>EW - DUTCO</t>
  </si>
  <si>
    <t>EL</t>
  </si>
  <si>
    <t>AYYAPPAN JAGANATHAN JAGANA</t>
  </si>
  <si>
    <t>MASON</t>
  </si>
  <si>
    <t>JAYAH PRAKASH</t>
  </si>
  <si>
    <t>KRISHNA SAH RAMAYAN SAH</t>
  </si>
  <si>
    <t>Mahendran Malaiyandi</t>
  </si>
  <si>
    <t>JAYA PRAKASH</t>
  </si>
  <si>
    <t>DANWAY - AZTEC - RAS AL KHOR</t>
  </si>
  <si>
    <t>PL - AZTEC - RAS AL KHOR</t>
  </si>
  <si>
    <t>PL - MERAKI</t>
  </si>
  <si>
    <t>MAINTENANACE - MERAKI</t>
  </si>
  <si>
    <t>DH - MAINTENANACE</t>
  </si>
  <si>
    <t>PL - DH</t>
  </si>
  <si>
    <t>MAETEL - MAINTENANACE</t>
  </si>
  <si>
    <t>DANWAY - MERAKI</t>
  </si>
  <si>
    <t>AZTEC - RAS AL KHOR - AZTEC - MEYDAN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</si>
</sst>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AED]\ #,##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quotePrefix="1" applyNumberFormat="1" applyFont="1" applyFill="1" applyBorder="1" applyAlignment="1">
      <alignment horizontal="center" vertical="center"/>
    </xf>
    <xf numFmtId="17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429"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D5BD-5DE5-4AF1-B906-592EFE6E542B}">
  <dimension ref="A1:AL207"/>
  <sheetViews>
    <sheetView zoomScale="85" zoomScaleNormal="85" workbookViewId="0">
      <pane xSplit="3" ySplit="2" topLeftCell="D91" activePane="bottomRight" state="frozen"/>
      <selection pane="topRight" activeCell="D1" sqref="D1"/>
      <selection pane="bottomLeft" activeCell="A3" sqref="A3"/>
      <selection pane="bottomRight" activeCell="B3" sqref="B3:B116"/>
    </sheetView>
  </sheetViews>
  <sheetFormatPr defaultColWidth="6.7109375" defaultRowHeight="18" customHeight="1" x14ac:dyDescent="0.25"/>
  <cols>
    <col min="1" max="2" width="6.28515625" style="6" customWidth="1"/>
    <col min="3" max="3" width="29.42578125" style="9" bestFit="1" customWidth="1"/>
    <col min="4" max="4" width="17" style="6" customWidth="1"/>
    <col min="5" max="34" width="5.28515625" style="6" customWidth="1"/>
    <col min="35" max="35" width="14.7109375" style="6" bestFit="1" customWidth="1"/>
    <col min="36" max="36" width="8.7109375" style="6" customWidth="1"/>
    <col min="37" max="37" width="12.7109375" style="6" customWidth="1"/>
    <col min="38" max="38" width="40.85546875" style="6" bestFit="1" customWidth="1"/>
    <col min="39" max="16384" width="6.7109375" style="6"/>
  </cols>
  <sheetData>
    <row r="1" spans="1:38" ht="45" customHeight="1" x14ac:dyDescent="0.25">
      <c r="A1" s="40" t="s">
        <v>514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pans="1:38" ht="40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1</v>
      </c>
      <c r="F2" s="1">
        <v>2</v>
      </c>
      <c r="G2" s="1">
        <v>3</v>
      </c>
      <c r="H2" s="1">
        <v>4</v>
      </c>
      <c r="I2" s="34">
        <v>5</v>
      </c>
      <c r="J2" s="1">
        <v>6</v>
      </c>
      <c r="K2" s="29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29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29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29">
        <v>28</v>
      </c>
      <c r="AG2" s="1">
        <v>29</v>
      </c>
      <c r="AH2" s="1">
        <v>30</v>
      </c>
      <c r="AI2" s="20" t="s">
        <v>5</v>
      </c>
      <c r="AJ2" s="20" t="s">
        <v>81</v>
      </c>
      <c r="AK2" s="1" t="s">
        <v>6</v>
      </c>
      <c r="AL2" s="1" t="s">
        <v>4</v>
      </c>
    </row>
    <row r="3" spans="1:38" ht="19.899999999999999" customHeight="1" x14ac:dyDescent="0.25">
      <c r="A3" s="2">
        <v>1</v>
      </c>
      <c r="B3" s="30" t="s">
        <v>208</v>
      </c>
      <c r="C3" s="4" t="s">
        <v>561</v>
      </c>
      <c r="D3" s="2" t="s">
        <v>557</v>
      </c>
      <c r="E3" s="23">
        <v>10</v>
      </c>
      <c r="F3" s="23">
        <v>10</v>
      </c>
      <c r="G3" s="23">
        <v>10</v>
      </c>
      <c r="H3" s="23">
        <v>10</v>
      </c>
      <c r="I3" s="23" t="s">
        <v>515</v>
      </c>
      <c r="J3" s="23" t="s">
        <v>32</v>
      </c>
      <c r="K3" s="23" t="s">
        <v>10</v>
      </c>
      <c r="L3" s="23">
        <v>10</v>
      </c>
      <c r="M3" s="23">
        <v>10</v>
      </c>
      <c r="N3" s="23">
        <v>10</v>
      </c>
      <c r="O3" s="23">
        <v>10</v>
      </c>
      <c r="P3" s="23">
        <v>10</v>
      </c>
      <c r="Q3" s="23">
        <v>10</v>
      </c>
      <c r="R3" s="23" t="s">
        <v>10</v>
      </c>
      <c r="S3" s="23">
        <v>10</v>
      </c>
      <c r="T3" s="23">
        <v>10</v>
      </c>
      <c r="U3" s="23">
        <v>10</v>
      </c>
      <c r="V3" s="23">
        <v>10</v>
      </c>
      <c r="W3" s="23">
        <v>10</v>
      </c>
      <c r="X3" s="23">
        <v>10</v>
      </c>
      <c r="Y3" s="23" t="s">
        <v>10</v>
      </c>
      <c r="Z3" s="23">
        <v>10</v>
      </c>
      <c r="AA3" s="23">
        <v>10</v>
      </c>
      <c r="AB3" s="23">
        <v>10</v>
      </c>
      <c r="AC3" s="23">
        <v>10</v>
      </c>
      <c r="AD3" s="23">
        <v>10</v>
      </c>
      <c r="AE3" s="23">
        <v>10</v>
      </c>
      <c r="AF3" s="23" t="s">
        <v>10</v>
      </c>
      <c r="AG3" s="23">
        <v>10</v>
      </c>
      <c r="AH3" s="23">
        <v>10</v>
      </c>
      <c r="AI3" s="22">
        <f t="shared" ref="AI3:AI34" si="0">SUM(E3:AH3)</f>
        <v>240</v>
      </c>
      <c r="AJ3" s="2"/>
      <c r="AK3" s="14">
        <f t="shared" ref="AK3:AK34" si="1">AI3*AJ3</f>
        <v>0</v>
      </c>
      <c r="AL3" s="2" t="s">
        <v>94</v>
      </c>
    </row>
    <row r="4" spans="1:38" ht="19.899999999999999" customHeight="1" x14ac:dyDescent="0.25">
      <c r="A4" s="2">
        <v>2</v>
      </c>
      <c r="B4" s="25" t="s">
        <v>177</v>
      </c>
      <c r="C4" s="4" t="s">
        <v>178</v>
      </c>
      <c r="D4" s="2" t="s">
        <v>165</v>
      </c>
      <c r="E4" s="23">
        <v>9.5</v>
      </c>
      <c r="F4" s="23">
        <v>9.5</v>
      </c>
      <c r="G4" s="23">
        <v>9.5</v>
      </c>
      <c r="H4" s="23">
        <v>9.5</v>
      </c>
      <c r="I4" s="23">
        <v>9.5</v>
      </c>
      <c r="J4" s="23">
        <v>9.5</v>
      </c>
      <c r="K4" s="23" t="s">
        <v>10</v>
      </c>
      <c r="L4" s="23">
        <v>9.5</v>
      </c>
      <c r="M4" s="23">
        <v>9.5</v>
      </c>
      <c r="N4" s="23">
        <v>9.5</v>
      </c>
      <c r="O4" s="23">
        <v>9.5</v>
      </c>
      <c r="P4" s="23">
        <v>9.5</v>
      </c>
      <c r="Q4" s="23">
        <v>9.5</v>
      </c>
      <c r="R4" s="23" t="s">
        <v>10</v>
      </c>
      <c r="S4" s="23">
        <v>11</v>
      </c>
      <c r="T4" s="23">
        <v>11</v>
      </c>
      <c r="U4" s="23">
        <v>11</v>
      </c>
      <c r="V4" s="23">
        <v>11</v>
      </c>
      <c r="W4" s="23">
        <v>11</v>
      </c>
      <c r="X4" s="23">
        <v>11</v>
      </c>
      <c r="Y4" s="23" t="s">
        <v>10</v>
      </c>
      <c r="Z4" s="23">
        <v>11</v>
      </c>
      <c r="AA4" s="23">
        <v>11</v>
      </c>
      <c r="AB4" s="23">
        <v>11</v>
      </c>
      <c r="AC4" s="23">
        <v>11</v>
      </c>
      <c r="AD4" s="23">
        <v>11</v>
      </c>
      <c r="AE4" s="23">
        <v>11</v>
      </c>
      <c r="AF4" s="23" t="s">
        <v>10</v>
      </c>
      <c r="AG4" s="23">
        <v>11</v>
      </c>
      <c r="AH4" s="23">
        <v>11</v>
      </c>
      <c r="AI4" s="22">
        <f t="shared" si="0"/>
        <v>268</v>
      </c>
      <c r="AJ4" s="2"/>
      <c r="AK4" s="14">
        <f t="shared" si="1"/>
        <v>0</v>
      </c>
      <c r="AL4" s="2" t="s">
        <v>284</v>
      </c>
    </row>
    <row r="5" spans="1:38" ht="19.899999999999999" customHeight="1" x14ac:dyDescent="0.25">
      <c r="A5" s="2">
        <v>3</v>
      </c>
      <c r="B5" s="25" t="s">
        <v>463</v>
      </c>
      <c r="C5" s="4" t="s">
        <v>464</v>
      </c>
      <c r="D5" s="2" t="s">
        <v>165</v>
      </c>
      <c r="E5" s="23">
        <v>11</v>
      </c>
      <c r="F5" s="23">
        <v>11</v>
      </c>
      <c r="G5" s="23">
        <v>11</v>
      </c>
      <c r="H5" s="23">
        <v>11</v>
      </c>
      <c r="I5" s="23">
        <v>11</v>
      </c>
      <c r="J5" s="23">
        <v>11</v>
      </c>
      <c r="K5" s="23" t="s">
        <v>10</v>
      </c>
      <c r="L5" s="23">
        <v>11</v>
      </c>
      <c r="M5" s="23" t="s">
        <v>32</v>
      </c>
      <c r="N5" s="23">
        <v>11</v>
      </c>
      <c r="O5" s="23">
        <v>11</v>
      </c>
      <c r="P5" s="23">
        <v>11</v>
      </c>
      <c r="Q5" s="23">
        <v>11</v>
      </c>
      <c r="R5" s="23" t="s">
        <v>10</v>
      </c>
      <c r="S5" s="23">
        <v>11</v>
      </c>
      <c r="T5" s="23">
        <v>11</v>
      </c>
      <c r="U5" s="23">
        <v>11</v>
      </c>
      <c r="V5" s="23">
        <v>11</v>
      </c>
      <c r="W5" s="23">
        <v>11</v>
      </c>
      <c r="X5" s="23">
        <v>11</v>
      </c>
      <c r="Y5" s="23" t="s">
        <v>10</v>
      </c>
      <c r="Z5" s="23">
        <v>11</v>
      </c>
      <c r="AA5" s="23">
        <v>11</v>
      </c>
      <c r="AB5" s="23">
        <v>11</v>
      </c>
      <c r="AC5" s="23">
        <v>11</v>
      </c>
      <c r="AD5" s="23">
        <v>11</v>
      </c>
      <c r="AE5" s="23">
        <v>11</v>
      </c>
      <c r="AF5" s="23" t="s">
        <v>10</v>
      </c>
      <c r="AG5" s="23">
        <v>11</v>
      </c>
      <c r="AH5" s="23">
        <v>11</v>
      </c>
      <c r="AI5" s="22">
        <f t="shared" si="0"/>
        <v>275</v>
      </c>
      <c r="AJ5" s="2"/>
      <c r="AK5" s="14">
        <f t="shared" si="1"/>
        <v>0</v>
      </c>
      <c r="AL5" s="2" t="s">
        <v>284</v>
      </c>
    </row>
    <row r="6" spans="1:38" ht="19.899999999999999" customHeight="1" x14ac:dyDescent="0.25">
      <c r="A6" s="2">
        <v>4</v>
      </c>
      <c r="B6" s="25" t="s">
        <v>239</v>
      </c>
      <c r="C6" s="4" t="s">
        <v>240</v>
      </c>
      <c r="D6" s="2" t="s">
        <v>165</v>
      </c>
      <c r="E6" s="23">
        <v>11</v>
      </c>
      <c r="F6" s="23">
        <v>11</v>
      </c>
      <c r="G6" s="23">
        <v>11</v>
      </c>
      <c r="H6" s="23">
        <v>11</v>
      </c>
      <c r="I6" s="23">
        <v>11</v>
      </c>
      <c r="J6" s="23">
        <v>11</v>
      </c>
      <c r="K6" s="23">
        <v>11</v>
      </c>
      <c r="L6" s="23">
        <v>11</v>
      </c>
      <c r="M6" s="23">
        <v>11</v>
      </c>
      <c r="N6" s="23">
        <v>11</v>
      </c>
      <c r="O6" s="23">
        <v>11</v>
      </c>
      <c r="P6" s="23">
        <v>11</v>
      </c>
      <c r="Q6" s="23">
        <v>11</v>
      </c>
      <c r="R6" s="23">
        <v>11</v>
      </c>
      <c r="S6" s="23">
        <v>11</v>
      </c>
      <c r="T6" s="23">
        <v>11</v>
      </c>
      <c r="U6" s="23">
        <v>11</v>
      </c>
      <c r="V6" s="23">
        <v>11</v>
      </c>
      <c r="W6" s="23">
        <v>11</v>
      </c>
      <c r="X6" s="23">
        <v>11</v>
      </c>
      <c r="Y6" s="23" t="s">
        <v>10</v>
      </c>
      <c r="Z6" s="23" t="s">
        <v>32</v>
      </c>
      <c r="AA6" s="23">
        <v>8</v>
      </c>
      <c r="AB6" s="23">
        <v>11</v>
      </c>
      <c r="AC6" s="23">
        <v>11</v>
      </c>
      <c r="AD6" s="23">
        <v>11</v>
      </c>
      <c r="AE6" s="23">
        <v>11</v>
      </c>
      <c r="AF6" s="23" t="s">
        <v>10</v>
      </c>
      <c r="AG6" s="23">
        <v>11</v>
      </c>
      <c r="AH6" s="23">
        <v>11</v>
      </c>
      <c r="AI6" s="22">
        <f t="shared" si="0"/>
        <v>294</v>
      </c>
      <c r="AJ6" s="2"/>
      <c r="AK6" s="14">
        <f t="shared" si="1"/>
        <v>0</v>
      </c>
      <c r="AL6" s="2" t="s">
        <v>284</v>
      </c>
    </row>
    <row r="7" spans="1:38" ht="19.899999999999999" customHeight="1" x14ac:dyDescent="0.25">
      <c r="A7" s="2">
        <v>5</v>
      </c>
      <c r="B7" s="25" t="s">
        <v>394</v>
      </c>
      <c r="C7" s="4" t="s">
        <v>395</v>
      </c>
      <c r="D7" s="2" t="s">
        <v>165</v>
      </c>
      <c r="E7" s="23">
        <v>10</v>
      </c>
      <c r="F7" s="23">
        <v>10</v>
      </c>
      <c r="G7" s="23">
        <v>10</v>
      </c>
      <c r="H7" s="23">
        <v>10</v>
      </c>
      <c r="I7" s="23">
        <v>10</v>
      </c>
      <c r="J7" s="23">
        <v>10</v>
      </c>
      <c r="K7" s="23" t="s">
        <v>10</v>
      </c>
      <c r="L7" s="23">
        <v>10</v>
      </c>
      <c r="M7" s="23">
        <v>10</v>
      </c>
      <c r="N7" s="23">
        <v>10</v>
      </c>
      <c r="O7" s="23">
        <v>10</v>
      </c>
      <c r="P7" s="23">
        <v>10</v>
      </c>
      <c r="Q7" s="23">
        <v>10</v>
      </c>
      <c r="R7" s="23">
        <v>11</v>
      </c>
      <c r="S7" s="23">
        <v>12.5</v>
      </c>
      <c r="T7" s="23">
        <v>14</v>
      </c>
      <c r="U7" s="23">
        <v>11</v>
      </c>
      <c r="V7" s="23">
        <v>11</v>
      </c>
      <c r="W7" s="23">
        <v>11</v>
      </c>
      <c r="X7" s="23">
        <v>10</v>
      </c>
      <c r="Y7" s="23" t="s">
        <v>10</v>
      </c>
      <c r="Z7" s="23">
        <v>10</v>
      </c>
      <c r="AA7" s="23">
        <v>10</v>
      </c>
      <c r="AB7" s="23">
        <v>10</v>
      </c>
      <c r="AC7" s="23">
        <v>10</v>
      </c>
      <c r="AD7" s="23">
        <v>11</v>
      </c>
      <c r="AE7" s="23">
        <v>10</v>
      </c>
      <c r="AF7" s="23">
        <v>11</v>
      </c>
      <c r="AG7" s="23">
        <v>10</v>
      </c>
      <c r="AH7" s="23">
        <v>10</v>
      </c>
      <c r="AI7" s="22">
        <f t="shared" si="0"/>
        <v>292.5</v>
      </c>
      <c r="AJ7" s="21"/>
      <c r="AK7" s="14">
        <f t="shared" si="1"/>
        <v>0</v>
      </c>
      <c r="AL7" s="2" t="s">
        <v>373</v>
      </c>
    </row>
    <row r="8" spans="1:38" ht="19.899999999999999" customHeight="1" x14ac:dyDescent="0.25">
      <c r="A8" s="2">
        <v>6</v>
      </c>
      <c r="B8" s="28" t="s">
        <v>211</v>
      </c>
      <c r="C8" s="4" t="s">
        <v>212</v>
      </c>
      <c r="D8" s="2" t="s">
        <v>165</v>
      </c>
      <c r="E8" s="23"/>
      <c r="F8" s="23"/>
      <c r="G8" s="23"/>
      <c r="H8" s="23"/>
      <c r="I8" s="23"/>
      <c r="J8" s="23">
        <v>10</v>
      </c>
      <c r="K8" s="23" t="s">
        <v>10</v>
      </c>
      <c r="L8" s="23">
        <v>10</v>
      </c>
      <c r="M8" s="23">
        <v>10</v>
      </c>
      <c r="N8" s="23">
        <v>10</v>
      </c>
      <c r="O8" s="23">
        <v>10</v>
      </c>
      <c r="P8" s="23">
        <v>10</v>
      </c>
      <c r="Q8" s="23">
        <v>10</v>
      </c>
      <c r="R8" s="23" t="s">
        <v>10</v>
      </c>
      <c r="S8" s="23">
        <v>10</v>
      </c>
      <c r="T8" s="23">
        <v>10</v>
      </c>
      <c r="U8" s="23">
        <v>10</v>
      </c>
      <c r="V8" s="23">
        <v>10</v>
      </c>
      <c r="W8" s="23">
        <v>12</v>
      </c>
      <c r="X8" s="23">
        <v>11</v>
      </c>
      <c r="Y8" s="23" t="s">
        <v>10</v>
      </c>
      <c r="Z8" s="23">
        <v>10</v>
      </c>
      <c r="AA8" s="23">
        <v>10</v>
      </c>
      <c r="AB8" s="23">
        <v>10</v>
      </c>
      <c r="AC8" s="23">
        <v>11</v>
      </c>
      <c r="AD8" s="23">
        <v>11</v>
      </c>
      <c r="AE8" s="23">
        <v>10</v>
      </c>
      <c r="AF8" s="23" t="s">
        <v>10</v>
      </c>
      <c r="AG8" s="23">
        <v>10</v>
      </c>
      <c r="AH8" s="23">
        <v>10</v>
      </c>
      <c r="AI8" s="22">
        <f t="shared" si="0"/>
        <v>215</v>
      </c>
      <c r="AJ8" s="21"/>
      <c r="AK8" s="14">
        <f t="shared" si="1"/>
        <v>0</v>
      </c>
      <c r="AL8" s="2" t="s">
        <v>562</v>
      </c>
    </row>
    <row r="9" spans="1:38" ht="19.899999999999999" customHeight="1" x14ac:dyDescent="0.25">
      <c r="A9" s="2">
        <v>7</v>
      </c>
      <c r="B9" s="25" t="s">
        <v>402</v>
      </c>
      <c r="C9" s="4" t="s">
        <v>403</v>
      </c>
      <c r="D9" s="2" t="s">
        <v>165</v>
      </c>
      <c r="E9" s="23">
        <v>10</v>
      </c>
      <c r="F9" s="23">
        <v>10</v>
      </c>
      <c r="G9" s="23">
        <v>10</v>
      </c>
      <c r="H9" s="23">
        <v>10</v>
      </c>
      <c r="I9" s="23">
        <v>10</v>
      </c>
      <c r="J9" s="23">
        <v>10</v>
      </c>
      <c r="K9" s="23" t="s">
        <v>10</v>
      </c>
      <c r="L9" s="23">
        <v>10</v>
      </c>
      <c r="M9" s="23">
        <v>10</v>
      </c>
      <c r="N9" s="23">
        <v>10</v>
      </c>
      <c r="O9" s="23">
        <v>10</v>
      </c>
      <c r="P9" s="23">
        <v>10</v>
      </c>
      <c r="Q9" s="23">
        <v>10</v>
      </c>
      <c r="R9" s="23">
        <v>11</v>
      </c>
      <c r="S9" s="23">
        <v>12.5</v>
      </c>
      <c r="T9" s="23">
        <v>14</v>
      </c>
      <c r="U9" s="23">
        <v>11</v>
      </c>
      <c r="V9" s="23">
        <v>11</v>
      </c>
      <c r="W9" s="23">
        <v>11</v>
      </c>
      <c r="X9" s="23">
        <v>10</v>
      </c>
      <c r="Y9" s="23" t="s">
        <v>10</v>
      </c>
      <c r="Z9" s="23">
        <v>10</v>
      </c>
      <c r="AA9" s="23">
        <v>10</v>
      </c>
      <c r="AB9" s="23">
        <v>10</v>
      </c>
      <c r="AC9" s="23">
        <v>10</v>
      </c>
      <c r="AD9" s="23">
        <v>11</v>
      </c>
      <c r="AE9" s="23">
        <v>10</v>
      </c>
      <c r="AF9" s="23">
        <v>11</v>
      </c>
      <c r="AG9" s="23">
        <v>10</v>
      </c>
      <c r="AH9" s="23">
        <v>10</v>
      </c>
      <c r="AI9" s="22">
        <f t="shared" si="0"/>
        <v>292.5</v>
      </c>
      <c r="AJ9" s="21"/>
      <c r="AK9" s="14">
        <f t="shared" si="1"/>
        <v>0</v>
      </c>
      <c r="AL9" s="2" t="s">
        <v>373</v>
      </c>
    </row>
    <row r="10" spans="1:38" ht="19.899999999999999" customHeight="1" x14ac:dyDescent="0.25">
      <c r="A10" s="2">
        <v>8</v>
      </c>
      <c r="B10" s="25" t="s">
        <v>319</v>
      </c>
      <c r="C10" s="4" t="s">
        <v>320</v>
      </c>
      <c r="D10" s="2" t="s">
        <v>179</v>
      </c>
      <c r="E10" s="23">
        <v>12</v>
      </c>
      <c r="F10" s="23">
        <v>11</v>
      </c>
      <c r="G10" s="23">
        <v>12</v>
      </c>
      <c r="H10" s="23">
        <v>11</v>
      </c>
      <c r="I10" s="23">
        <v>11</v>
      </c>
      <c r="J10" s="23">
        <v>11</v>
      </c>
      <c r="K10" s="23">
        <v>11</v>
      </c>
      <c r="L10" s="23">
        <v>12</v>
      </c>
      <c r="M10" s="23">
        <v>11</v>
      </c>
      <c r="N10" s="23">
        <v>11</v>
      </c>
      <c r="O10" s="23">
        <v>12</v>
      </c>
      <c r="P10" s="23">
        <v>11</v>
      </c>
      <c r="Q10" s="23">
        <v>12</v>
      </c>
      <c r="R10" s="23">
        <v>11</v>
      </c>
      <c r="S10" s="23">
        <v>11</v>
      </c>
      <c r="T10" s="23">
        <v>12</v>
      </c>
      <c r="U10" s="23">
        <v>11</v>
      </c>
      <c r="V10" s="23" t="s">
        <v>32</v>
      </c>
      <c r="W10" s="23">
        <v>11</v>
      </c>
      <c r="X10" s="23">
        <v>11</v>
      </c>
      <c r="Y10" s="23" t="s">
        <v>10</v>
      </c>
      <c r="Z10" s="23">
        <v>11</v>
      </c>
      <c r="AA10" s="23">
        <v>11</v>
      </c>
      <c r="AB10" s="23">
        <v>11</v>
      </c>
      <c r="AC10" s="23">
        <v>12</v>
      </c>
      <c r="AD10" s="23">
        <v>11</v>
      </c>
      <c r="AE10" s="23">
        <v>11</v>
      </c>
      <c r="AF10" s="23" t="s">
        <v>10</v>
      </c>
      <c r="AG10" s="23">
        <v>11</v>
      </c>
      <c r="AH10" s="23">
        <v>11</v>
      </c>
      <c r="AI10" s="22">
        <f t="shared" si="0"/>
        <v>304</v>
      </c>
      <c r="AJ10" s="2"/>
      <c r="AK10" s="14">
        <f t="shared" si="1"/>
        <v>0</v>
      </c>
      <c r="AL10" s="2" t="s">
        <v>284</v>
      </c>
    </row>
    <row r="11" spans="1:38" ht="19.899999999999999" customHeight="1" x14ac:dyDescent="0.25">
      <c r="A11" s="2">
        <v>9</v>
      </c>
      <c r="B11" s="28" t="s">
        <v>404</v>
      </c>
      <c r="C11" s="4" t="s">
        <v>405</v>
      </c>
      <c r="D11" s="2" t="s">
        <v>165</v>
      </c>
      <c r="E11" s="23">
        <v>10</v>
      </c>
      <c r="F11" s="23">
        <v>10</v>
      </c>
      <c r="G11" s="23">
        <v>10</v>
      </c>
      <c r="H11" s="23">
        <v>10</v>
      </c>
      <c r="I11" s="23" t="s">
        <v>515</v>
      </c>
      <c r="J11" s="23">
        <v>10</v>
      </c>
      <c r="K11" s="23" t="s">
        <v>10</v>
      </c>
      <c r="L11" s="23">
        <v>10</v>
      </c>
      <c r="M11" s="23">
        <v>10</v>
      </c>
      <c r="N11" s="23"/>
      <c r="O11" s="23"/>
      <c r="P11" s="23">
        <v>10</v>
      </c>
      <c r="Q11" s="23">
        <v>10</v>
      </c>
      <c r="R11" s="23" t="s">
        <v>10</v>
      </c>
      <c r="S11" s="23">
        <v>10</v>
      </c>
      <c r="T11" s="23">
        <v>10</v>
      </c>
      <c r="U11" s="23">
        <v>10</v>
      </c>
      <c r="V11" s="23">
        <v>10</v>
      </c>
      <c r="W11" s="23">
        <v>10</v>
      </c>
      <c r="X11" s="23">
        <v>10</v>
      </c>
      <c r="Y11" s="23" t="s">
        <v>10</v>
      </c>
      <c r="Z11" s="23">
        <v>10</v>
      </c>
      <c r="AA11" s="23">
        <v>10</v>
      </c>
      <c r="AB11" s="23">
        <v>10</v>
      </c>
      <c r="AC11" s="23">
        <v>10</v>
      </c>
      <c r="AD11" s="23">
        <v>10</v>
      </c>
      <c r="AE11" s="23">
        <v>10</v>
      </c>
      <c r="AF11" s="23" t="s">
        <v>10</v>
      </c>
      <c r="AG11" s="23">
        <v>10</v>
      </c>
      <c r="AH11" s="23">
        <v>10</v>
      </c>
      <c r="AI11" s="22">
        <f t="shared" si="0"/>
        <v>230</v>
      </c>
      <c r="AJ11" s="2"/>
      <c r="AK11" s="14">
        <f t="shared" si="1"/>
        <v>0</v>
      </c>
      <c r="AL11" s="2" t="s">
        <v>241</v>
      </c>
    </row>
    <row r="12" spans="1:38" ht="19.899999999999999" customHeight="1" x14ac:dyDescent="0.25">
      <c r="A12" s="2">
        <v>10</v>
      </c>
      <c r="B12" s="25" t="s">
        <v>406</v>
      </c>
      <c r="C12" s="4" t="s">
        <v>407</v>
      </c>
      <c r="D12" s="2" t="s">
        <v>165</v>
      </c>
      <c r="E12" s="23">
        <v>10</v>
      </c>
      <c r="F12" s="23">
        <v>10</v>
      </c>
      <c r="G12" s="23">
        <v>10</v>
      </c>
      <c r="H12" s="23">
        <v>10</v>
      </c>
      <c r="I12" s="23" t="s">
        <v>515</v>
      </c>
      <c r="J12" s="23">
        <v>10</v>
      </c>
      <c r="K12" s="23" t="s">
        <v>10</v>
      </c>
      <c r="L12" s="23">
        <v>10</v>
      </c>
      <c r="M12" s="23">
        <v>10</v>
      </c>
      <c r="N12" s="23">
        <v>10</v>
      </c>
      <c r="O12" s="23">
        <v>10</v>
      </c>
      <c r="P12" s="23">
        <v>10</v>
      </c>
      <c r="Q12" s="23">
        <v>10</v>
      </c>
      <c r="R12" s="23" t="s">
        <v>10</v>
      </c>
      <c r="S12" s="23">
        <v>10</v>
      </c>
      <c r="T12" s="23">
        <v>10</v>
      </c>
      <c r="U12" s="23">
        <v>10</v>
      </c>
      <c r="V12" s="23">
        <v>10</v>
      </c>
      <c r="W12" s="23">
        <v>10</v>
      </c>
      <c r="X12" s="23">
        <v>10</v>
      </c>
      <c r="Y12" s="23" t="s">
        <v>10</v>
      </c>
      <c r="Z12" s="23">
        <v>10</v>
      </c>
      <c r="AA12" s="23">
        <v>10</v>
      </c>
      <c r="AB12" s="23">
        <v>10</v>
      </c>
      <c r="AC12" s="23"/>
      <c r="AD12" s="23">
        <v>10</v>
      </c>
      <c r="AE12" s="23">
        <v>10</v>
      </c>
      <c r="AF12" s="23" t="s">
        <v>10</v>
      </c>
      <c r="AG12" s="23">
        <v>10</v>
      </c>
      <c r="AH12" s="23">
        <v>10</v>
      </c>
      <c r="AI12" s="22">
        <f t="shared" si="0"/>
        <v>240</v>
      </c>
      <c r="AJ12" s="2"/>
      <c r="AK12" s="14">
        <f t="shared" si="1"/>
        <v>0</v>
      </c>
      <c r="AL12" s="2" t="s">
        <v>241</v>
      </c>
    </row>
    <row r="13" spans="1:38" ht="19.899999999999999" customHeight="1" x14ac:dyDescent="0.25">
      <c r="A13" s="2">
        <v>11</v>
      </c>
      <c r="B13" s="28" t="s">
        <v>396</v>
      </c>
      <c r="C13" s="4" t="s">
        <v>397</v>
      </c>
      <c r="D13" s="2" t="s">
        <v>398</v>
      </c>
      <c r="E13" s="23">
        <v>10</v>
      </c>
      <c r="F13" s="23">
        <v>10</v>
      </c>
      <c r="G13" s="23">
        <v>10</v>
      </c>
      <c r="H13" s="23">
        <v>10</v>
      </c>
      <c r="I13" s="23">
        <v>10</v>
      </c>
      <c r="J13" s="23">
        <v>10</v>
      </c>
      <c r="K13" s="23" t="s">
        <v>10</v>
      </c>
      <c r="L13" s="23">
        <v>10</v>
      </c>
      <c r="M13" s="23">
        <v>10</v>
      </c>
      <c r="N13" s="23">
        <v>10</v>
      </c>
      <c r="O13" s="23">
        <v>10</v>
      </c>
      <c r="P13" s="23">
        <v>10</v>
      </c>
      <c r="Q13" s="23">
        <v>10</v>
      </c>
      <c r="R13" s="23">
        <v>11</v>
      </c>
      <c r="S13" s="23">
        <v>12.5</v>
      </c>
      <c r="T13" s="23">
        <v>14</v>
      </c>
      <c r="U13" s="23">
        <v>11</v>
      </c>
      <c r="V13" s="23">
        <v>11</v>
      </c>
      <c r="W13" s="23">
        <v>11</v>
      </c>
      <c r="X13" s="23">
        <v>10</v>
      </c>
      <c r="Y13" s="23" t="s">
        <v>10</v>
      </c>
      <c r="Z13" s="23">
        <v>10</v>
      </c>
      <c r="AA13" s="23">
        <v>10</v>
      </c>
      <c r="AB13" s="23">
        <v>10</v>
      </c>
      <c r="AC13" s="23">
        <v>10</v>
      </c>
      <c r="AD13" s="23">
        <v>12</v>
      </c>
      <c r="AE13" s="23">
        <v>10</v>
      </c>
      <c r="AF13" s="23" t="s">
        <v>10</v>
      </c>
      <c r="AG13" s="23">
        <v>10</v>
      </c>
      <c r="AH13" s="23">
        <v>11</v>
      </c>
      <c r="AI13" s="22">
        <f t="shared" si="0"/>
        <v>283.5</v>
      </c>
      <c r="AJ13" s="21"/>
      <c r="AK13" s="14">
        <f t="shared" si="1"/>
        <v>0</v>
      </c>
      <c r="AL13" s="2" t="s">
        <v>373</v>
      </c>
    </row>
    <row r="14" spans="1:38" ht="19.899999999999999" customHeight="1" x14ac:dyDescent="0.25">
      <c r="A14" s="2">
        <v>12</v>
      </c>
      <c r="B14" s="25" t="s">
        <v>455</v>
      </c>
      <c r="C14" s="4" t="s">
        <v>456</v>
      </c>
      <c r="D14" s="2" t="s">
        <v>165</v>
      </c>
      <c r="E14" s="23">
        <v>13</v>
      </c>
      <c r="F14" s="23">
        <v>12</v>
      </c>
      <c r="G14" s="23">
        <v>12</v>
      </c>
      <c r="H14" s="23">
        <v>12</v>
      </c>
      <c r="I14" s="23">
        <v>12</v>
      </c>
      <c r="J14" s="23">
        <v>12</v>
      </c>
      <c r="K14" s="23" t="s">
        <v>10</v>
      </c>
      <c r="L14" s="23">
        <v>10</v>
      </c>
      <c r="M14" s="23">
        <v>12</v>
      </c>
      <c r="N14" s="23">
        <v>10</v>
      </c>
      <c r="O14" s="23">
        <v>10</v>
      </c>
      <c r="P14" s="23">
        <v>10</v>
      </c>
      <c r="Q14" s="23">
        <v>10</v>
      </c>
      <c r="R14" s="23" t="s">
        <v>10</v>
      </c>
      <c r="S14" s="23">
        <v>10</v>
      </c>
      <c r="T14" s="23">
        <v>10</v>
      </c>
      <c r="U14" s="23">
        <v>10</v>
      </c>
      <c r="V14" s="23">
        <v>10</v>
      </c>
      <c r="W14" s="23">
        <v>10</v>
      </c>
      <c r="X14" s="23">
        <v>10</v>
      </c>
      <c r="Y14" s="23">
        <v>10</v>
      </c>
      <c r="Z14" s="23">
        <v>10</v>
      </c>
      <c r="AA14" s="23">
        <v>10</v>
      </c>
      <c r="AB14" s="23">
        <v>10</v>
      </c>
      <c r="AC14" s="23">
        <v>10</v>
      </c>
      <c r="AD14" s="23">
        <v>12</v>
      </c>
      <c r="AE14" s="23">
        <v>11</v>
      </c>
      <c r="AF14" s="23">
        <v>10</v>
      </c>
      <c r="AG14" s="23">
        <v>11</v>
      </c>
      <c r="AH14" s="23">
        <v>11</v>
      </c>
      <c r="AI14" s="22">
        <f t="shared" si="0"/>
        <v>300</v>
      </c>
      <c r="AJ14" s="2"/>
      <c r="AK14" s="14">
        <f t="shared" si="1"/>
        <v>0</v>
      </c>
      <c r="AL14" s="2" t="s">
        <v>458</v>
      </c>
    </row>
    <row r="15" spans="1:38" ht="19.899999999999999" customHeight="1" x14ac:dyDescent="0.25">
      <c r="A15" s="2">
        <v>13</v>
      </c>
      <c r="B15" s="25" t="s">
        <v>238</v>
      </c>
      <c r="C15" s="4" t="s">
        <v>322</v>
      </c>
      <c r="D15" s="2" t="s">
        <v>244</v>
      </c>
      <c r="E15" s="23">
        <v>11</v>
      </c>
      <c r="F15" s="23">
        <v>11</v>
      </c>
      <c r="G15" s="23">
        <v>11</v>
      </c>
      <c r="H15" s="23">
        <v>11</v>
      </c>
      <c r="I15" s="23">
        <v>11</v>
      </c>
      <c r="J15" s="23">
        <v>11</v>
      </c>
      <c r="K15" s="23" t="s">
        <v>10</v>
      </c>
      <c r="L15" s="23">
        <v>11</v>
      </c>
      <c r="M15" s="23">
        <v>11</v>
      </c>
      <c r="N15" s="23">
        <v>11</v>
      </c>
      <c r="O15" s="23">
        <v>11</v>
      </c>
      <c r="P15" s="23">
        <v>11</v>
      </c>
      <c r="Q15" s="23">
        <v>11</v>
      </c>
      <c r="R15" s="23" t="s">
        <v>10</v>
      </c>
      <c r="S15" s="23">
        <v>11</v>
      </c>
      <c r="T15" s="23">
        <v>11</v>
      </c>
      <c r="U15" s="23">
        <v>11</v>
      </c>
      <c r="V15" s="23">
        <v>11</v>
      </c>
      <c r="W15" s="23">
        <v>11</v>
      </c>
      <c r="X15" s="23">
        <v>11</v>
      </c>
      <c r="Y15" s="23" t="s">
        <v>10</v>
      </c>
      <c r="Z15" s="23">
        <v>11</v>
      </c>
      <c r="AA15" s="23">
        <v>11</v>
      </c>
      <c r="AB15" s="23">
        <v>11</v>
      </c>
      <c r="AC15" s="23">
        <v>11</v>
      </c>
      <c r="AD15" s="23">
        <v>11</v>
      </c>
      <c r="AE15" s="23">
        <v>11</v>
      </c>
      <c r="AF15" s="23" t="s">
        <v>10</v>
      </c>
      <c r="AG15" s="23">
        <v>11</v>
      </c>
      <c r="AH15" s="23">
        <v>11</v>
      </c>
      <c r="AI15" s="22">
        <f t="shared" si="0"/>
        <v>286</v>
      </c>
      <c r="AJ15" s="2"/>
      <c r="AK15" s="14">
        <f t="shared" si="1"/>
        <v>0</v>
      </c>
      <c r="AL15" s="2" t="s">
        <v>275</v>
      </c>
    </row>
    <row r="16" spans="1:38" ht="19.899999999999999" customHeight="1" x14ac:dyDescent="0.25">
      <c r="A16" s="2">
        <v>14</v>
      </c>
      <c r="B16" s="28" t="s">
        <v>251</v>
      </c>
      <c r="C16" s="4" t="s">
        <v>252</v>
      </c>
      <c r="D16" s="2" t="s">
        <v>244</v>
      </c>
      <c r="E16" s="23">
        <v>11</v>
      </c>
      <c r="F16" s="23">
        <v>11</v>
      </c>
      <c r="G16" s="23">
        <v>11</v>
      </c>
      <c r="H16" s="23">
        <v>11</v>
      </c>
      <c r="I16" s="23">
        <v>11</v>
      </c>
      <c r="J16" s="23">
        <v>11</v>
      </c>
      <c r="K16" s="23" t="s">
        <v>10</v>
      </c>
      <c r="L16" s="23">
        <v>11</v>
      </c>
      <c r="M16" s="23">
        <v>11</v>
      </c>
      <c r="N16" s="23">
        <v>11</v>
      </c>
      <c r="O16" s="23">
        <v>11</v>
      </c>
      <c r="P16" s="23">
        <v>11</v>
      </c>
      <c r="Q16" s="23">
        <v>11</v>
      </c>
      <c r="R16" s="23" t="s">
        <v>10</v>
      </c>
      <c r="S16" s="23">
        <v>11</v>
      </c>
      <c r="T16" s="23">
        <v>11</v>
      </c>
      <c r="U16" s="23">
        <v>11</v>
      </c>
      <c r="V16" s="23">
        <v>11</v>
      </c>
      <c r="W16" s="23">
        <v>11</v>
      </c>
      <c r="X16" s="23">
        <v>11</v>
      </c>
      <c r="Y16" s="23" t="s">
        <v>10</v>
      </c>
      <c r="Z16" s="23">
        <v>11</v>
      </c>
      <c r="AA16" s="23">
        <v>11</v>
      </c>
      <c r="AB16" s="23">
        <v>11</v>
      </c>
      <c r="AC16" s="23">
        <v>11</v>
      </c>
      <c r="AD16" s="23">
        <v>11</v>
      </c>
      <c r="AE16" s="23" t="s">
        <v>32</v>
      </c>
      <c r="AF16" s="23" t="s">
        <v>10</v>
      </c>
      <c r="AG16" s="23">
        <v>11</v>
      </c>
      <c r="AH16" s="23">
        <v>11</v>
      </c>
      <c r="AI16" s="22">
        <f t="shared" si="0"/>
        <v>275</v>
      </c>
      <c r="AJ16" s="21"/>
      <c r="AK16" s="14">
        <f t="shared" si="1"/>
        <v>0</v>
      </c>
      <c r="AL16" s="2" t="s">
        <v>275</v>
      </c>
    </row>
    <row r="17" spans="1:38" ht="19.899999999999999" customHeight="1" x14ac:dyDescent="0.25">
      <c r="A17" s="2">
        <v>15</v>
      </c>
      <c r="B17" s="25" t="s">
        <v>180</v>
      </c>
      <c r="C17" s="4" t="s">
        <v>181</v>
      </c>
      <c r="D17" s="2" t="s">
        <v>165</v>
      </c>
      <c r="E17" s="23">
        <v>9.5</v>
      </c>
      <c r="F17" s="23">
        <v>9.5</v>
      </c>
      <c r="G17" s="23">
        <v>9.5</v>
      </c>
      <c r="H17" s="23" t="s">
        <v>32</v>
      </c>
      <c r="I17" s="23">
        <v>9.5</v>
      </c>
      <c r="J17" s="23">
        <v>9.5</v>
      </c>
      <c r="K17" s="23">
        <v>10</v>
      </c>
      <c r="L17" s="23">
        <v>9.5</v>
      </c>
      <c r="M17" s="23">
        <v>9.5</v>
      </c>
      <c r="N17" s="23">
        <v>9.5</v>
      </c>
      <c r="O17" s="23">
        <v>9.5</v>
      </c>
      <c r="P17" s="23">
        <v>9.5</v>
      </c>
      <c r="Q17" s="23">
        <v>9.5</v>
      </c>
      <c r="R17" s="23">
        <v>10</v>
      </c>
      <c r="S17" s="23">
        <v>11</v>
      </c>
      <c r="T17" s="23">
        <v>11</v>
      </c>
      <c r="U17" s="23">
        <v>11</v>
      </c>
      <c r="V17" s="23">
        <v>11</v>
      </c>
      <c r="W17" s="23">
        <v>11</v>
      </c>
      <c r="X17" s="23">
        <v>11</v>
      </c>
      <c r="Y17" s="23">
        <v>11</v>
      </c>
      <c r="Z17" s="23">
        <v>11</v>
      </c>
      <c r="AA17" s="23">
        <v>11</v>
      </c>
      <c r="AB17" s="23">
        <v>11</v>
      </c>
      <c r="AC17" s="23">
        <v>11</v>
      </c>
      <c r="AD17" s="23">
        <v>11</v>
      </c>
      <c r="AE17" s="23">
        <v>11</v>
      </c>
      <c r="AF17" s="23">
        <v>11</v>
      </c>
      <c r="AG17" s="23">
        <v>11</v>
      </c>
      <c r="AH17" s="23">
        <v>11</v>
      </c>
      <c r="AI17" s="22">
        <f t="shared" si="0"/>
        <v>300.5</v>
      </c>
      <c r="AJ17" s="2"/>
      <c r="AK17" s="14">
        <f t="shared" si="1"/>
        <v>0</v>
      </c>
      <c r="AL17" s="2" t="s">
        <v>284</v>
      </c>
    </row>
    <row r="18" spans="1:38" ht="19.899999999999999" customHeight="1" x14ac:dyDescent="0.25">
      <c r="A18" s="2">
        <v>16</v>
      </c>
      <c r="B18" s="25" t="s">
        <v>166</v>
      </c>
      <c r="C18" s="4" t="s">
        <v>167</v>
      </c>
      <c r="D18" s="2" t="s">
        <v>165</v>
      </c>
      <c r="E18" s="23">
        <v>10</v>
      </c>
      <c r="F18" s="23">
        <v>10</v>
      </c>
      <c r="G18" s="23">
        <v>10</v>
      </c>
      <c r="H18" s="23">
        <v>10</v>
      </c>
      <c r="I18" s="23" t="s">
        <v>515</v>
      </c>
      <c r="J18" s="23">
        <v>10</v>
      </c>
      <c r="K18" s="23" t="s">
        <v>10</v>
      </c>
      <c r="L18" s="23">
        <v>10</v>
      </c>
      <c r="M18" s="23">
        <v>10</v>
      </c>
      <c r="N18" s="23">
        <v>10</v>
      </c>
      <c r="O18" s="23">
        <v>10</v>
      </c>
      <c r="P18" s="23">
        <v>10</v>
      </c>
      <c r="Q18" s="23">
        <v>10</v>
      </c>
      <c r="R18" s="23" t="s">
        <v>10</v>
      </c>
      <c r="S18" s="23">
        <v>10</v>
      </c>
      <c r="T18" s="23">
        <v>10</v>
      </c>
      <c r="U18" s="23">
        <v>10</v>
      </c>
      <c r="V18" s="23">
        <v>10</v>
      </c>
      <c r="W18" s="23">
        <v>10</v>
      </c>
      <c r="X18" s="23">
        <v>10</v>
      </c>
      <c r="Y18" s="23" t="s">
        <v>10</v>
      </c>
      <c r="Z18" s="23">
        <v>10</v>
      </c>
      <c r="AA18" s="23">
        <v>10.5</v>
      </c>
      <c r="AB18" s="23">
        <v>10.5</v>
      </c>
      <c r="AC18" s="23">
        <v>10</v>
      </c>
      <c r="AD18" s="23">
        <v>10</v>
      </c>
      <c r="AE18" s="23">
        <v>10</v>
      </c>
      <c r="AF18" s="23" t="s">
        <v>10</v>
      </c>
      <c r="AG18" s="23">
        <v>10</v>
      </c>
      <c r="AH18" s="23">
        <v>10</v>
      </c>
      <c r="AI18" s="22">
        <f t="shared" si="0"/>
        <v>251</v>
      </c>
      <c r="AJ18" s="2"/>
      <c r="AK18" s="14">
        <f t="shared" si="1"/>
        <v>0</v>
      </c>
      <c r="AL18" s="2" t="s">
        <v>565</v>
      </c>
    </row>
    <row r="19" spans="1:38" ht="19.899999999999999" customHeight="1" x14ac:dyDescent="0.25">
      <c r="A19" s="2">
        <v>17</v>
      </c>
      <c r="B19" s="28" t="s">
        <v>213</v>
      </c>
      <c r="C19" s="4" t="s">
        <v>214</v>
      </c>
      <c r="D19" s="2" t="s">
        <v>165</v>
      </c>
      <c r="E19" s="23">
        <v>11</v>
      </c>
      <c r="F19" s="23">
        <v>11</v>
      </c>
      <c r="G19" s="23">
        <v>11</v>
      </c>
      <c r="H19" s="23">
        <v>11</v>
      </c>
      <c r="I19" s="23">
        <v>11</v>
      </c>
      <c r="J19" s="23">
        <v>11</v>
      </c>
      <c r="K19" s="23" t="s">
        <v>10</v>
      </c>
      <c r="L19" s="23">
        <v>11</v>
      </c>
      <c r="M19" s="23">
        <v>11</v>
      </c>
      <c r="N19" s="23">
        <v>11</v>
      </c>
      <c r="O19" s="23">
        <v>11</v>
      </c>
      <c r="P19" s="23">
        <v>11</v>
      </c>
      <c r="Q19" s="23">
        <v>11</v>
      </c>
      <c r="R19" s="23" t="s">
        <v>10</v>
      </c>
      <c r="S19" s="23">
        <v>11</v>
      </c>
      <c r="T19" s="23">
        <v>11</v>
      </c>
      <c r="U19" s="23">
        <v>11</v>
      </c>
      <c r="V19" s="23">
        <v>11</v>
      </c>
      <c r="W19" s="23">
        <v>11</v>
      </c>
      <c r="X19" s="23">
        <v>11</v>
      </c>
      <c r="Y19" s="23" t="s">
        <v>10</v>
      </c>
      <c r="Z19" s="23">
        <v>11</v>
      </c>
      <c r="AA19" s="23">
        <v>11</v>
      </c>
      <c r="AB19" s="23">
        <v>11</v>
      </c>
      <c r="AC19" s="23">
        <v>11</v>
      </c>
      <c r="AD19" s="23">
        <v>11</v>
      </c>
      <c r="AE19" s="23">
        <v>11</v>
      </c>
      <c r="AF19" s="23" t="s">
        <v>10</v>
      </c>
      <c r="AG19" s="23">
        <v>11</v>
      </c>
      <c r="AH19" s="23">
        <v>11</v>
      </c>
      <c r="AI19" s="22">
        <f t="shared" si="0"/>
        <v>286</v>
      </c>
      <c r="AJ19" s="2"/>
      <c r="AK19" s="14">
        <f t="shared" si="1"/>
        <v>0</v>
      </c>
      <c r="AL19" s="2" t="s">
        <v>284</v>
      </c>
    </row>
    <row r="20" spans="1:38" ht="19.899999999999999" customHeight="1" x14ac:dyDescent="0.25">
      <c r="A20" s="2">
        <v>18</v>
      </c>
      <c r="B20" s="28" t="s">
        <v>182</v>
      </c>
      <c r="C20" s="4" t="s">
        <v>183</v>
      </c>
      <c r="D20" s="2" t="s">
        <v>165</v>
      </c>
      <c r="E20" s="23">
        <v>10</v>
      </c>
      <c r="F20" s="23">
        <v>10</v>
      </c>
      <c r="G20" s="23">
        <v>10</v>
      </c>
      <c r="H20" s="23">
        <v>10</v>
      </c>
      <c r="I20" s="23" t="s">
        <v>515</v>
      </c>
      <c r="J20" s="23">
        <v>10</v>
      </c>
      <c r="K20" s="23" t="s">
        <v>10</v>
      </c>
      <c r="L20" s="23">
        <v>10</v>
      </c>
      <c r="M20" s="23">
        <v>10</v>
      </c>
      <c r="N20" s="23">
        <v>10</v>
      </c>
      <c r="O20" s="23">
        <v>10</v>
      </c>
      <c r="P20" s="23">
        <v>10</v>
      </c>
      <c r="Q20" s="23">
        <v>10</v>
      </c>
      <c r="R20" s="23" t="s">
        <v>10</v>
      </c>
      <c r="S20" s="23">
        <v>10</v>
      </c>
      <c r="T20" s="23">
        <v>10</v>
      </c>
      <c r="U20" s="23">
        <v>10</v>
      </c>
      <c r="V20" s="23">
        <v>10</v>
      </c>
      <c r="W20" s="23">
        <v>10</v>
      </c>
      <c r="X20" s="23">
        <v>10</v>
      </c>
      <c r="Y20" s="23" t="s">
        <v>10</v>
      </c>
      <c r="Z20" s="23">
        <v>10</v>
      </c>
      <c r="AA20" s="23">
        <v>10</v>
      </c>
      <c r="AB20" s="23">
        <v>10</v>
      </c>
      <c r="AC20" s="23">
        <v>10</v>
      </c>
      <c r="AD20" s="23">
        <v>10</v>
      </c>
      <c r="AE20" s="23">
        <v>10</v>
      </c>
      <c r="AF20" s="23" t="s">
        <v>10</v>
      </c>
      <c r="AG20" s="23">
        <v>10</v>
      </c>
      <c r="AH20" s="23">
        <v>10</v>
      </c>
      <c r="AI20" s="22">
        <f t="shared" si="0"/>
        <v>250</v>
      </c>
      <c r="AJ20" s="2"/>
      <c r="AK20" s="14">
        <f t="shared" si="1"/>
        <v>0</v>
      </c>
      <c r="AL20" s="2" t="s">
        <v>241</v>
      </c>
    </row>
    <row r="21" spans="1:38" ht="19.899999999999999" customHeight="1" x14ac:dyDescent="0.25">
      <c r="A21" s="2">
        <v>19</v>
      </c>
      <c r="B21" s="28" t="s">
        <v>216</v>
      </c>
      <c r="C21" s="4" t="s">
        <v>492</v>
      </c>
      <c r="D21" s="2" t="s">
        <v>165</v>
      </c>
      <c r="E21" s="23">
        <v>10</v>
      </c>
      <c r="F21" s="23">
        <v>10</v>
      </c>
      <c r="G21" s="23">
        <v>10</v>
      </c>
      <c r="H21" s="23">
        <v>10</v>
      </c>
      <c r="I21" s="23">
        <v>10</v>
      </c>
      <c r="J21" s="23">
        <v>10</v>
      </c>
      <c r="K21" s="23">
        <v>6</v>
      </c>
      <c r="L21" s="23">
        <v>10</v>
      </c>
      <c r="M21" s="23">
        <v>10</v>
      </c>
      <c r="N21" s="23">
        <v>10</v>
      </c>
      <c r="O21" s="23">
        <v>10</v>
      </c>
      <c r="P21" s="23">
        <v>10</v>
      </c>
      <c r="Q21" s="23">
        <v>10</v>
      </c>
      <c r="R21" s="23" t="s">
        <v>10</v>
      </c>
      <c r="S21" s="23">
        <v>10</v>
      </c>
      <c r="T21" s="23">
        <v>10</v>
      </c>
      <c r="U21" s="23">
        <v>10</v>
      </c>
      <c r="V21" s="23">
        <v>10</v>
      </c>
      <c r="W21" s="23">
        <v>10</v>
      </c>
      <c r="X21" s="23">
        <v>10</v>
      </c>
      <c r="Y21" s="23" t="s">
        <v>10</v>
      </c>
      <c r="Z21" s="23">
        <v>10</v>
      </c>
      <c r="AA21" s="23">
        <v>10</v>
      </c>
      <c r="AB21" s="23">
        <v>10</v>
      </c>
      <c r="AC21" s="23">
        <v>10</v>
      </c>
      <c r="AD21" s="23">
        <v>10</v>
      </c>
      <c r="AE21" s="23">
        <v>10</v>
      </c>
      <c r="AF21" s="23" t="s">
        <v>10</v>
      </c>
      <c r="AG21" s="23">
        <v>10</v>
      </c>
      <c r="AH21" s="23">
        <v>10</v>
      </c>
      <c r="AI21" s="22">
        <f t="shared" si="0"/>
        <v>266</v>
      </c>
      <c r="AJ21" s="2"/>
      <c r="AK21" s="14">
        <f t="shared" si="1"/>
        <v>0</v>
      </c>
      <c r="AL21" s="2" t="s">
        <v>299</v>
      </c>
    </row>
    <row r="22" spans="1:38" ht="19.899999999999999" customHeight="1" x14ac:dyDescent="0.25">
      <c r="A22" s="2">
        <v>20</v>
      </c>
      <c r="B22" s="28" t="s">
        <v>217</v>
      </c>
      <c r="C22" s="4" t="s">
        <v>218</v>
      </c>
      <c r="D22" s="2" t="s">
        <v>165</v>
      </c>
      <c r="E22" s="23">
        <v>10.5</v>
      </c>
      <c r="F22" s="23">
        <v>10.5</v>
      </c>
      <c r="G22" s="23">
        <v>10.5</v>
      </c>
      <c r="H22" s="23">
        <v>10.5</v>
      </c>
      <c r="I22" s="23">
        <v>10.5</v>
      </c>
      <c r="J22" s="23">
        <v>10.5</v>
      </c>
      <c r="K22" s="23" t="s">
        <v>10</v>
      </c>
      <c r="L22" s="23">
        <v>10.5</v>
      </c>
      <c r="M22" s="23">
        <v>10.5</v>
      </c>
      <c r="N22" s="23">
        <v>10.5</v>
      </c>
      <c r="O22" s="23">
        <v>10.5</v>
      </c>
      <c r="P22" s="23">
        <v>10.5</v>
      </c>
      <c r="Q22" s="23">
        <v>10.5</v>
      </c>
      <c r="R22" s="23" t="s">
        <v>10</v>
      </c>
      <c r="S22" s="23">
        <v>10</v>
      </c>
      <c r="T22" s="23">
        <v>10.5</v>
      </c>
      <c r="U22" s="23">
        <v>10.5</v>
      </c>
      <c r="V22" s="23">
        <v>10.5</v>
      </c>
      <c r="W22" s="23">
        <v>10.5</v>
      </c>
      <c r="X22" s="23">
        <v>10.5</v>
      </c>
      <c r="Y22" s="23" t="s">
        <v>10</v>
      </c>
      <c r="Z22" s="23">
        <v>10.5</v>
      </c>
      <c r="AA22" s="23">
        <v>10.5</v>
      </c>
      <c r="AB22" s="23">
        <v>10.5</v>
      </c>
      <c r="AC22" s="23">
        <v>10.5</v>
      </c>
      <c r="AD22" s="23">
        <v>10.5</v>
      </c>
      <c r="AE22" s="23">
        <v>10.5</v>
      </c>
      <c r="AF22" s="23" t="s">
        <v>10</v>
      </c>
      <c r="AG22" s="23">
        <v>10.5</v>
      </c>
      <c r="AH22" s="23">
        <v>10.5</v>
      </c>
      <c r="AI22" s="22">
        <f t="shared" si="0"/>
        <v>272.5</v>
      </c>
      <c r="AJ22" s="2"/>
      <c r="AK22" s="14">
        <f t="shared" si="1"/>
        <v>0</v>
      </c>
      <c r="AL22" s="2" t="s">
        <v>237</v>
      </c>
    </row>
    <row r="23" spans="1:38" ht="19.899999999999999" customHeight="1" x14ac:dyDescent="0.25">
      <c r="A23" s="2">
        <v>21</v>
      </c>
      <c r="B23" s="28" t="s">
        <v>219</v>
      </c>
      <c r="C23" s="4" t="s">
        <v>220</v>
      </c>
      <c r="D23" s="2" t="s">
        <v>165</v>
      </c>
      <c r="E23" s="23">
        <v>10</v>
      </c>
      <c r="F23" s="23">
        <v>10</v>
      </c>
      <c r="G23" s="23">
        <v>10</v>
      </c>
      <c r="H23" s="23">
        <v>10</v>
      </c>
      <c r="I23" s="23">
        <v>10</v>
      </c>
      <c r="J23" s="23">
        <v>10</v>
      </c>
      <c r="K23" s="23">
        <v>6</v>
      </c>
      <c r="L23" s="23">
        <v>10</v>
      </c>
      <c r="M23" s="23">
        <v>10</v>
      </c>
      <c r="N23" s="23">
        <v>10</v>
      </c>
      <c r="O23" s="23">
        <v>10</v>
      </c>
      <c r="P23" s="23">
        <v>10</v>
      </c>
      <c r="Q23" s="23">
        <v>10</v>
      </c>
      <c r="R23" s="23" t="s">
        <v>10</v>
      </c>
      <c r="S23" s="23">
        <v>10</v>
      </c>
      <c r="T23" s="23">
        <v>10</v>
      </c>
      <c r="U23" s="23">
        <v>10</v>
      </c>
      <c r="V23" s="23">
        <v>10</v>
      </c>
      <c r="W23" s="23">
        <v>10</v>
      </c>
      <c r="X23" s="23">
        <v>10</v>
      </c>
      <c r="Y23" s="23" t="s">
        <v>10</v>
      </c>
      <c r="Z23" s="23">
        <v>10</v>
      </c>
      <c r="AA23" s="23">
        <v>10</v>
      </c>
      <c r="AB23" s="23">
        <v>10</v>
      </c>
      <c r="AC23" s="23">
        <v>10</v>
      </c>
      <c r="AD23" s="23">
        <v>10</v>
      </c>
      <c r="AE23" s="23">
        <v>10</v>
      </c>
      <c r="AF23" s="23" t="s">
        <v>10</v>
      </c>
      <c r="AG23" s="23">
        <v>10</v>
      </c>
      <c r="AH23" s="23">
        <v>10</v>
      </c>
      <c r="AI23" s="22">
        <f t="shared" si="0"/>
        <v>266</v>
      </c>
      <c r="AJ23" s="2"/>
      <c r="AK23" s="14">
        <f t="shared" si="1"/>
        <v>0</v>
      </c>
      <c r="AL23" s="2" t="s">
        <v>299</v>
      </c>
    </row>
    <row r="24" spans="1:38" ht="19.899999999999999" customHeight="1" x14ac:dyDescent="0.25">
      <c r="A24" s="2">
        <v>22</v>
      </c>
      <c r="B24" s="25" t="s">
        <v>206</v>
      </c>
      <c r="C24" s="4" t="s">
        <v>556</v>
      </c>
      <c r="D24" s="2" t="s">
        <v>557</v>
      </c>
      <c r="E24" s="23">
        <v>10</v>
      </c>
      <c r="F24" s="23">
        <v>10</v>
      </c>
      <c r="G24" s="23">
        <v>10</v>
      </c>
      <c r="H24" s="23">
        <v>10</v>
      </c>
      <c r="I24" s="23" t="s">
        <v>515</v>
      </c>
      <c r="J24" s="23">
        <v>10</v>
      </c>
      <c r="K24" s="23" t="s">
        <v>10</v>
      </c>
      <c r="L24" s="23">
        <v>10</v>
      </c>
      <c r="M24" s="23">
        <v>10</v>
      </c>
      <c r="N24" s="23">
        <v>10</v>
      </c>
      <c r="O24" s="23">
        <v>10</v>
      </c>
      <c r="P24" s="23">
        <v>10</v>
      </c>
      <c r="Q24" s="23">
        <v>10</v>
      </c>
      <c r="R24" s="23" t="s">
        <v>10</v>
      </c>
      <c r="S24" s="23">
        <v>10</v>
      </c>
      <c r="T24" s="23">
        <v>10</v>
      </c>
      <c r="U24" s="23">
        <v>10</v>
      </c>
      <c r="V24" s="23">
        <v>10</v>
      </c>
      <c r="W24" s="23">
        <v>10</v>
      </c>
      <c r="X24" s="23">
        <v>10</v>
      </c>
      <c r="Y24" s="23" t="s">
        <v>10</v>
      </c>
      <c r="Z24" s="23">
        <v>10</v>
      </c>
      <c r="AA24" s="23">
        <v>10</v>
      </c>
      <c r="AB24" s="23">
        <v>10</v>
      </c>
      <c r="AC24" s="23">
        <v>10</v>
      </c>
      <c r="AD24" s="23">
        <v>10</v>
      </c>
      <c r="AE24" s="23">
        <v>10</v>
      </c>
      <c r="AF24" s="23" t="s">
        <v>10</v>
      </c>
      <c r="AG24" s="23">
        <v>10</v>
      </c>
      <c r="AH24" s="23">
        <v>10</v>
      </c>
      <c r="AI24" s="22">
        <f t="shared" si="0"/>
        <v>250</v>
      </c>
      <c r="AJ24" s="2"/>
      <c r="AK24" s="14">
        <f t="shared" si="1"/>
        <v>0</v>
      </c>
      <c r="AL24" s="2" t="s">
        <v>94</v>
      </c>
    </row>
    <row r="25" spans="1:38" ht="19.899999999999999" customHeight="1" x14ac:dyDescent="0.25">
      <c r="A25" s="2">
        <v>23</v>
      </c>
      <c r="B25" s="25" t="s">
        <v>511</v>
      </c>
      <c r="C25" s="4" t="s">
        <v>512</v>
      </c>
      <c r="D25" s="2" t="s">
        <v>179</v>
      </c>
      <c r="E25" s="23">
        <v>10</v>
      </c>
      <c r="F25" s="23">
        <v>10</v>
      </c>
      <c r="G25" s="23">
        <v>10</v>
      </c>
      <c r="H25" s="23">
        <v>10</v>
      </c>
      <c r="I25" s="23" t="s">
        <v>515</v>
      </c>
      <c r="J25" s="23">
        <v>10</v>
      </c>
      <c r="K25" s="23" t="s">
        <v>10</v>
      </c>
      <c r="L25" s="23">
        <v>10</v>
      </c>
      <c r="M25" s="23">
        <v>10</v>
      </c>
      <c r="N25" s="23">
        <v>10</v>
      </c>
      <c r="O25" s="23">
        <v>10</v>
      </c>
      <c r="P25" s="23">
        <v>10</v>
      </c>
      <c r="Q25" s="23">
        <v>10</v>
      </c>
      <c r="R25" s="23" t="s">
        <v>10</v>
      </c>
      <c r="S25" s="23">
        <v>10</v>
      </c>
      <c r="T25" s="23">
        <v>10</v>
      </c>
      <c r="U25" s="23">
        <v>10</v>
      </c>
      <c r="V25" s="23">
        <v>10</v>
      </c>
      <c r="W25" s="23">
        <v>10</v>
      </c>
      <c r="X25" s="23">
        <v>10</v>
      </c>
      <c r="Y25" s="23" t="s">
        <v>10</v>
      </c>
      <c r="Z25" s="23">
        <v>10</v>
      </c>
      <c r="AA25" s="23">
        <v>10</v>
      </c>
      <c r="AB25" s="23">
        <v>10</v>
      </c>
      <c r="AC25" s="23">
        <v>10</v>
      </c>
      <c r="AD25" s="23">
        <v>10</v>
      </c>
      <c r="AE25" s="23">
        <v>10</v>
      </c>
      <c r="AF25" s="23" t="s">
        <v>10</v>
      </c>
      <c r="AG25" s="23">
        <v>10</v>
      </c>
      <c r="AH25" s="23">
        <v>10</v>
      </c>
      <c r="AI25" s="22">
        <f t="shared" si="0"/>
        <v>250</v>
      </c>
      <c r="AJ25" s="2"/>
      <c r="AK25" s="14">
        <f t="shared" si="1"/>
        <v>0</v>
      </c>
      <c r="AL25" s="2" t="s">
        <v>513</v>
      </c>
    </row>
    <row r="26" spans="1:38" ht="19.899999999999999" customHeight="1" x14ac:dyDescent="0.25">
      <c r="A26" s="2">
        <v>24</v>
      </c>
      <c r="B26" s="28" t="s">
        <v>270</v>
      </c>
      <c r="C26" s="4" t="s">
        <v>271</v>
      </c>
      <c r="D26" s="2" t="s">
        <v>165</v>
      </c>
      <c r="E26" s="23">
        <v>10</v>
      </c>
      <c r="F26" s="23">
        <v>10</v>
      </c>
      <c r="G26" s="23">
        <v>10</v>
      </c>
      <c r="H26" s="23">
        <v>10</v>
      </c>
      <c r="I26" s="23" t="s">
        <v>515</v>
      </c>
      <c r="J26" s="23">
        <v>10</v>
      </c>
      <c r="K26" s="23" t="s">
        <v>10</v>
      </c>
      <c r="L26" s="23">
        <v>10</v>
      </c>
      <c r="M26" s="23">
        <v>10</v>
      </c>
      <c r="N26" s="23">
        <v>10</v>
      </c>
      <c r="O26" s="23">
        <v>10</v>
      </c>
      <c r="P26" s="23">
        <v>10</v>
      </c>
      <c r="Q26" s="23">
        <v>10</v>
      </c>
      <c r="R26" s="23" t="s">
        <v>10</v>
      </c>
      <c r="S26" s="23">
        <v>10</v>
      </c>
      <c r="T26" s="23">
        <v>10</v>
      </c>
      <c r="U26" s="23">
        <v>10</v>
      </c>
      <c r="V26" s="23">
        <v>10</v>
      </c>
      <c r="W26" s="23">
        <v>10</v>
      </c>
      <c r="X26" s="23">
        <v>10</v>
      </c>
      <c r="Y26" s="23" t="s">
        <v>10</v>
      </c>
      <c r="Z26" s="23">
        <v>10</v>
      </c>
      <c r="AA26" s="23">
        <v>10</v>
      </c>
      <c r="AB26" s="23">
        <v>10</v>
      </c>
      <c r="AC26" s="23">
        <v>10</v>
      </c>
      <c r="AD26" s="23">
        <v>10</v>
      </c>
      <c r="AE26" s="23">
        <v>10</v>
      </c>
      <c r="AF26" s="23">
        <v>10</v>
      </c>
      <c r="AG26" s="23">
        <v>10</v>
      </c>
      <c r="AH26" s="23">
        <v>10</v>
      </c>
      <c r="AI26" s="22">
        <f t="shared" si="0"/>
        <v>260</v>
      </c>
      <c r="AJ26" s="21"/>
      <c r="AK26" s="14">
        <f t="shared" si="1"/>
        <v>0</v>
      </c>
      <c r="AL26" s="2" t="s">
        <v>299</v>
      </c>
    </row>
    <row r="27" spans="1:38" ht="19.899999999999999" customHeight="1" x14ac:dyDescent="0.25">
      <c r="A27" s="2">
        <v>25</v>
      </c>
      <c r="B27" s="28" t="s">
        <v>262</v>
      </c>
      <c r="C27" s="4" t="s">
        <v>263</v>
      </c>
      <c r="D27" s="2" t="s">
        <v>165</v>
      </c>
      <c r="E27" s="23">
        <v>11</v>
      </c>
      <c r="F27" s="23">
        <v>11</v>
      </c>
      <c r="G27" s="23">
        <v>10</v>
      </c>
      <c r="H27" s="23">
        <v>11</v>
      </c>
      <c r="I27" s="23" t="s">
        <v>32</v>
      </c>
      <c r="J27" s="23">
        <v>11</v>
      </c>
      <c r="K27" s="23">
        <v>10</v>
      </c>
      <c r="L27" s="23">
        <v>11</v>
      </c>
      <c r="M27" s="23">
        <v>10</v>
      </c>
      <c r="N27" s="23">
        <v>11</v>
      </c>
      <c r="O27" s="23">
        <v>11</v>
      </c>
      <c r="P27" s="23">
        <v>11</v>
      </c>
      <c r="Q27" s="23">
        <v>11</v>
      </c>
      <c r="R27" s="23" t="s">
        <v>10</v>
      </c>
      <c r="S27" s="23">
        <v>11</v>
      </c>
      <c r="T27" s="23">
        <v>11</v>
      </c>
      <c r="U27" s="23">
        <v>11</v>
      </c>
      <c r="V27" s="23">
        <v>11</v>
      </c>
      <c r="W27" s="23">
        <v>12</v>
      </c>
      <c r="X27" s="23">
        <v>11</v>
      </c>
      <c r="Y27" s="23" t="s">
        <v>10</v>
      </c>
      <c r="Z27" s="23">
        <v>10</v>
      </c>
      <c r="AA27" s="23">
        <v>10</v>
      </c>
      <c r="AB27" s="23">
        <v>10</v>
      </c>
      <c r="AC27" s="23">
        <v>11</v>
      </c>
      <c r="AD27" s="23">
        <v>11</v>
      </c>
      <c r="AE27" s="23">
        <v>10</v>
      </c>
      <c r="AF27" s="23" t="s">
        <v>10</v>
      </c>
      <c r="AG27" s="23">
        <v>10</v>
      </c>
      <c r="AH27" s="23">
        <v>10</v>
      </c>
      <c r="AI27" s="22">
        <f t="shared" si="0"/>
        <v>278</v>
      </c>
      <c r="AJ27" s="2"/>
      <c r="AK27" s="14">
        <f t="shared" si="1"/>
        <v>0</v>
      </c>
      <c r="AL27" s="2" t="s">
        <v>563</v>
      </c>
    </row>
    <row r="28" spans="1:38" ht="19.899999999999999" customHeight="1" x14ac:dyDescent="0.25">
      <c r="A28" s="2">
        <v>26</v>
      </c>
      <c r="B28" s="25" t="s">
        <v>255</v>
      </c>
      <c r="C28" s="4" t="s">
        <v>256</v>
      </c>
      <c r="D28" s="2" t="s">
        <v>165</v>
      </c>
      <c r="E28" s="23">
        <v>13</v>
      </c>
      <c r="F28" s="23">
        <v>12</v>
      </c>
      <c r="G28" s="23">
        <v>12</v>
      </c>
      <c r="H28" s="23">
        <v>12</v>
      </c>
      <c r="I28" s="23">
        <v>12</v>
      </c>
      <c r="J28" s="23">
        <v>12</v>
      </c>
      <c r="K28" s="23" t="s">
        <v>10</v>
      </c>
      <c r="L28" s="23">
        <v>10</v>
      </c>
      <c r="M28" s="23">
        <v>12</v>
      </c>
      <c r="N28" s="23">
        <v>10</v>
      </c>
      <c r="O28" s="23">
        <v>10</v>
      </c>
      <c r="P28" s="23">
        <v>10</v>
      </c>
      <c r="Q28" s="23">
        <v>10</v>
      </c>
      <c r="R28" s="23" t="s">
        <v>10</v>
      </c>
      <c r="S28" s="23">
        <v>10</v>
      </c>
      <c r="T28" s="23">
        <v>10</v>
      </c>
      <c r="U28" s="23">
        <v>8</v>
      </c>
      <c r="V28" s="23">
        <v>10</v>
      </c>
      <c r="W28" s="23">
        <v>10</v>
      </c>
      <c r="X28" s="23">
        <v>10</v>
      </c>
      <c r="Y28" s="23">
        <v>11</v>
      </c>
      <c r="Z28" s="23">
        <v>10</v>
      </c>
      <c r="AA28" s="23">
        <v>12</v>
      </c>
      <c r="AB28" s="23">
        <v>10</v>
      </c>
      <c r="AC28" s="23">
        <v>10</v>
      </c>
      <c r="AD28" s="23">
        <v>12</v>
      </c>
      <c r="AE28" s="23">
        <v>11</v>
      </c>
      <c r="AF28" s="23">
        <v>10</v>
      </c>
      <c r="AG28" s="23">
        <v>11</v>
      </c>
      <c r="AH28" s="23">
        <v>11</v>
      </c>
      <c r="AI28" s="22">
        <f t="shared" si="0"/>
        <v>301</v>
      </c>
      <c r="AJ28" s="2"/>
      <c r="AK28" s="14">
        <f t="shared" si="1"/>
        <v>0</v>
      </c>
      <c r="AL28" s="2" t="s">
        <v>458</v>
      </c>
    </row>
    <row r="29" spans="1:38" ht="19.899999999999999" customHeight="1" x14ac:dyDescent="0.25">
      <c r="A29" s="2">
        <v>27</v>
      </c>
      <c r="B29" s="25" t="s">
        <v>207</v>
      </c>
      <c r="C29" s="4" t="s">
        <v>559</v>
      </c>
      <c r="D29" s="2" t="s">
        <v>557</v>
      </c>
      <c r="E29" s="23">
        <v>10</v>
      </c>
      <c r="F29" s="23">
        <v>10</v>
      </c>
      <c r="G29" s="23">
        <v>10</v>
      </c>
      <c r="H29" s="23">
        <v>10</v>
      </c>
      <c r="I29" s="23" t="s">
        <v>515</v>
      </c>
      <c r="J29" s="23">
        <v>10</v>
      </c>
      <c r="K29" s="23" t="s">
        <v>10</v>
      </c>
      <c r="L29" s="23">
        <v>10</v>
      </c>
      <c r="M29" s="23">
        <v>10</v>
      </c>
      <c r="N29" s="23">
        <v>10</v>
      </c>
      <c r="O29" s="23">
        <v>10</v>
      </c>
      <c r="P29" s="23">
        <v>10</v>
      </c>
      <c r="Q29" s="23">
        <v>10</v>
      </c>
      <c r="R29" s="23" t="s">
        <v>10</v>
      </c>
      <c r="S29" s="23">
        <v>10</v>
      </c>
      <c r="T29" s="23">
        <v>10</v>
      </c>
      <c r="U29" s="23">
        <v>10</v>
      </c>
      <c r="V29" s="23">
        <v>10</v>
      </c>
      <c r="W29" s="23">
        <v>10</v>
      </c>
      <c r="X29" s="23">
        <v>10</v>
      </c>
      <c r="Y29" s="23" t="s">
        <v>10</v>
      </c>
      <c r="Z29" s="23">
        <v>10</v>
      </c>
      <c r="AA29" s="23">
        <v>10</v>
      </c>
      <c r="AB29" s="23">
        <v>10</v>
      </c>
      <c r="AC29" s="23">
        <v>10</v>
      </c>
      <c r="AD29" s="23">
        <v>10</v>
      </c>
      <c r="AE29" s="23">
        <v>10</v>
      </c>
      <c r="AF29" s="23" t="s">
        <v>10</v>
      </c>
      <c r="AG29" s="23">
        <v>10</v>
      </c>
      <c r="AH29" s="23">
        <v>10</v>
      </c>
      <c r="AI29" s="22">
        <f t="shared" si="0"/>
        <v>250</v>
      </c>
      <c r="AJ29" s="2"/>
      <c r="AK29" s="14">
        <f t="shared" si="1"/>
        <v>0</v>
      </c>
      <c r="AL29" s="2" t="s">
        <v>94</v>
      </c>
    </row>
    <row r="30" spans="1:38" ht="19.899999999999999" customHeight="1" x14ac:dyDescent="0.25">
      <c r="A30" s="2">
        <v>28</v>
      </c>
      <c r="B30" s="25" t="s">
        <v>184</v>
      </c>
      <c r="C30" s="4" t="s">
        <v>185</v>
      </c>
      <c r="D30" s="2" t="s">
        <v>165</v>
      </c>
      <c r="E30" s="23"/>
      <c r="F30" s="23">
        <v>10</v>
      </c>
      <c r="G30" s="23">
        <v>10</v>
      </c>
      <c r="H30" s="23">
        <v>10</v>
      </c>
      <c r="I30" s="23" t="s">
        <v>515</v>
      </c>
      <c r="J30" s="23">
        <v>10</v>
      </c>
      <c r="K30" s="23" t="s">
        <v>10</v>
      </c>
      <c r="L30" s="23">
        <v>10</v>
      </c>
      <c r="M30" s="23">
        <v>10</v>
      </c>
      <c r="N30" s="23">
        <v>10</v>
      </c>
      <c r="O30" s="23">
        <v>10</v>
      </c>
      <c r="P30" s="23">
        <v>10</v>
      </c>
      <c r="Q30" s="23">
        <v>10</v>
      </c>
      <c r="R30" s="23" t="s">
        <v>10</v>
      </c>
      <c r="S30" s="23">
        <v>10</v>
      </c>
      <c r="T30" s="23">
        <v>10</v>
      </c>
      <c r="U30" s="23">
        <v>10</v>
      </c>
      <c r="V30" s="23">
        <v>10</v>
      </c>
      <c r="W30" s="23">
        <v>10</v>
      </c>
      <c r="X30" s="23">
        <v>10</v>
      </c>
      <c r="Y30" s="23" t="s">
        <v>10</v>
      </c>
      <c r="Z30" s="23">
        <v>10</v>
      </c>
      <c r="AA30" s="23">
        <v>10</v>
      </c>
      <c r="AB30" s="23">
        <v>10</v>
      </c>
      <c r="AC30" s="23">
        <v>10</v>
      </c>
      <c r="AD30" s="23">
        <v>10</v>
      </c>
      <c r="AE30" s="23">
        <v>10</v>
      </c>
      <c r="AF30" s="23" t="s">
        <v>10</v>
      </c>
      <c r="AG30" s="23">
        <v>10</v>
      </c>
      <c r="AH30" s="23">
        <v>10</v>
      </c>
      <c r="AI30" s="22">
        <f t="shared" si="0"/>
        <v>240</v>
      </c>
      <c r="AJ30" s="2"/>
      <c r="AK30" s="14">
        <f t="shared" si="1"/>
        <v>0</v>
      </c>
      <c r="AL30" s="2" t="s">
        <v>241</v>
      </c>
    </row>
    <row r="31" spans="1:38" ht="19.899999999999999" customHeight="1" x14ac:dyDescent="0.25">
      <c r="A31" s="2">
        <v>29</v>
      </c>
      <c r="B31" s="28" t="s">
        <v>253</v>
      </c>
      <c r="C31" s="4" t="s">
        <v>254</v>
      </c>
      <c r="D31" s="2" t="s">
        <v>165</v>
      </c>
      <c r="E31" s="23" t="s">
        <v>32</v>
      </c>
      <c r="F31" s="23" t="s">
        <v>32</v>
      </c>
      <c r="G31" s="23">
        <v>10</v>
      </c>
      <c r="H31" s="23">
        <v>10</v>
      </c>
      <c r="I31" s="23" t="s">
        <v>515</v>
      </c>
      <c r="J31" s="23">
        <v>10</v>
      </c>
      <c r="K31" s="23" t="s">
        <v>10</v>
      </c>
      <c r="L31" s="23">
        <v>10</v>
      </c>
      <c r="M31" s="23">
        <v>10</v>
      </c>
      <c r="N31" s="23">
        <v>10</v>
      </c>
      <c r="O31" s="23">
        <v>10</v>
      </c>
      <c r="P31" s="23">
        <v>10</v>
      </c>
      <c r="Q31" s="23">
        <v>10</v>
      </c>
      <c r="R31" s="23" t="s">
        <v>10</v>
      </c>
      <c r="S31" s="23">
        <v>10</v>
      </c>
      <c r="T31" s="23">
        <v>10</v>
      </c>
      <c r="U31" s="23">
        <v>10</v>
      </c>
      <c r="V31" s="23">
        <v>10</v>
      </c>
      <c r="W31" s="23">
        <v>10</v>
      </c>
      <c r="X31" s="23" t="s">
        <v>32</v>
      </c>
      <c r="Y31" s="23" t="s">
        <v>10</v>
      </c>
      <c r="Z31" s="23" t="s">
        <v>32</v>
      </c>
      <c r="AA31" s="23">
        <v>10</v>
      </c>
      <c r="AB31" s="23" t="s">
        <v>32</v>
      </c>
      <c r="AC31" s="23" t="s">
        <v>32</v>
      </c>
      <c r="AD31" s="23">
        <v>10</v>
      </c>
      <c r="AE31" s="23">
        <v>10</v>
      </c>
      <c r="AF31" s="23">
        <v>10</v>
      </c>
      <c r="AG31" s="23"/>
      <c r="AH31" s="23"/>
      <c r="AI31" s="22">
        <f t="shared" si="0"/>
        <v>180</v>
      </c>
      <c r="AJ31" s="2"/>
      <c r="AK31" s="14">
        <f t="shared" si="1"/>
        <v>0</v>
      </c>
      <c r="AL31" s="2" t="s">
        <v>299</v>
      </c>
    </row>
    <row r="32" spans="1:38" ht="19.899999999999999" customHeight="1" x14ac:dyDescent="0.25">
      <c r="A32" s="2">
        <v>30</v>
      </c>
      <c r="B32" s="28" t="s">
        <v>205</v>
      </c>
      <c r="C32" s="4" t="s">
        <v>417</v>
      </c>
      <c r="D32" s="2" t="s">
        <v>179</v>
      </c>
      <c r="E32" s="23">
        <v>11</v>
      </c>
      <c r="F32" s="23">
        <v>11</v>
      </c>
      <c r="G32" s="23">
        <v>11</v>
      </c>
      <c r="H32" s="23">
        <v>11</v>
      </c>
      <c r="I32" s="23">
        <v>11</v>
      </c>
      <c r="J32" s="23">
        <v>11</v>
      </c>
      <c r="K32" s="23" t="s">
        <v>10</v>
      </c>
      <c r="L32" s="23">
        <v>11</v>
      </c>
      <c r="M32" s="23">
        <v>11</v>
      </c>
      <c r="N32" s="23">
        <v>11</v>
      </c>
      <c r="O32" s="23">
        <v>11</v>
      </c>
      <c r="P32" s="23">
        <v>11</v>
      </c>
      <c r="Q32" s="23">
        <v>11</v>
      </c>
      <c r="R32" s="23" t="s">
        <v>10</v>
      </c>
      <c r="S32" s="23">
        <v>11</v>
      </c>
      <c r="T32" s="23">
        <v>11</v>
      </c>
      <c r="U32" s="23">
        <v>11</v>
      </c>
      <c r="V32" s="23">
        <v>11</v>
      </c>
      <c r="W32" s="23">
        <v>11</v>
      </c>
      <c r="X32" s="23">
        <v>11</v>
      </c>
      <c r="Y32" s="23" t="s">
        <v>10</v>
      </c>
      <c r="Z32" s="23">
        <v>11</v>
      </c>
      <c r="AA32" s="23">
        <v>11</v>
      </c>
      <c r="AB32" s="23">
        <v>11</v>
      </c>
      <c r="AC32" s="23">
        <v>12</v>
      </c>
      <c r="AD32" s="23">
        <v>11</v>
      </c>
      <c r="AE32" s="23">
        <v>11</v>
      </c>
      <c r="AF32" s="23">
        <v>11</v>
      </c>
      <c r="AG32" s="23">
        <v>11</v>
      </c>
      <c r="AH32" s="23">
        <v>11</v>
      </c>
      <c r="AI32" s="22">
        <f t="shared" si="0"/>
        <v>298</v>
      </c>
      <c r="AJ32" s="2"/>
      <c r="AK32" s="14">
        <f t="shared" si="1"/>
        <v>0</v>
      </c>
      <c r="AL32" s="2" t="s">
        <v>284</v>
      </c>
    </row>
    <row r="33" spans="1:38" ht="19.899999999999999" customHeight="1" x14ac:dyDescent="0.25">
      <c r="A33" s="2">
        <v>31</v>
      </c>
      <c r="B33" s="25" t="s">
        <v>242</v>
      </c>
      <c r="C33" s="4" t="s">
        <v>243</v>
      </c>
      <c r="D33" s="2" t="s">
        <v>165</v>
      </c>
      <c r="E33" s="23">
        <v>13</v>
      </c>
      <c r="F33" s="23">
        <v>12</v>
      </c>
      <c r="G33" s="23">
        <v>12</v>
      </c>
      <c r="H33" s="23">
        <v>12</v>
      </c>
      <c r="I33" s="23">
        <v>12</v>
      </c>
      <c r="J33" s="23">
        <v>12</v>
      </c>
      <c r="K33" s="23" t="s">
        <v>10</v>
      </c>
      <c r="L33" s="23">
        <v>10</v>
      </c>
      <c r="M33" s="23">
        <v>12</v>
      </c>
      <c r="N33" s="23">
        <v>10</v>
      </c>
      <c r="O33" s="23">
        <v>10</v>
      </c>
      <c r="P33" s="23">
        <v>10</v>
      </c>
      <c r="Q33" s="23">
        <v>10</v>
      </c>
      <c r="R33" s="23" t="s">
        <v>10</v>
      </c>
      <c r="S33" s="23">
        <v>10</v>
      </c>
      <c r="T33" s="23">
        <v>10</v>
      </c>
      <c r="U33" s="23">
        <v>8</v>
      </c>
      <c r="V33" s="23">
        <v>10</v>
      </c>
      <c r="W33" s="23">
        <v>10</v>
      </c>
      <c r="X33" s="23">
        <v>10</v>
      </c>
      <c r="Y33" s="23">
        <v>10</v>
      </c>
      <c r="Z33" s="23">
        <v>10</v>
      </c>
      <c r="AA33" s="23">
        <v>10</v>
      </c>
      <c r="AB33" s="23">
        <v>10</v>
      </c>
      <c r="AC33" s="23">
        <v>10</v>
      </c>
      <c r="AD33" s="23">
        <v>12</v>
      </c>
      <c r="AE33" s="23">
        <v>11</v>
      </c>
      <c r="AF33" s="23">
        <v>10</v>
      </c>
      <c r="AG33" s="23">
        <v>11</v>
      </c>
      <c r="AH33" s="23">
        <v>11</v>
      </c>
      <c r="AI33" s="22">
        <f t="shared" si="0"/>
        <v>298</v>
      </c>
      <c r="AJ33" s="2"/>
      <c r="AK33" s="14">
        <f t="shared" si="1"/>
        <v>0</v>
      </c>
      <c r="AL33" s="2" t="s">
        <v>458</v>
      </c>
    </row>
    <row r="34" spans="1:38" ht="19.899999999999999" customHeight="1" x14ac:dyDescent="0.25">
      <c r="A34" s="2">
        <v>32</v>
      </c>
      <c r="B34" s="25" t="s">
        <v>276</v>
      </c>
      <c r="C34" s="4" t="s">
        <v>277</v>
      </c>
      <c r="D34" s="2" t="s">
        <v>165</v>
      </c>
      <c r="E34" s="23">
        <v>11</v>
      </c>
      <c r="F34" s="23">
        <v>11</v>
      </c>
      <c r="G34" s="23">
        <v>11</v>
      </c>
      <c r="H34" s="23">
        <v>11</v>
      </c>
      <c r="I34" s="23">
        <v>11</v>
      </c>
      <c r="J34" s="23">
        <v>11</v>
      </c>
      <c r="K34" s="23">
        <v>11</v>
      </c>
      <c r="L34" s="23" t="s">
        <v>32</v>
      </c>
      <c r="M34" s="23">
        <v>11</v>
      </c>
      <c r="N34" s="23">
        <v>10.5</v>
      </c>
      <c r="O34" s="23">
        <v>9</v>
      </c>
      <c r="P34" s="23">
        <v>9</v>
      </c>
      <c r="Q34" s="23">
        <v>9</v>
      </c>
      <c r="R34" s="23" t="s">
        <v>10</v>
      </c>
      <c r="S34" s="23" t="s">
        <v>32</v>
      </c>
      <c r="T34" s="23" t="s">
        <v>32</v>
      </c>
      <c r="U34" s="23">
        <v>10.5</v>
      </c>
      <c r="V34" s="23">
        <v>10.5</v>
      </c>
      <c r="W34" s="23">
        <v>10.5</v>
      </c>
      <c r="X34" s="23"/>
      <c r="Y34" s="23" t="s">
        <v>10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2">
        <f t="shared" si="0"/>
        <v>157</v>
      </c>
      <c r="AJ34" s="2"/>
      <c r="AK34" s="14">
        <f t="shared" si="1"/>
        <v>0</v>
      </c>
      <c r="AL34" s="2" t="s">
        <v>564</v>
      </c>
    </row>
    <row r="35" spans="1:38" ht="19.899999999999999" customHeight="1" x14ac:dyDescent="0.25">
      <c r="A35" s="2">
        <v>33</v>
      </c>
      <c r="B35" s="28" t="s">
        <v>186</v>
      </c>
      <c r="C35" s="4" t="s">
        <v>187</v>
      </c>
      <c r="D35" s="2" t="s">
        <v>165</v>
      </c>
      <c r="E35" s="23">
        <v>9.5</v>
      </c>
      <c r="F35" s="23">
        <v>9.5</v>
      </c>
      <c r="G35" s="23">
        <v>9.5</v>
      </c>
      <c r="H35" s="23">
        <v>9.5</v>
      </c>
      <c r="I35" s="23">
        <v>9.5</v>
      </c>
      <c r="J35" s="23">
        <v>9.5</v>
      </c>
      <c r="K35" s="23">
        <v>10</v>
      </c>
      <c r="L35" s="23">
        <v>9.5</v>
      </c>
      <c r="M35" s="23">
        <v>9.5</v>
      </c>
      <c r="N35" s="23">
        <v>9.5</v>
      </c>
      <c r="O35" s="23">
        <v>9.5</v>
      </c>
      <c r="P35" s="23">
        <v>9.5</v>
      </c>
      <c r="Q35" s="23">
        <v>9.5</v>
      </c>
      <c r="R35" s="23">
        <v>10</v>
      </c>
      <c r="S35" s="23">
        <v>11</v>
      </c>
      <c r="T35" s="23">
        <v>11</v>
      </c>
      <c r="U35" s="23">
        <v>11</v>
      </c>
      <c r="V35" s="23">
        <v>11</v>
      </c>
      <c r="W35" s="23">
        <v>11</v>
      </c>
      <c r="X35" s="23">
        <v>11</v>
      </c>
      <c r="Y35" s="23">
        <v>11</v>
      </c>
      <c r="Z35" s="23">
        <v>11</v>
      </c>
      <c r="AA35" s="23">
        <v>11</v>
      </c>
      <c r="AB35" s="23">
        <v>11</v>
      </c>
      <c r="AC35" s="23">
        <v>11</v>
      </c>
      <c r="AD35" s="23">
        <v>11</v>
      </c>
      <c r="AE35" s="23">
        <v>11</v>
      </c>
      <c r="AF35" s="23">
        <v>11</v>
      </c>
      <c r="AG35" s="23">
        <v>11</v>
      </c>
      <c r="AH35" s="23">
        <v>11</v>
      </c>
      <c r="AI35" s="22">
        <f t="shared" ref="AI35:AI65" si="2">SUM(E35:AH35)</f>
        <v>310</v>
      </c>
      <c r="AJ35" s="2"/>
      <c r="AK35" s="14">
        <f t="shared" ref="AK35:AK65" si="3">AI35*AJ35</f>
        <v>0</v>
      </c>
      <c r="AL35" s="2" t="s">
        <v>284</v>
      </c>
    </row>
    <row r="36" spans="1:38" ht="19.899999999999999" customHeight="1" x14ac:dyDescent="0.25">
      <c r="A36" s="2">
        <v>34</v>
      </c>
      <c r="B36" s="28" t="s">
        <v>221</v>
      </c>
      <c r="C36" s="4" t="s">
        <v>222</v>
      </c>
      <c r="D36" s="2" t="s">
        <v>165</v>
      </c>
      <c r="E36" s="23" t="s">
        <v>32</v>
      </c>
      <c r="F36" s="23">
        <v>10</v>
      </c>
      <c r="G36" s="23">
        <v>10</v>
      </c>
      <c r="H36" s="23">
        <v>10</v>
      </c>
      <c r="I36" s="23">
        <v>10</v>
      </c>
      <c r="J36" s="23">
        <v>10</v>
      </c>
      <c r="K36" s="23">
        <v>6</v>
      </c>
      <c r="L36" s="23">
        <v>10</v>
      </c>
      <c r="M36" s="23">
        <v>10</v>
      </c>
      <c r="N36" s="23">
        <v>10</v>
      </c>
      <c r="O36" s="23">
        <v>10</v>
      </c>
      <c r="P36" s="23">
        <v>10</v>
      </c>
      <c r="Q36" s="23">
        <v>10</v>
      </c>
      <c r="R36" s="23" t="s">
        <v>10</v>
      </c>
      <c r="S36" s="23">
        <v>10</v>
      </c>
      <c r="T36" s="23">
        <v>10</v>
      </c>
      <c r="U36" s="23">
        <v>10</v>
      </c>
      <c r="V36" s="23">
        <v>10</v>
      </c>
      <c r="W36" s="23">
        <v>10</v>
      </c>
      <c r="X36" s="23">
        <v>10</v>
      </c>
      <c r="Y36" s="23" t="s">
        <v>10</v>
      </c>
      <c r="Z36" s="23">
        <v>10</v>
      </c>
      <c r="AA36" s="23">
        <v>10</v>
      </c>
      <c r="AB36" s="23">
        <v>10</v>
      </c>
      <c r="AC36" s="23">
        <v>10</v>
      </c>
      <c r="AD36" s="23">
        <v>10</v>
      </c>
      <c r="AE36" s="23">
        <v>10</v>
      </c>
      <c r="AF36" s="23" t="s">
        <v>10</v>
      </c>
      <c r="AG36" s="23">
        <v>10</v>
      </c>
      <c r="AH36" s="23">
        <v>10</v>
      </c>
      <c r="AI36" s="22">
        <f t="shared" si="2"/>
        <v>256</v>
      </c>
      <c r="AJ36" s="2"/>
      <c r="AK36" s="14">
        <f t="shared" si="3"/>
        <v>0</v>
      </c>
      <c r="AL36" s="2" t="s">
        <v>299</v>
      </c>
    </row>
    <row r="37" spans="1:38" ht="19.899999999999999" customHeight="1" x14ac:dyDescent="0.25">
      <c r="A37" s="2">
        <v>35</v>
      </c>
      <c r="B37" s="28" t="s">
        <v>273</v>
      </c>
      <c r="C37" s="4" t="s">
        <v>274</v>
      </c>
      <c r="D37" s="2" t="s">
        <v>165</v>
      </c>
      <c r="E37" s="23">
        <v>10</v>
      </c>
      <c r="F37" s="23">
        <v>10</v>
      </c>
      <c r="G37" s="23">
        <v>10</v>
      </c>
      <c r="H37" s="23">
        <v>10</v>
      </c>
      <c r="I37" s="23">
        <v>6</v>
      </c>
      <c r="J37" s="23">
        <v>10</v>
      </c>
      <c r="K37" s="23" t="s">
        <v>10</v>
      </c>
      <c r="L37" s="23">
        <v>10</v>
      </c>
      <c r="M37" s="23">
        <v>10</v>
      </c>
      <c r="N37" s="23">
        <v>10</v>
      </c>
      <c r="O37" s="23">
        <v>10</v>
      </c>
      <c r="P37" s="23">
        <v>10</v>
      </c>
      <c r="Q37" s="23">
        <v>10</v>
      </c>
      <c r="R37" s="23" t="s">
        <v>10</v>
      </c>
      <c r="S37" s="23">
        <v>10</v>
      </c>
      <c r="T37" s="23">
        <v>10</v>
      </c>
      <c r="U37" s="23">
        <v>10</v>
      </c>
      <c r="V37" s="23">
        <v>10</v>
      </c>
      <c r="W37" s="23">
        <v>10</v>
      </c>
      <c r="X37" s="23">
        <v>10</v>
      </c>
      <c r="Y37" s="23" t="s">
        <v>10</v>
      </c>
      <c r="Z37" s="23">
        <v>10</v>
      </c>
      <c r="AA37" s="23">
        <v>10</v>
      </c>
      <c r="AB37" s="23">
        <v>10</v>
      </c>
      <c r="AC37" s="23">
        <v>10</v>
      </c>
      <c r="AD37" s="23">
        <v>10</v>
      </c>
      <c r="AE37" s="23">
        <v>10</v>
      </c>
      <c r="AF37" s="23">
        <v>10</v>
      </c>
      <c r="AG37" s="23">
        <v>10</v>
      </c>
      <c r="AH37" s="23">
        <v>10</v>
      </c>
      <c r="AI37" s="22">
        <f t="shared" si="2"/>
        <v>266</v>
      </c>
      <c r="AJ37" s="21"/>
      <c r="AK37" s="14">
        <f t="shared" si="3"/>
        <v>0</v>
      </c>
      <c r="AL37" s="2" t="s">
        <v>299</v>
      </c>
    </row>
    <row r="38" spans="1:38" ht="19.899999999999999" customHeight="1" x14ac:dyDescent="0.25">
      <c r="A38" s="2">
        <v>36</v>
      </c>
      <c r="B38" s="28" t="s">
        <v>223</v>
      </c>
      <c r="C38" s="4" t="s">
        <v>224</v>
      </c>
      <c r="D38" s="2" t="s">
        <v>165</v>
      </c>
      <c r="E38" s="23">
        <v>10</v>
      </c>
      <c r="F38" s="23">
        <v>10</v>
      </c>
      <c r="G38" s="23">
        <v>10</v>
      </c>
      <c r="H38" s="23">
        <v>10</v>
      </c>
      <c r="I38" s="23">
        <v>10</v>
      </c>
      <c r="J38" s="23">
        <v>10</v>
      </c>
      <c r="K38" s="23">
        <v>6</v>
      </c>
      <c r="L38" s="23">
        <v>10</v>
      </c>
      <c r="M38" s="23">
        <v>10</v>
      </c>
      <c r="N38" s="23">
        <v>10</v>
      </c>
      <c r="O38" s="23">
        <v>10</v>
      </c>
      <c r="P38" s="23">
        <v>10</v>
      </c>
      <c r="Q38" s="23">
        <v>10</v>
      </c>
      <c r="R38" s="23" t="s">
        <v>10</v>
      </c>
      <c r="S38" s="23">
        <v>10</v>
      </c>
      <c r="T38" s="23">
        <v>10</v>
      </c>
      <c r="U38" s="23">
        <v>10</v>
      </c>
      <c r="V38" s="23">
        <v>10</v>
      </c>
      <c r="W38" s="23">
        <v>10</v>
      </c>
      <c r="X38" s="23">
        <v>10</v>
      </c>
      <c r="Y38" s="23" t="s">
        <v>10</v>
      </c>
      <c r="Z38" s="23">
        <v>10</v>
      </c>
      <c r="AA38" s="23">
        <v>10</v>
      </c>
      <c r="AB38" s="23">
        <v>10</v>
      </c>
      <c r="AC38" s="23">
        <v>10</v>
      </c>
      <c r="AD38" s="23">
        <v>10</v>
      </c>
      <c r="AE38" s="23">
        <v>10</v>
      </c>
      <c r="AF38" s="23" t="s">
        <v>10</v>
      </c>
      <c r="AG38" s="23">
        <v>10</v>
      </c>
      <c r="AH38" s="23">
        <v>10</v>
      </c>
      <c r="AI38" s="22">
        <f t="shared" si="2"/>
        <v>266</v>
      </c>
      <c r="AJ38" s="2"/>
      <c r="AK38" s="14">
        <f t="shared" si="3"/>
        <v>0</v>
      </c>
      <c r="AL38" s="2" t="s">
        <v>299</v>
      </c>
    </row>
    <row r="39" spans="1:38" ht="19.899999999999999" customHeight="1" x14ac:dyDescent="0.25">
      <c r="A39" s="2">
        <v>37</v>
      </c>
      <c r="B39" s="25" t="s">
        <v>188</v>
      </c>
      <c r="C39" s="4" t="s">
        <v>189</v>
      </c>
      <c r="D39" s="2" t="s">
        <v>165</v>
      </c>
      <c r="E39" s="23"/>
      <c r="F39" s="23">
        <v>10</v>
      </c>
      <c r="G39" s="23">
        <v>10</v>
      </c>
      <c r="H39" s="23">
        <v>10</v>
      </c>
      <c r="I39" s="23">
        <v>10</v>
      </c>
      <c r="J39" s="23" t="s">
        <v>32</v>
      </c>
      <c r="K39" s="23" t="s">
        <v>10</v>
      </c>
      <c r="L39" s="23">
        <v>10</v>
      </c>
      <c r="M39" s="23">
        <v>10</v>
      </c>
      <c r="N39" s="23">
        <v>10</v>
      </c>
      <c r="O39" s="23">
        <v>11</v>
      </c>
      <c r="P39" s="23">
        <v>10</v>
      </c>
      <c r="Q39" s="23">
        <v>10</v>
      </c>
      <c r="R39" s="23">
        <v>11</v>
      </c>
      <c r="S39" s="23">
        <v>10</v>
      </c>
      <c r="T39" s="23">
        <v>15</v>
      </c>
      <c r="U39" s="23">
        <v>10</v>
      </c>
      <c r="V39" s="23">
        <v>10</v>
      </c>
      <c r="W39" s="23">
        <v>10</v>
      </c>
      <c r="X39" s="23"/>
      <c r="Y39" s="23" t="s">
        <v>10</v>
      </c>
      <c r="Z39" s="23"/>
      <c r="AA39" s="23"/>
      <c r="AB39" s="23"/>
      <c r="AC39" s="23"/>
      <c r="AD39" s="23"/>
      <c r="AE39" s="23"/>
      <c r="AF39" s="23" t="s">
        <v>10</v>
      </c>
      <c r="AG39" s="23"/>
      <c r="AH39" s="23"/>
      <c r="AI39" s="22">
        <f t="shared" si="2"/>
        <v>167</v>
      </c>
      <c r="AJ39" s="21"/>
      <c r="AK39" s="14">
        <f t="shared" si="3"/>
        <v>0</v>
      </c>
      <c r="AL39" s="2" t="s">
        <v>373</v>
      </c>
    </row>
    <row r="40" spans="1:38" ht="19.899999999999999" customHeight="1" x14ac:dyDescent="0.25">
      <c r="A40" s="2">
        <v>38</v>
      </c>
      <c r="B40" s="25" t="s">
        <v>209</v>
      </c>
      <c r="C40" s="4" t="s">
        <v>408</v>
      </c>
      <c r="D40" s="2" t="s">
        <v>165</v>
      </c>
      <c r="E40" s="23"/>
      <c r="F40" s="23">
        <v>10</v>
      </c>
      <c r="G40" s="23">
        <v>10</v>
      </c>
      <c r="H40" s="23">
        <v>10</v>
      </c>
      <c r="I40" s="23">
        <v>10</v>
      </c>
      <c r="J40" s="23">
        <v>10</v>
      </c>
      <c r="K40" s="23" t="s">
        <v>10</v>
      </c>
      <c r="L40" s="23">
        <v>10</v>
      </c>
      <c r="M40" s="23">
        <v>10</v>
      </c>
      <c r="N40" s="23">
        <v>10</v>
      </c>
      <c r="O40" s="23">
        <v>10</v>
      </c>
      <c r="P40" s="23">
        <v>10</v>
      </c>
      <c r="Q40" s="23">
        <v>10</v>
      </c>
      <c r="R40" s="23">
        <v>11</v>
      </c>
      <c r="S40" s="23">
        <v>12.5</v>
      </c>
      <c r="T40" s="23">
        <v>14</v>
      </c>
      <c r="U40" s="23">
        <v>11</v>
      </c>
      <c r="V40" s="23">
        <v>11</v>
      </c>
      <c r="W40" s="23">
        <v>11</v>
      </c>
      <c r="X40" s="23">
        <v>10</v>
      </c>
      <c r="Y40" s="23" t="s">
        <v>10</v>
      </c>
      <c r="Z40" s="23">
        <v>10</v>
      </c>
      <c r="AA40" s="23">
        <v>10</v>
      </c>
      <c r="AB40" s="23">
        <v>10</v>
      </c>
      <c r="AC40" s="23">
        <v>10</v>
      </c>
      <c r="AD40" s="23">
        <v>11</v>
      </c>
      <c r="AE40" s="23">
        <v>10</v>
      </c>
      <c r="AF40" s="23">
        <v>11</v>
      </c>
      <c r="AG40" s="23">
        <v>10</v>
      </c>
      <c r="AH40" s="23">
        <v>10</v>
      </c>
      <c r="AI40" s="22">
        <f t="shared" si="2"/>
        <v>282.5</v>
      </c>
      <c r="AJ40" s="21"/>
      <c r="AK40" s="14">
        <f t="shared" si="3"/>
        <v>0</v>
      </c>
      <c r="AL40" s="2" t="s">
        <v>373</v>
      </c>
    </row>
    <row r="41" spans="1:38" ht="19.899999999999999" customHeight="1" x14ac:dyDescent="0.25">
      <c r="A41" s="2">
        <v>39</v>
      </c>
      <c r="B41" s="28" t="s">
        <v>267</v>
      </c>
      <c r="C41" s="4" t="s">
        <v>204</v>
      </c>
      <c r="D41" s="2" t="s">
        <v>165</v>
      </c>
      <c r="E41" s="23">
        <v>10</v>
      </c>
      <c r="F41" s="23">
        <v>10</v>
      </c>
      <c r="G41" s="23">
        <v>10</v>
      </c>
      <c r="H41" s="23">
        <v>10</v>
      </c>
      <c r="I41" s="23" t="s">
        <v>515</v>
      </c>
      <c r="J41" s="23">
        <v>10</v>
      </c>
      <c r="K41" s="23" t="s">
        <v>10</v>
      </c>
      <c r="L41" s="23">
        <v>10</v>
      </c>
      <c r="M41" s="23">
        <v>10</v>
      </c>
      <c r="N41" s="23">
        <v>10</v>
      </c>
      <c r="O41" s="23">
        <v>10</v>
      </c>
      <c r="P41" s="23">
        <v>10</v>
      </c>
      <c r="Q41" s="23">
        <v>10</v>
      </c>
      <c r="R41" s="23" t="s">
        <v>10</v>
      </c>
      <c r="S41" s="23">
        <v>10</v>
      </c>
      <c r="T41" s="23">
        <v>10</v>
      </c>
      <c r="U41" s="23">
        <v>10</v>
      </c>
      <c r="V41" s="23">
        <v>10</v>
      </c>
      <c r="W41" s="23">
        <v>10</v>
      </c>
      <c r="X41" s="23">
        <v>10</v>
      </c>
      <c r="Y41" s="23" t="s">
        <v>10</v>
      </c>
      <c r="Z41" s="23">
        <v>10</v>
      </c>
      <c r="AA41" s="23">
        <v>10</v>
      </c>
      <c r="AB41" s="23">
        <v>10</v>
      </c>
      <c r="AC41" s="23">
        <v>10</v>
      </c>
      <c r="AD41" s="23">
        <v>10</v>
      </c>
      <c r="AE41" s="23">
        <v>10</v>
      </c>
      <c r="AF41" s="23" t="s">
        <v>10</v>
      </c>
      <c r="AG41" s="23">
        <v>10</v>
      </c>
      <c r="AH41" s="23">
        <v>10</v>
      </c>
      <c r="AI41" s="22">
        <f t="shared" si="2"/>
        <v>250</v>
      </c>
      <c r="AJ41" s="2"/>
      <c r="AK41" s="14">
        <f t="shared" si="3"/>
        <v>0</v>
      </c>
      <c r="AL41" s="2" t="s">
        <v>241</v>
      </c>
    </row>
    <row r="42" spans="1:38" ht="19.899999999999999" customHeight="1" x14ac:dyDescent="0.25">
      <c r="A42" s="2">
        <v>40</v>
      </c>
      <c r="B42" s="28" t="s">
        <v>210</v>
      </c>
      <c r="C42" s="4" t="s">
        <v>409</v>
      </c>
      <c r="D42" s="2" t="s">
        <v>165</v>
      </c>
      <c r="E42" s="23">
        <v>10</v>
      </c>
      <c r="F42" s="23">
        <v>10</v>
      </c>
      <c r="G42" s="23">
        <v>10</v>
      </c>
      <c r="H42" s="23">
        <v>10</v>
      </c>
      <c r="I42" s="23">
        <v>10</v>
      </c>
      <c r="J42" s="23">
        <v>10</v>
      </c>
      <c r="K42" s="23" t="s">
        <v>10</v>
      </c>
      <c r="L42" s="23">
        <v>10</v>
      </c>
      <c r="M42" s="23">
        <v>10</v>
      </c>
      <c r="N42" s="23">
        <v>10</v>
      </c>
      <c r="O42" s="23">
        <v>10</v>
      </c>
      <c r="P42" s="23">
        <v>10</v>
      </c>
      <c r="Q42" s="23">
        <v>10</v>
      </c>
      <c r="R42" s="23">
        <v>11</v>
      </c>
      <c r="S42" s="23">
        <v>12.5</v>
      </c>
      <c r="T42" s="23">
        <v>14</v>
      </c>
      <c r="U42" s="23">
        <v>11</v>
      </c>
      <c r="V42" s="23">
        <v>11</v>
      </c>
      <c r="W42" s="23">
        <v>11</v>
      </c>
      <c r="X42" s="23">
        <v>10</v>
      </c>
      <c r="Y42" s="23" t="s">
        <v>10</v>
      </c>
      <c r="Z42" s="23">
        <v>10</v>
      </c>
      <c r="AA42" s="23">
        <v>10</v>
      </c>
      <c r="AB42" s="23">
        <v>10</v>
      </c>
      <c r="AC42" s="23">
        <v>10</v>
      </c>
      <c r="AD42" s="23">
        <v>11</v>
      </c>
      <c r="AE42" s="23">
        <v>10</v>
      </c>
      <c r="AF42" s="23">
        <v>11</v>
      </c>
      <c r="AG42" s="23">
        <v>10</v>
      </c>
      <c r="AH42" s="23">
        <v>10</v>
      </c>
      <c r="AI42" s="22">
        <f t="shared" si="2"/>
        <v>292.5</v>
      </c>
      <c r="AJ42" s="21"/>
      <c r="AK42" s="14">
        <f t="shared" si="3"/>
        <v>0</v>
      </c>
      <c r="AL42" s="2" t="s">
        <v>373</v>
      </c>
    </row>
    <row r="43" spans="1:38" ht="19.899999999999999" customHeight="1" x14ac:dyDescent="0.25">
      <c r="A43" s="2">
        <v>41</v>
      </c>
      <c r="B43" s="25" t="s">
        <v>225</v>
      </c>
      <c r="C43" s="4" t="s">
        <v>414</v>
      </c>
      <c r="D43" s="2" t="s">
        <v>165</v>
      </c>
      <c r="E43" s="23">
        <v>10</v>
      </c>
      <c r="F43" s="23">
        <v>10</v>
      </c>
      <c r="G43" s="23">
        <v>10</v>
      </c>
      <c r="H43" s="23">
        <v>10</v>
      </c>
      <c r="I43" s="23">
        <v>6</v>
      </c>
      <c r="J43" s="23">
        <v>10</v>
      </c>
      <c r="K43" s="23" t="s">
        <v>10</v>
      </c>
      <c r="L43" s="23" t="s">
        <v>32</v>
      </c>
      <c r="M43" s="23">
        <v>10</v>
      </c>
      <c r="N43" s="23">
        <v>10</v>
      </c>
      <c r="O43" s="23">
        <v>10</v>
      </c>
      <c r="P43" s="23">
        <v>10</v>
      </c>
      <c r="Q43" s="23">
        <v>10</v>
      </c>
      <c r="R43" s="23" t="s">
        <v>10</v>
      </c>
      <c r="S43" s="23">
        <v>10</v>
      </c>
      <c r="T43" s="23">
        <v>10</v>
      </c>
      <c r="U43" s="23">
        <v>10</v>
      </c>
      <c r="V43" s="23">
        <v>10</v>
      </c>
      <c r="W43" s="23">
        <v>10</v>
      </c>
      <c r="X43" s="23">
        <v>10</v>
      </c>
      <c r="Y43" s="23" t="s">
        <v>10</v>
      </c>
      <c r="Z43" s="23">
        <v>10</v>
      </c>
      <c r="AA43" s="23">
        <v>10</v>
      </c>
      <c r="AB43" s="23">
        <v>10</v>
      </c>
      <c r="AC43" s="23">
        <v>10</v>
      </c>
      <c r="AD43" s="23">
        <v>10</v>
      </c>
      <c r="AE43" s="23">
        <v>10</v>
      </c>
      <c r="AF43" s="23">
        <v>10</v>
      </c>
      <c r="AG43" s="23">
        <v>10</v>
      </c>
      <c r="AH43" s="23">
        <v>10</v>
      </c>
      <c r="AI43" s="22">
        <f t="shared" si="2"/>
        <v>256</v>
      </c>
      <c r="AJ43" s="21"/>
      <c r="AK43" s="14">
        <f t="shared" si="3"/>
        <v>0</v>
      </c>
      <c r="AL43" s="2" t="s">
        <v>299</v>
      </c>
    </row>
    <row r="44" spans="1:38" ht="19.899999999999999" customHeight="1" x14ac:dyDescent="0.25">
      <c r="A44" s="2">
        <v>42</v>
      </c>
      <c r="B44" s="25" t="s">
        <v>168</v>
      </c>
      <c r="C44" s="4" t="s">
        <v>368</v>
      </c>
      <c r="D44" s="2" t="s">
        <v>165</v>
      </c>
      <c r="E44" s="23">
        <v>11</v>
      </c>
      <c r="F44" s="23">
        <v>12</v>
      </c>
      <c r="G44" s="23">
        <v>11</v>
      </c>
      <c r="H44" s="23">
        <v>11</v>
      </c>
      <c r="I44" s="23" t="s">
        <v>32</v>
      </c>
      <c r="J44" s="23">
        <v>11</v>
      </c>
      <c r="K44" s="23">
        <v>12</v>
      </c>
      <c r="L44" s="23">
        <v>11</v>
      </c>
      <c r="M44" s="23">
        <v>11</v>
      </c>
      <c r="N44" s="23">
        <v>11</v>
      </c>
      <c r="O44" s="23">
        <v>11</v>
      </c>
      <c r="P44" s="23">
        <v>11</v>
      </c>
      <c r="Q44" s="23">
        <v>11</v>
      </c>
      <c r="R44" s="23">
        <v>12</v>
      </c>
      <c r="S44" s="23">
        <v>11</v>
      </c>
      <c r="T44" s="23">
        <v>11</v>
      </c>
      <c r="U44" s="23" t="s">
        <v>32</v>
      </c>
      <c r="V44" s="23">
        <v>11</v>
      </c>
      <c r="W44" s="23">
        <v>11</v>
      </c>
      <c r="X44" s="23">
        <v>11</v>
      </c>
      <c r="Y44" s="23">
        <v>12</v>
      </c>
      <c r="Z44" s="23">
        <v>11</v>
      </c>
      <c r="AA44" s="23">
        <v>11</v>
      </c>
      <c r="AB44" s="23">
        <v>12</v>
      </c>
      <c r="AC44" s="23">
        <v>11</v>
      </c>
      <c r="AD44" s="23">
        <v>11</v>
      </c>
      <c r="AE44" s="23">
        <v>11</v>
      </c>
      <c r="AF44" s="23" t="s">
        <v>10</v>
      </c>
      <c r="AG44" s="23">
        <v>11</v>
      </c>
      <c r="AH44" s="23">
        <v>11</v>
      </c>
      <c r="AI44" s="22">
        <f t="shared" si="2"/>
        <v>302</v>
      </c>
      <c r="AJ44" s="2"/>
      <c r="AK44" s="14">
        <f t="shared" si="3"/>
        <v>0</v>
      </c>
      <c r="AL44" s="2" t="s">
        <v>284</v>
      </c>
    </row>
    <row r="45" spans="1:38" ht="19.899999999999999" customHeight="1" x14ac:dyDescent="0.25">
      <c r="A45" s="2">
        <v>43</v>
      </c>
      <c r="B45" s="28" t="s">
        <v>247</v>
      </c>
      <c r="C45" s="4" t="s">
        <v>248</v>
      </c>
      <c r="D45" s="2" t="s">
        <v>244</v>
      </c>
      <c r="E45" s="23">
        <v>11</v>
      </c>
      <c r="F45" s="23">
        <v>11</v>
      </c>
      <c r="G45" s="23">
        <v>11</v>
      </c>
      <c r="H45" s="23">
        <v>11</v>
      </c>
      <c r="I45" s="23" t="s">
        <v>32</v>
      </c>
      <c r="J45" s="23">
        <v>11</v>
      </c>
      <c r="K45" s="23" t="s">
        <v>10</v>
      </c>
      <c r="L45" s="23">
        <v>11</v>
      </c>
      <c r="M45" s="23">
        <v>11</v>
      </c>
      <c r="N45" s="23">
        <v>11</v>
      </c>
      <c r="O45" s="23">
        <v>11</v>
      </c>
      <c r="P45" s="23">
        <v>11</v>
      </c>
      <c r="Q45" s="23">
        <v>11</v>
      </c>
      <c r="R45" s="23" t="s">
        <v>10</v>
      </c>
      <c r="S45" s="23">
        <v>11</v>
      </c>
      <c r="T45" s="23">
        <v>11</v>
      </c>
      <c r="U45" s="23">
        <v>11</v>
      </c>
      <c r="V45" s="23">
        <v>11</v>
      </c>
      <c r="W45" s="23">
        <v>11</v>
      </c>
      <c r="X45" s="23">
        <v>10</v>
      </c>
      <c r="Y45" s="23" t="s">
        <v>10</v>
      </c>
      <c r="Z45" s="23">
        <v>11</v>
      </c>
      <c r="AA45" s="23">
        <v>11</v>
      </c>
      <c r="AB45" s="23">
        <v>10</v>
      </c>
      <c r="AC45" s="23">
        <v>11</v>
      </c>
      <c r="AD45" s="23">
        <v>11</v>
      </c>
      <c r="AE45" s="23">
        <v>11</v>
      </c>
      <c r="AF45" s="23">
        <v>11</v>
      </c>
      <c r="AG45" s="23">
        <v>11</v>
      </c>
      <c r="AH45" s="23">
        <v>10</v>
      </c>
      <c r="AI45" s="22">
        <f t="shared" si="2"/>
        <v>283</v>
      </c>
      <c r="AJ45" s="21"/>
      <c r="AK45" s="14">
        <f t="shared" si="3"/>
        <v>0</v>
      </c>
      <c r="AL45" s="2" t="s">
        <v>566</v>
      </c>
    </row>
    <row r="46" spans="1:38" ht="19.899999999999999" customHeight="1" x14ac:dyDescent="0.25">
      <c r="A46" s="2">
        <v>44</v>
      </c>
      <c r="B46" s="28" t="s">
        <v>190</v>
      </c>
      <c r="C46" s="4" t="s">
        <v>191</v>
      </c>
      <c r="D46" s="2" t="s">
        <v>244</v>
      </c>
      <c r="E46" s="23">
        <v>11</v>
      </c>
      <c r="F46" s="23">
        <v>11</v>
      </c>
      <c r="G46" s="23">
        <v>11</v>
      </c>
      <c r="H46" s="23">
        <v>11</v>
      </c>
      <c r="I46" s="23">
        <v>11</v>
      </c>
      <c r="J46" s="23">
        <v>11</v>
      </c>
      <c r="K46" s="23">
        <v>11</v>
      </c>
      <c r="L46" s="23">
        <v>11</v>
      </c>
      <c r="M46" s="23">
        <v>11</v>
      </c>
      <c r="N46" s="23">
        <v>11</v>
      </c>
      <c r="O46" s="23">
        <v>11</v>
      </c>
      <c r="P46" s="23">
        <v>11</v>
      </c>
      <c r="Q46" s="23">
        <v>11</v>
      </c>
      <c r="R46" s="23">
        <v>11</v>
      </c>
      <c r="S46" s="23" t="s">
        <v>32</v>
      </c>
      <c r="T46" s="23">
        <v>11</v>
      </c>
      <c r="U46" s="23">
        <v>11</v>
      </c>
      <c r="V46" s="23">
        <v>11</v>
      </c>
      <c r="W46" s="23">
        <v>11</v>
      </c>
      <c r="X46" s="23">
        <v>11</v>
      </c>
      <c r="Y46" s="23">
        <v>11</v>
      </c>
      <c r="Z46" s="23">
        <v>11</v>
      </c>
      <c r="AA46" s="23">
        <v>11</v>
      </c>
      <c r="AB46" s="23">
        <v>11</v>
      </c>
      <c r="AC46" s="23">
        <v>11</v>
      </c>
      <c r="AD46" s="23">
        <v>11</v>
      </c>
      <c r="AE46" s="23">
        <v>11</v>
      </c>
      <c r="AF46" s="23" t="s">
        <v>10</v>
      </c>
      <c r="AG46" s="23">
        <v>11</v>
      </c>
      <c r="AH46" s="23">
        <v>11</v>
      </c>
      <c r="AI46" s="22">
        <f t="shared" si="2"/>
        <v>308</v>
      </c>
      <c r="AJ46" s="21"/>
      <c r="AK46" s="14">
        <f t="shared" si="3"/>
        <v>0</v>
      </c>
      <c r="AL46" s="2" t="s">
        <v>275</v>
      </c>
    </row>
    <row r="47" spans="1:38" ht="19.899999999999999" customHeight="1" x14ac:dyDescent="0.25">
      <c r="A47" s="2">
        <v>45</v>
      </c>
      <c r="B47" s="25" t="s">
        <v>249</v>
      </c>
      <c r="C47" s="4" t="s">
        <v>250</v>
      </c>
      <c r="D47" s="2" t="s">
        <v>165</v>
      </c>
      <c r="E47" s="23">
        <v>13</v>
      </c>
      <c r="F47" s="23">
        <v>12</v>
      </c>
      <c r="G47" s="23">
        <v>12</v>
      </c>
      <c r="H47" s="23">
        <v>12</v>
      </c>
      <c r="I47" s="23">
        <v>12</v>
      </c>
      <c r="J47" s="23">
        <v>12</v>
      </c>
      <c r="K47" s="23" t="s">
        <v>10</v>
      </c>
      <c r="L47" s="23">
        <v>10</v>
      </c>
      <c r="M47" s="23">
        <v>12</v>
      </c>
      <c r="N47" s="23">
        <v>10</v>
      </c>
      <c r="O47" s="23">
        <v>10</v>
      </c>
      <c r="P47" s="23">
        <v>10</v>
      </c>
      <c r="Q47" s="23">
        <v>10</v>
      </c>
      <c r="R47" s="23" t="s">
        <v>10</v>
      </c>
      <c r="S47" s="23">
        <v>10</v>
      </c>
      <c r="T47" s="23">
        <v>10</v>
      </c>
      <c r="U47" s="23">
        <v>8</v>
      </c>
      <c r="V47" s="23">
        <v>10</v>
      </c>
      <c r="W47" s="23">
        <v>10</v>
      </c>
      <c r="X47" s="23">
        <v>10</v>
      </c>
      <c r="Y47" s="23">
        <v>10</v>
      </c>
      <c r="Z47" s="23">
        <v>10</v>
      </c>
      <c r="AA47" s="23">
        <v>12</v>
      </c>
      <c r="AB47" s="23">
        <v>11</v>
      </c>
      <c r="AC47" s="23">
        <v>10</v>
      </c>
      <c r="AD47" s="23">
        <v>12</v>
      </c>
      <c r="AE47" s="23">
        <v>11</v>
      </c>
      <c r="AF47" s="23">
        <v>11</v>
      </c>
      <c r="AG47" s="23">
        <v>11</v>
      </c>
      <c r="AH47" s="23">
        <v>11</v>
      </c>
      <c r="AI47" s="22">
        <f t="shared" si="2"/>
        <v>302</v>
      </c>
      <c r="AJ47" s="2"/>
      <c r="AK47" s="14">
        <f t="shared" si="3"/>
        <v>0</v>
      </c>
      <c r="AL47" s="2" t="s">
        <v>458</v>
      </c>
    </row>
    <row r="48" spans="1:38" ht="19.899999999999999" customHeight="1" x14ac:dyDescent="0.25">
      <c r="A48" s="2">
        <v>46</v>
      </c>
      <c r="B48" s="25" t="s">
        <v>260</v>
      </c>
      <c r="C48" s="4" t="s">
        <v>261</v>
      </c>
      <c r="D48" s="2" t="s">
        <v>165</v>
      </c>
      <c r="E48" s="23">
        <v>11</v>
      </c>
      <c r="F48" s="23">
        <v>12</v>
      </c>
      <c r="G48" s="23">
        <v>11</v>
      </c>
      <c r="H48" s="23">
        <v>11</v>
      </c>
      <c r="I48" s="23">
        <v>11</v>
      </c>
      <c r="J48" s="23">
        <v>11</v>
      </c>
      <c r="K48" s="23">
        <v>12</v>
      </c>
      <c r="L48" s="23">
        <v>8</v>
      </c>
      <c r="M48" s="23" t="s">
        <v>32</v>
      </c>
      <c r="N48" s="23">
        <v>11</v>
      </c>
      <c r="O48" s="23">
        <v>11</v>
      </c>
      <c r="P48" s="23">
        <v>11</v>
      </c>
      <c r="Q48" s="23">
        <v>11</v>
      </c>
      <c r="R48" s="23">
        <v>11</v>
      </c>
      <c r="S48" s="23">
        <v>11</v>
      </c>
      <c r="T48" s="23">
        <v>11</v>
      </c>
      <c r="U48" s="23">
        <v>11</v>
      </c>
      <c r="V48" s="23">
        <v>11</v>
      </c>
      <c r="W48" s="23">
        <v>11</v>
      </c>
      <c r="X48" s="23">
        <v>11</v>
      </c>
      <c r="Y48" s="23">
        <v>12</v>
      </c>
      <c r="Z48" s="23">
        <v>11</v>
      </c>
      <c r="AA48" s="23" t="s">
        <v>32</v>
      </c>
      <c r="AB48" s="23">
        <v>11</v>
      </c>
      <c r="AC48" s="23">
        <v>11</v>
      </c>
      <c r="AD48" s="23">
        <v>11</v>
      </c>
      <c r="AE48" s="23">
        <v>11</v>
      </c>
      <c r="AF48" s="23">
        <v>11</v>
      </c>
      <c r="AG48" s="23">
        <v>11</v>
      </c>
      <c r="AH48" s="23" t="s">
        <v>32</v>
      </c>
      <c r="AI48" s="22">
        <f t="shared" si="2"/>
        <v>297</v>
      </c>
      <c r="AJ48" s="2"/>
      <c r="AK48" s="14">
        <f t="shared" si="3"/>
        <v>0</v>
      </c>
      <c r="AL48" s="2" t="s">
        <v>284</v>
      </c>
    </row>
    <row r="49" spans="1:38" ht="19.899999999999999" customHeight="1" x14ac:dyDescent="0.25">
      <c r="A49" s="2">
        <v>47</v>
      </c>
      <c r="B49" s="25" t="s">
        <v>264</v>
      </c>
      <c r="C49" s="4" t="s">
        <v>500</v>
      </c>
      <c r="D49" s="2" t="s">
        <v>165</v>
      </c>
      <c r="E49" s="23">
        <v>11</v>
      </c>
      <c r="F49" s="23">
        <v>11</v>
      </c>
      <c r="G49" s="23">
        <v>11</v>
      </c>
      <c r="H49" s="23">
        <v>11</v>
      </c>
      <c r="I49" s="23">
        <v>11</v>
      </c>
      <c r="J49" s="23">
        <v>11</v>
      </c>
      <c r="K49" s="23" t="s">
        <v>10</v>
      </c>
      <c r="L49" s="23">
        <v>11</v>
      </c>
      <c r="M49" s="23">
        <v>11</v>
      </c>
      <c r="N49" s="23">
        <v>11</v>
      </c>
      <c r="O49" s="23">
        <v>11</v>
      </c>
      <c r="P49" s="23">
        <v>11</v>
      </c>
      <c r="Q49" s="23">
        <v>11</v>
      </c>
      <c r="R49" s="23">
        <v>11</v>
      </c>
      <c r="S49" s="23">
        <v>11</v>
      </c>
      <c r="T49" s="23">
        <v>11</v>
      </c>
      <c r="U49" s="23">
        <v>11</v>
      </c>
      <c r="V49" s="23">
        <v>11</v>
      </c>
      <c r="W49" s="23">
        <v>11</v>
      </c>
      <c r="X49" s="23">
        <v>11</v>
      </c>
      <c r="Y49" s="23" t="s">
        <v>10</v>
      </c>
      <c r="Z49" s="23">
        <v>11</v>
      </c>
      <c r="AA49" s="23">
        <v>11</v>
      </c>
      <c r="AB49" s="23">
        <v>11</v>
      </c>
      <c r="AC49" s="23">
        <v>11</v>
      </c>
      <c r="AD49" s="23">
        <v>11</v>
      </c>
      <c r="AE49" s="23">
        <v>11</v>
      </c>
      <c r="AF49" s="23" t="s">
        <v>10</v>
      </c>
      <c r="AG49" s="23">
        <v>11</v>
      </c>
      <c r="AH49" s="23">
        <v>11</v>
      </c>
      <c r="AI49" s="22">
        <f t="shared" si="2"/>
        <v>297</v>
      </c>
      <c r="AJ49" s="2"/>
      <c r="AK49" s="14">
        <f t="shared" si="3"/>
        <v>0</v>
      </c>
      <c r="AL49" s="2" t="s">
        <v>284</v>
      </c>
    </row>
    <row r="50" spans="1:38" ht="19.899999999999999" customHeight="1" x14ac:dyDescent="0.25">
      <c r="A50" s="2">
        <v>48</v>
      </c>
      <c r="B50" s="25" t="s">
        <v>268</v>
      </c>
      <c r="C50" s="4" t="s">
        <v>269</v>
      </c>
      <c r="D50" s="2" t="s">
        <v>165</v>
      </c>
      <c r="E50" s="23">
        <v>11</v>
      </c>
      <c r="F50" s="23">
        <v>12</v>
      </c>
      <c r="G50" s="23">
        <v>11</v>
      </c>
      <c r="H50" s="23">
        <v>11</v>
      </c>
      <c r="I50" s="23">
        <v>11</v>
      </c>
      <c r="J50" s="23">
        <v>11</v>
      </c>
      <c r="K50" s="23">
        <v>12</v>
      </c>
      <c r="L50" s="23">
        <v>11</v>
      </c>
      <c r="M50" s="23">
        <v>11</v>
      </c>
      <c r="N50" s="23">
        <v>11</v>
      </c>
      <c r="O50" s="23">
        <v>11</v>
      </c>
      <c r="P50" s="23">
        <v>11</v>
      </c>
      <c r="Q50" s="23">
        <v>11</v>
      </c>
      <c r="R50" s="23">
        <v>12</v>
      </c>
      <c r="S50" s="23">
        <v>11</v>
      </c>
      <c r="T50" s="23">
        <v>11</v>
      </c>
      <c r="U50" s="23">
        <v>11</v>
      </c>
      <c r="V50" s="23">
        <v>11</v>
      </c>
      <c r="W50" s="23">
        <v>11</v>
      </c>
      <c r="X50" s="23">
        <v>11</v>
      </c>
      <c r="Y50" s="23">
        <v>12</v>
      </c>
      <c r="Z50" s="23">
        <v>11</v>
      </c>
      <c r="AA50" s="23">
        <v>11</v>
      </c>
      <c r="AB50" s="23">
        <v>12</v>
      </c>
      <c r="AC50" s="23">
        <v>11</v>
      </c>
      <c r="AD50" s="23">
        <v>11</v>
      </c>
      <c r="AE50" s="23">
        <v>11</v>
      </c>
      <c r="AF50" s="23" t="s">
        <v>10</v>
      </c>
      <c r="AG50" s="23">
        <v>11</v>
      </c>
      <c r="AH50" s="23">
        <v>11</v>
      </c>
      <c r="AI50" s="22">
        <f t="shared" si="2"/>
        <v>324</v>
      </c>
      <c r="AJ50" s="2"/>
      <c r="AK50" s="14">
        <f t="shared" si="3"/>
        <v>0</v>
      </c>
      <c r="AL50" s="2" t="s">
        <v>284</v>
      </c>
    </row>
    <row r="51" spans="1:38" ht="19.899999999999999" customHeight="1" x14ac:dyDescent="0.25">
      <c r="A51" s="2">
        <v>49</v>
      </c>
      <c r="B51" s="25" t="s">
        <v>226</v>
      </c>
      <c r="C51" s="4" t="s">
        <v>227</v>
      </c>
      <c r="D51" s="2" t="s">
        <v>165</v>
      </c>
      <c r="E51" s="23">
        <v>10.5</v>
      </c>
      <c r="F51" s="23">
        <v>10.5</v>
      </c>
      <c r="G51" s="23">
        <v>10.5</v>
      </c>
      <c r="H51" s="23">
        <v>10.5</v>
      </c>
      <c r="I51" s="23">
        <v>10.5</v>
      </c>
      <c r="J51" s="23">
        <v>10.5</v>
      </c>
      <c r="K51" s="23" t="s">
        <v>10</v>
      </c>
      <c r="L51" s="23">
        <v>10.5</v>
      </c>
      <c r="M51" s="23">
        <v>10.5</v>
      </c>
      <c r="N51" s="23">
        <v>10.5</v>
      </c>
      <c r="O51" s="23">
        <v>10.5</v>
      </c>
      <c r="P51" s="23">
        <v>10.5</v>
      </c>
      <c r="Q51" s="23">
        <v>10.5</v>
      </c>
      <c r="R51" s="23" t="s">
        <v>10</v>
      </c>
      <c r="S51" s="23">
        <v>10</v>
      </c>
      <c r="T51" s="23">
        <v>10.5</v>
      </c>
      <c r="U51" s="23">
        <v>10.5</v>
      </c>
      <c r="V51" s="23">
        <v>10.5</v>
      </c>
      <c r="W51" s="23">
        <v>10.5</v>
      </c>
      <c r="X51" s="23">
        <v>10.5</v>
      </c>
      <c r="Y51" s="23" t="s">
        <v>10</v>
      </c>
      <c r="Z51" s="23">
        <v>10.5</v>
      </c>
      <c r="AA51" s="23">
        <v>10.5</v>
      </c>
      <c r="AB51" s="23">
        <v>10.5</v>
      </c>
      <c r="AC51" s="23">
        <v>10.5</v>
      </c>
      <c r="AD51" s="23">
        <v>10.5</v>
      </c>
      <c r="AE51" s="23">
        <v>10.5</v>
      </c>
      <c r="AF51" s="23" t="s">
        <v>10</v>
      </c>
      <c r="AG51" s="23">
        <v>10.5</v>
      </c>
      <c r="AH51" s="23">
        <v>10.5</v>
      </c>
      <c r="AI51" s="22">
        <f t="shared" si="2"/>
        <v>272.5</v>
      </c>
      <c r="AJ51" s="2"/>
      <c r="AK51" s="14">
        <f t="shared" si="3"/>
        <v>0</v>
      </c>
      <c r="AL51" s="2" t="s">
        <v>237</v>
      </c>
    </row>
    <row r="52" spans="1:38" ht="19.899999999999999" customHeight="1" x14ac:dyDescent="0.25">
      <c r="A52" s="2">
        <v>50</v>
      </c>
      <c r="B52" s="28" t="s">
        <v>228</v>
      </c>
      <c r="C52" s="4" t="s">
        <v>229</v>
      </c>
      <c r="D52" s="2" t="s">
        <v>165</v>
      </c>
      <c r="E52" s="23">
        <v>9</v>
      </c>
      <c r="F52" s="23">
        <v>9</v>
      </c>
      <c r="G52" s="23">
        <v>9</v>
      </c>
      <c r="H52" s="23">
        <v>9</v>
      </c>
      <c r="I52" s="23">
        <v>9</v>
      </c>
      <c r="J52" s="23">
        <v>9</v>
      </c>
      <c r="K52" s="23" t="s">
        <v>10</v>
      </c>
      <c r="L52" s="23">
        <v>9</v>
      </c>
      <c r="M52" s="23">
        <v>9</v>
      </c>
      <c r="N52" s="23">
        <v>9</v>
      </c>
      <c r="O52" s="23">
        <v>10.5</v>
      </c>
      <c r="P52" s="23">
        <v>10.5</v>
      </c>
      <c r="Q52" s="23">
        <v>10.5</v>
      </c>
      <c r="R52" s="23" t="s">
        <v>10</v>
      </c>
      <c r="S52" s="23">
        <v>9</v>
      </c>
      <c r="T52" s="23">
        <v>10.5</v>
      </c>
      <c r="U52" s="23">
        <v>10.5</v>
      </c>
      <c r="V52" s="23">
        <v>10.5</v>
      </c>
      <c r="W52" s="23">
        <v>10.5</v>
      </c>
      <c r="X52" s="23">
        <v>10.5</v>
      </c>
      <c r="Y52" s="23" t="s">
        <v>10</v>
      </c>
      <c r="Z52" s="23">
        <v>10.5</v>
      </c>
      <c r="AA52" s="23">
        <v>10.5</v>
      </c>
      <c r="AB52" s="23">
        <v>10.5</v>
      </c>
      <c r="AC52" s="23">
        <v>10.5</v>
      </c>
      <c r="AD52" s="23">
        <v>10.5</v>
      </c>
      <c r="AE52" s="23">
        <v>10.5</v>
      </c>
      <c r="AF52" s="23" t="s">
        <v>10</v>
      </c>
      <c r="AG52" s="23">
        <v>10.5</v>
      </c>
      <c r="AH52" s="23">
        <v>10.5</v>
      </c>
      <c r="AI52" s="22">
        <f t="shared" si="2"/>
        <v>258</v>
      </c>
      <c r="AJ52" s="2"/>
      <c r="AK52" s="14">
        <f t="shared" si="3"/>
        <v>0</v>
      </c>
      <c r="AL52" s="2" t="s">
        <v>237</v>
      </c>
    </row>
    <row r="53" spans="1:38" ht="19.899999999999999" customHeight="1" x14ac:dyDescent="0.25">
      <c r="A53" s="2">
        <v>51</v>
      </c>
      <c r="B53" s="28" t="s">
        <v>192</v>
      </c>
      <c r="C53" s="4" t="s">
        <v>495</v>
      </c>
      <c r="D53" s="2" t="s">
        <v>165</v>
      </c>
      <c r="E53" s="23">
        <v>10</v>
      </c>
      <c r="F53" s="23">
        <v>10</v>
      </c>
      <c r="G53" s="23">
        <v>10</v>
      </c>
      <c r="H53" s="23">
        <v>10</v>
      </c>
      <c r="I53" s="23">
        <v>10</v>
      </c>
      <c r="J53" s="23">
        <v>10</v>
      </c>
      <c r="K53" s="23">
        <v>6</v>
      </c>
      <c r="L53" s="23">
        <v>10</v>
      </c>
      <c r="M53" s="23">
        <v>10</v>
      </c>
      <c r="N53" s="23">
        <v>10</v>
      </c>
      <c r="O53" s="23">
        <v>10</v>
      </c>
      <c r="P53" s="23">
        <v>10</v>
      </c>
      <c r="Q53" s="23">
        <v>10</v>
      </c>
      <c r="R53" s="23" t="s">
        <v>10</v>
      </c>
      <c r="S53" s="23">
        <v>10</v>
      </c>
      <c r="T53" s="23">
        <v>10</v>
      </c>
      <c r="U53" s="23">
        <v>10</v>
      </c>
      <c r="V53" s="23">
        <v>10</v>
      </c>
      <c r="W53" s="23">
        <v>10</v>
      </c>
      <c r="X53" s="23">
        <v>10</v>
      </c>
      <c r="Y53" s="23" t="s">
        <v>10</v>
      </c>
      <c r="Z53" s="23">
        <v>10</v>
      </c>
      <c r="AA53" s="23">
        <v>10</v>
      </c>
      <c r="AB53" s="23">
        <v>10</v>
      </c>
      <c r="AC53" s="23">
        <v>10</v>
      </c>
      <c r="AD53" s="23">
        <v>10</v>
      </c>
      <c r="AE53" s="23">
        <v>10</v>
      </c>
      <c r="AF53" s="23" t="s">
        <v>10</v>
      </c>
      <c r="AG53" s="23">
        <v>10</v>
      </c>
      <c r="AH53" s="23">
        <v>10</v>
      </c>
      <c r="AI53" s="22">
        <f t="shared" si="2"/>
        <v>266</v>
      </c>
      <c r="AJ53" s="2"/>
      <c r="AK53" s="14">
        <f t="shared" si="3"/>
        <v>0</v>
      </c>
      <c r="AL53" s="2" t="s">
        <v>299</v>
      </c>
    </row>
    <row r="54" spans="1:38" ht="19.899999999999999" customHeight="1" x14ac:dyDescent="0.25">
      <c r="A54" s="2">
        <v>52</v>
      </c>
      <c r="B54" s="25" t="s">
        <v>230</v>
      </c>
      <c r="C54" s="4" t="s">
        <v>231</v>
      </c>
      <c r="D54" s="2" t="s">
        <v>165</v>
      </c>
      <c r="E54" s="23">
        <v>10</v>
      </c>
      <c r="F54" s="23">
        <v>10</v>
      </c>
      <c r="G54" s="23">
        <v>10</v>
      </c>
      <c r="H54" s="23">
        <v>10</v>
      </c>
      <c r="I54" s="23" t="s">
        <v>515</v>
      </c>
      <c r="J54" s="23">
        <v>10</v>
      </c>
      <c r="K54" s="23" t="s">
        <v>10</v>
      </c>
      <c r="L54" s="23">
        <v>10</v>
      </c>
      <c r="M54" s="23">
        <v>10</v>
      </c>
      <c r="N54" s="23">
        <v>10</v>
      </c>
      <c r="O54" s="23">
        <v>10</v>
      </c>
      <c r="P54" s="23">
        <v>10</v>
      </c>
      <c r="Q54" s="23">
        <v>10</v>
      </c>
      <c r="R54" s="23" t="s">
        <v>10</v>
      </c>
      <c r="S54" s="23">
        <v>10</v>
      </c>
      <c r="T54" s="23">
        <v>10</v>
      </c>
      <c r="U54" s="23">
        <v>10</v>
      </c>
      <c r="V54" s="23">
        <v>10</v>
      </c>
      <c r="W54" s="23">
        <v>10</v>
      </c>
      <c r="X54" s="23">
        <v>10</v>
      </c>
      <c r="Y54" s="23" t="s">
        <v>10</v>
      </c>
      <c r="Z54" s="23">
        <v>10</v>
      </c>
      <c r="AA54" s="23">
        <v>10</v>
      </c>
      <c r="AB54" s="23">
        <v>10</v>
      </c>
      <c r="AC54" s="23">
        <v>10</v>
      </c>
      <c r="AD54" s="23">
        <v>10</v>
      </c>
      <c r="AE54" s="23">
        <v>10</v>
      </c>
      <c r="AF54" s="23" t="s">
        <v>10</v>
      </c>
      <c r="AG54" s="23">
        <v>10</v>
      </c>
      <c r="AH54" s="23">
        <v>10</v>
      </c>
      <c r="AI54" s="22">
        <f t="shared" si="2"/>
        <v>250</v>
      </c>
      <c r="AJ54" s="2"/>
      <c r="AK54" s="14">
        <f t="shared" si="3"/>
        <v>0</v>
      </c>
      <c r="AL54" s="2" t="s">
        <v>241</v>
      </c>
    </row>
    <row r="55" spans="1:38" ht="19.899999999999999" customHeight="1" x14ac:dyDescent="0.25">
      <c r="A55" s="2">
        <v>53</v>
      </c>
      <c r="B55" s="25" t="s">
        <v>193</v>
      </c>
      <c r="C55" s="4" t="s">
        <v>194</v>
      </c>
      <c r="D55" s="2" t="s">
        <v>165</v>
      </c>
      <c r="E55" s="23">
        <v>9</v>
      </c>
      <c r="F55" s="23">
        <v>9</v>
      </c>
      <c r="G55" s="23">
        <v>9</v>
      </c>
      <c r="H55" s="23">
        <v>9</v>
      </c>
      <c r="I55" s="23">
        <v>9</v>
      </c>
      <c r="J55" s="23">
        <v>9</v>
      </c>
      <c r="K55" s="23" t="s">
        <v>10</v>
      </c>
      <c r="L55" s="23">
        <v>9</v>
      </c>
      <c r="M55" s="23">
        <v>9</v>
      </c>
      <c r="N55" s="23">
        <v>9</v>
      </c>
      <c r="O55" s="23">
        <v>9</v>
      </c>
      <c r="P55" s="23">
        <v>9</v>
      </c>
      <c r="Q55" s="23">
        <v>10.5</v>
      </c>
      <c r="R55" s="23" t="s">
        <v>10</v>
      </c>
      <c r="S55" s="23">
        <v>9</v>
      </c>
      <c r="T55" s="23">
        <v>10.5</v>
      </c>
      <c r="U55" s="23">
        <v>10.5</v>
      </c>
      <c r="V55" s="23">
        <v>10.5</v>
      </c>
      <c r="W55" s="23">
        <v>10.5</v>
      </c>
      <c r="X55" s="23">
        <v>10.5</v>
      </c>
      <c r="Y55" s="23" t="s">
        <v>10</v>
      </c>
      <c r="Z55" s="23">
        <v>10.5</v>
      </c>
      <c r="AA55" s="23">
        <v>10.5</v>
      </c>
      <c r="AB55" s="23">
        <v>10.5</v>
      </c>
      <c r="AC55" s="23">
        <v>10.5</v>
      </c>
      <c r="AD55" s="23">
        <v>10.5</v>
      </c>
      <c r="AE55" s="23">
        <v>10.5</v>
      </c>
      <c r="AF55" s="23" t="s">
        <v>10</v>
      </c>
      <c r="AG55" s="23">
        <v>10.5</v>
      </c>
      <c r="AH55" s="23">
        <v>10.5</v>
      </c>
      <c r="AI55" s="22">
        <f t="shared" si="2"/>
        <v>255</v>
      </c>
      <c r="AJ55" s="2"/>
      <c r="AK55" s="14">
        <f t="shared" si="3"/>
        <v>0</v>
      </c>
      <c r="AL55" s="2" t="s">
        <v>237</v>
      </c>
    </row>
    <row r="56" spans="1:38" ht="19.899999999999999" customHeight="1" x14ac:dyDescent="0.25">
      <c r="A56" s="2">
        <v>54</v>
      </c>
      <c r="B56" s="30" t="s">
        <v>195</v>
      </c>
      <c r="C56" s="4" t="s">
        <v>196</v>
      </c>
      <c r="D56" s="2" t="s">
        <v>165</v>
      </c>
      <c r="E56" s="23">
        <v>10</v>
      </c>
      <c r="F56" s="23">
        <v>10</v>
      </c>
      <c r="G56" s="23">
        <v>10</v>
      </c>
      <c r="H56" s="23">
        <v>10</v>
      </c>
      <c r="I56" s="23" t="s">
        <v>515</v>
      </c>
      <c r="J56" s="23">
        <v>10</v>
      </c>
      <c r="K56" s="23" t="s">
        <v>10</v>
      </c>
      <c r="L56" s="23">
        <v>10</v>
      </c>
      <c r="M56" s="23">
        <v>10</v>
      </c>
      <c r="N56" s="23">
        <v>10</v>
      </c>
      <c r="O56" s="23">
        <v>10</v>
      </c>
      <c r="P56" s="23">
        <v>10</v>
      </c>
      <c r="Q56" s="23">
        <v>10</v>
      </c>
      <c r="R56" s="23" t="s">
        <v>10</v>
      </c>
      <c r="S56" s="23">
        <v>10</v>
      </c>
      <c r="T56" s="23">
        <v>10</v>
      </c>
      <c r="U56" s="23">
        <v>10</v>
      </c>
      <c r="V56" s="23">
        <v>10</v>
      </c>
      <c r="W56" s="23">
        <v>10</v>
      </c>
      <c r="X56" s="23">
        <v>10</v>
      </c>
      <c r="Y56" s="23" t="s">
        <v>10</v>
      </c>
      <c r="Z56" s="23">
        <v>10</v>
      </c>
      <c r="AA56" s="23">
        <v>10</v>
      </c>
      <c r="AB56" s="23">
        <v>10</v>
      </c>
      <c r="AC56" s="23">
        <v>10</v>
      </c>
      <c r="AD56" s="23">
        <v>10</v>
      </c>
      <c r="AE56" s="23">
        <v>10</v>
      </c>
      <c r="AF56" s="23" t="s">
        <v>10</v>
      </c>
      <c r="AG56" s="23">
        <v>10</v>
      </c>
      <c r="AH56" s="23">
        <v>10</v>
      </c>
      <c r="AI56" s="22">
        <f t="shared" si="2"/>
        <v>250</v>
      </c>
      <c r="AJ56" s="2"/>
      <c r="AK56" s="14">
        <f t="shared" si="3"/>
        <v>0</v>
      </c>
      <c r="AL56" s="2" t="s">
        <v>241</v>
      </c>
    </row>
    <row r="57" spans="1:38" ht="19.899999999999999" customHeight="1" x14ac:dyDescent="0.25">
      <c r="A57" s="2">
        <v>55</v>
      </c>
      <c r="B57" s="25" t="s">
        <v>265</v>
      </c>
      <c r="C57" s="4" t="s">
        <v>266</v>
      </c>
      <c r="D57" s="2" t="s">
        <v>165</v>
      </c>
      <c r="E57" s="23" t="s">
        <v>32</v>
      </c>
      <c r="F57" s="23">
        <v>11</v>
      </c>
      <c r="G57" s="23">
        <v>11</v>
      </c>
      <c r="H57" s="23">
        <v>11</v>
      </c>
      <c r="I57" s="23">
        <v>11</v>
      </c>
      <c r="J57" s="23">
        <v>11</v>
      </c>
      <c r="K57" s="23" t="s">
        <v>10</v>
      </c>
      <c r="L57" s="23" t="s">
        <v>32</v>
      </c>
      <c r="M57" s="23" t="s">
        <v>32</v>
      </c>
      <c r="N57" s="23">
        <v>11</v>
      </c>
      <c r="O57" s="23">
        <v>11</v>
      </c>
      <c r="P57" s="23">
        <v>11</v>
      </c>
      <c r="Q57" s="23"/>
      <c r="R57" s="23" t="s">
        <v>10</v>
      </c>
      <c r="S57" s="23"/>
      <c r="T57" s="23"/>
      <c r="U57" s="23"/>
      <c r="V57" s="23"/>
      <c r="W57" s="23"/>
      <c r="X57" s="23"/>
      <c r="Y57" s="23" t="s">
        <v>10</v>
      </c>
      <c r="Z57" s="23"/>
      <c r="AA57" s="23"/>
      <c r="AB57" s="23"/>
      <c r="AC57" s="23"/>
      <c r="AD57" s="23"/>
      <c r="AE57" s="23"/>
      <c r="AF57" s="23"/>
      <c r="AG57" s="23"/>
      <c r="AH57" s="23"/>
      <c r="AI57" s="22">
        <f t="shared" si="2"/>
        <v>88</v>
      </c>
      <c r="AJ57" s="2"/>
      <c r="AK57" s="14">
        <f t="shared" si="3"/>
        <v>0</v>
      </c>
      <c r="AL57" s="2" t="s">
        <v>284</v>
      </c>
    </row>
    <row r="58" spans="1:38" ht="19.899999999999999" customHeight="1" x14ac:dyDescent="0.25">
      <c r="A58" s="2">
        <v>56</v>
      </c>
      <c r="B58" s="30" t="s">
        <v>307</v>
      </c>
      <c r="C58" s="4" t="s">
        <v>232</v>
      </c>
      <c r="D58" s="2" t="s">
        <v>165</v>
      </c>
      <c r="E58" s="23" t="s">
        <v>32</v>
      </c>
      <c r="F58" s="23">
        <v>10</v>
      </c>
      <c r="G58" s="23">
        <v>10</v>
      </c>
      <c r="H58" s="23">
        <v>10</v>
      </c>
      <c r="I58" s="23">
        <v>10</v>
      </c>
      <c r="J58" s="23">
        <v>10</v>
      </c>
      <c r="K58" s="23">
        <v>6</v>
      </c>
      <c r="L58" s="23">
        <v>10</v>
      </c>
      <c r="M58" s="23">
        <v>10</v>
      </c>
      <c r="N58" s="23">
        <v>10</v>
      </c>
      <c r="O58" s="23">
        <v>10</v>
      </c>
      <c r="P58" s="23">
        <v>10</v>
      </c>
      <c r="Q58" s="23">
        <v>10</v>
      </c>
      <c r="R58" s="23" t="s">
        <v>10</v>
      </c>
      <c r="S58" s="23">
        <v>10</v>
      </c>
      <c r="T58" s="23">
        <v>10</v>
      </c>
      <c r="U58" s="23">
        <v>10</v>
      </c>
      <c r="V58" s="23">
        <v>10</v>
      </c>
      <c r="W58" s="23">
        <v>12</v>
      </c>
      <c r="X58" s="23">
        <v>11</v>
      </c>
      <c r="Y58" s="23" t="s">
        <v>10</v>
      </c>
      <c r="Z58" s="23">
        <v>10</v>
      </c>
      <c r="AA58" s="23">
        <v>10</v>
      </c>
      <c r="AB58" s="23">
        <v>10</v>
      </c>
      <c r="AC58" s="23">
        <v>10</v>
      </c>
      <c r="AD58" s="23">
        <v>11</v>
      </c>
      <c r="AE58" s="23">
        <v>10</v>
      </c>
      <c r="AF58" s="23">
        <v>11</v>
      </c>
      <c r="AG58" s="23">
        <v>10</v>
      </c>
      <c r="AH58" s="23">
        <v>10</v>
      </c>
      <c r="AI58" s="22">
        <f t="shared" si="2"/>
        <v>271</v>
      </c>
      <c r="AJ58" s="2"/>
      <c r="AK58" s="14">
        <f t="shared" si="3"/>
        <v>0</v>
      </c>
      <c r="AL58" s="2" t="s">
        <v>562</v>
      </c>
    </row>
    <row r="59" spans="1:38" ht="19.899999999999999" customHeight="1" x14ac:dyDescent="0.25">
      <c r="A59" s="2">
        <v>57</v>
      </c>
      <c r="B59" s="25" t="s">
        <v>272</v>
      </c>
      <c r="C59" s="4" t="s">
        <v>197</v>
      </c>
      <c r="D59" s="2" t="s">
        <v>165</v>
      </c>
      <c r="E59" s="23">
        <v>11</v>
      </c>
      <c r="F59" s="23">
        <v>11</v>
      </c>
      <c r="G59" s="23">
        <v>11</v>
      </c>
      <c r="H59" s="23">
        <v>11</v>
      </c>
      <c r="I59" s="23">
        <v>11</v>
      </c>
      <c r="J59" s="23">
        <v>11</v>
      </c>
      <c r="K59" s="23" t="s">
        <v>10</v>
      </c>
      <c r="L59" s="23">
        <v>11</v>
      </c>
      <c r="M59" s="23">
        <v>11</v>
      </c>
      <c r="N59" s="23">
        <v>11</v>
      </c>
      <c r="O59" s="23">
        <v>11</v>
      </c>
      <c r="P59" s="23">
        <v>11</v>
      </c>
      <c r="Q59" s="23">
        <v>11</v>
      </c>
      <c r="R59" s="23" t="s">
        <v>10</v>
      </c>
      <c r="S59" s="23">
        <v>11</v>
      </c>
      <c r="T59" s="23">
        <v>11</v>
      </c>
      <c r="U59" s="23">
        <v>11</v>
      </c>
      <c r="V59" s="23">
        <v>11</v>
      </c>
      <c r="W59" s="23">
        <v>11</v>
      </c>
      <c r="X59" s="23">
        <v>11</v>
      </c>
      <c r="Y59" s="23">
        <v>11</v>
      </c>
      <c r="Z59" s="23">
        <v>11</v>
      </c>
      <c r="AA59" s="23">
        <v>11</v>
      </c>
      <c r="AB59" s="23">
        <v>11</v>
      </c>
      <c r="AC59" s="23">
        <v>11</v>
      </c>
      <c r="AD59" s="23" t="s">
        <v>32</v>
      </c>
      <c r="AE59" s="23" t="s">
        <v>32</v>
      </c>
      <c r="AF59" s="23" t="s">
        <v>10</v>
      </c>
      <c r="AG59" s="23">
        <v>11</v>
      </c>
      <c r="AH59" s="23">
        <v>11</v>
      </c>
      <c r="AI59" s="22">
        <f t="shared" si="2"/>
        <v>275</v>
      </c>
      <c r="AJ59" s="2"/>
      <c r="AK59" s="14">
        <f t="shared" si="3"/>
        <v>0</v>
      </c>
      <c r="AL59" s="2" t="s">
        <v>284</v>
      </c>
    </row>
    <row r="60" spans="1:38" ht="19.899999999999999" customHeight="1" x14ac:dyDescent="0.25">
      <c r="A60" s="2">
        <v>58</v>
      </c>
      <c r="B60" s="28" t="s">
        <v>278</v>
      </c>
      <c r="C60" s="4" t="s">
        <v>279</v>
      </c>
      <c r="D60" s="2" t="s">
        <v>165</v>
      </c>
      <c r="E60" s="23">
        <v>11</v>
      </c>
      <c r="F60" s="23">
        <v>11</v>
      </c>
      <c r="G60" s="23">
        <v>11</v>
      </c>
      <c r="H60" s="23">
        <v>11</v>
      </c>
      <c r="I60" s="23" t="s">
        <v>32</v>
      </c>
      <c r="J60" s="23">
        <v>11</v>
      </c>
      <c r="K60" s="23" t="s">
        <v>10</v>
      </c>
      <c r="L60" s="23">
        <v>11</v>
      </c>
      <c r="M60" s="23">
        <v>11</v>
      </c>
      <c r="N60" s="23">
        <v>10.5</v>
      </c>
      <c r="O60" s="23">
        <v>9</v>
      </c>
      <c r="P60" s="23">
        <v>9</v>
      </c>
      <c r="Q60" s="23">
        <v>9</v>
      </c>
      <c r="R60" s="23" t="s">
        <v>10</v>
      </c>
      <c r="S60" s="23">
        <v>9</v>
      </c>
      <c r="T60" s="23">
        <v>10.5</v>
      </c>
      <c r="U60" s="23" t="s">
        <v>32</v>
      </c>
      <c r="V60" s="23">
        <v>10.5</v>
      </c>
      <c r="W60" s="23">
        <v>10.5</v>
      </c>
      <c r="X60" s="23">
        <v>10.5</v>
      </c>
      <c r="Y60" s="23" t="s">
        <v>10</v>
      </c>
      <c r="Z60" s="23" t="s">
        <v>32</v>
      </c>
      <c r="AA60" s="23">
        <v>10.5</v>
      </c>
      <c r="AB60" s="23">
        <v>10.5</v>
      </c>
      <c r="AC60" s="23">
        <v>10.5</v>
      </c>
      <c r="AD60" s="23">
        <v>10.5</v>
      </c>
      <c r="AE60" s="23">
        <v>10.5</v>
      </c>
      <c r="AF60" s="23" t="s">
        <v>10</v>
      </c>
      <c r="AG60" s="23">
        <v>10.5</v>
      </c>
      <c r="AH60" s="23">
        <v>10.5</v>
      </c>
      <c r="AI60" s="22">
        <f t="shared" si="2"/>
        <v>239</v>
      </c>
      <c r="AJ60" s="2"/>
      <c r="AK60" s="14">
        <f t="shared" si="3"/>
        <v>0</v>
      </c>
      <c r="AL60" s="2" t="s">
        <v>564</v>
      </c>
    </row>
    <row r="61" spans="1:38" ht="19.899999999999999" customHeight="1" x14ac:dyDescent="0.25">
      <c r="A61" s="2">
        <v>59</v>
      </c>
      <c r="B61" s="28" t="s">
        <v>233</v>
      </c>
      <c r="C61" s="4" t="s">
        <v>493</v>
      </c>
      <c r="D61" s="2" t="s">
        <v>165</v>
      </c>
      <c r="E61" s="23">
        <v>10</v>
      </c>
      <c r="F61" s="23">
        <v>10</v>
      </c>
      <c r="G61" s="23">
        <v>10</v>
      </c>
      <c r="H61" s="23">
        <v>10</v>
      </c>
      <c r="I61" s="23">
        <v>10</v>
      </c>
      <c r="J61" s="23">
        <v>10</v>
      </c>
      <c r="K61" s="23">
        <v>6</v>
      </c>
      <c r="L61" s="23">
        <v>10</v>
      </c>
      <c r="M61" s="23">
        <v>10</v>
      </c>
      <c r="N61" s="23">
        <v>10</v>
      </c>
      <c r="O61" s="23">
        <v>10</v>
      </c>
      <c r="P61" s="23">
        <v>10</v>
      </c>
      <c r="Q61" s="23">
        <v>10</v>
      </c>
      <c r="R61" s="23" t="s">
        <v>10</v>
      </c>
      <c r="S61" s="23">
        <v>10</v>
      </c>
      <c r="T61" s="23">
        <v>10</v>
      </c>
      <c r="U61" s="23">
        <v>10</v>
      </c>
      <c r="V61" s="23">
        <v>10</v>
      </c>
      <c r="W61" s="23">
        <v>10</v>
      </c>
      <c r="X61" s="23">
        <v>10</v>
      </c>
      <c r="Y61" s="23" t="s">
        <v>10</v>
      </c>
      <c r="Z61" s="23">
        <v>10</v>
      </c>
      <c r="AA61" s="23">
        <v>10</v>
      </c>
      <c r="AB61" s="23">
        <v>10</v>
      </c>
      <c r="AC61" s="23">
        <v>10</v>
      </c>
      <c r="AD61" s="23">
        <v>10</v>
      </c>
      <c r="AE61" s="23">
        <v>10</v>
      </c>
      <c r="AF61" s="23" t="s">
        <v>10</v>
      </c>
      <c r="AG61" s="23">
        <v>10</v>
      </c>
      <c r="AH61" s="23">
        <v>10</v>
      </c>
      <c r="AI61" s="22">
        <f t="shared" si="2"/>
        <v>266</v>
      </c>
      <c r="AJ61" s="2"/>
      <c r="AK61" s="14">
        <f t="shared" si="3"/>
        <v>0</v>
      </c>
      <c r="AL61" s="2" t="s">
        <v>299</v>
      </c>
    </row>
    <row r="62" spans="1:38" ht="19.899999999999999" customHeight="1" x14ac:dyDescent="0.25">
      <c r="A62" s="2">
        <v>60</v>
      </c>
      <c r="B62" s="25" t="s">
        <v>169</v>
      </c>
      <c r="C62" s="4" t="s">
        <v>321</v>
      </c>
      <c r="D62" s="2" t="s">
        <v>244</v>
      </c>
      <c r="E62" s="23">
        <v>11</v>
      </c>
      <c r="F62" s="23">
        <v>11</v>
      </c>
      <c r="G62" s="23">
        <v>11</v>
      </c>
      <c r="H62" s="23">
        <v>11</v>
      </c>
      <c r="I62" s="23">
        <v>11</v>
      </c>
      <c r="J62" s="23">
        <v>11</v>
      </c>
      <c r="K62" s="23">
        <v>10</v>
      </c>
      <c r="L62" s="23">
        <v>11</v>
      </c>
      <c r="M62" s="23">
        <v>11</v>
      </c>
      <c r="N62" s="23">
        <v>11</v>
      </c>
      <c r="O62" s="23">
        <v>11</v>
      </c>
      <c r="P62" s="23">
        <v>11</v>
      </c>
      <c r="Q62" s="23">
        <v>11</v>
      </c>
      <c r="R62" s="23">
        <v>10</v>
      </c>
      <c r="S62" s="23">
        <v>11</v>
      </c>
      <c r="T62" s="23">
        <v>11</v>
      </c>
      <c r="U62" s="23">
        <v>11</v>
      </c>
      <c r="V62" s="23">
        <v>11</v>
      </c>
      <c r="W62" s="23">
        <v>11</v>
      </c>
      <c r="X62" s="23">
        <v>11</v>
      </c>
      <c r="Y62" s="23">
        <v>10</v>
      </c>
      <c r="Z62" s="23">
        <v>11</v>
      </c>
      <c r="AA62" s="23">
        <v>11</v>
      </c>
      <c r="AB62" s="23">
        <v>11</v>
      </c>
      <c r="AC62" s="23">
        <v>11</v>
      </c>
      <c r="AD62" s="23">
        <v>11</v>
      </c>
      <c r="AE62" s="23">
        <v>11</v>
      </c>
      <c r="AF62" s="23">
        <v>11</v>
      </c>
      <c r="AG62" s="23">
        <v>11</v>
      </c>
      <c r="AH62" s="23">
        <v>11</v>
      </c>
      <c r="AI62" s="22">
        <f t="shared" si="2"/>
        <v>327</v>
      </c>
      <c r="AJ62" s="2"/>
      <c r="AK62" s="14">
        <f t="shared" si="3"/>
        <v>0</v>
      </c>
      <c r="AL62" s="2" t="s">
        <v>275</v>
      </c>
    </row>
    <row r="63" spans="1:38" ht="19.899999999999999" customHeight="1" x14ac:dyDescent="0.25">
      <c r="A63" s="2">
        <v>61</v>
      </c>
      <c r="B63" s="25" t="s">
        <v>170</v>
      </c>
      <c r="C63" s="4" t="s">
        <v>323</v>
      </c>
      <c r="D63" s="2" t="s">
        <v>244</v>
      </c>
      <c r="E63" s="23">
        <v>11</v>
      </c>
      <c r="F63" s="23">
        <v>11</v>
      </c>
      <c r="G63" s="23">
        <v>11</v>
      </c>
      <c r="H63" s="23">
        <v>11</v>
      </c>
      <c r="I63" s="23">
        <v>11</v>
      </c>
      <c r="J63" s="23">
        <v>11</v>
      </c>
      <c r="K63" s="23" t="s">
        <v>10</v>
      </c>
      <c r="L63" s="23">
        <v>11</v>
      </c>
      <c r="M63" s="23">
        <v>11</v>
      </c>
      <c r="N63" s="23">
        <v>11</v>
      </c>
      <c r="O63" s="23">
        <v>11</v>
      </c>
      <c r="P63" s="23">
        <v>11</v>
      </c>
      <c r="Q63" s="23">
        <v>11</v>
      </c>
      <c r="R63" s="23">
        <v>11</v>
      </c>
      <c r="S63" s="23">
        <v>11</v>
      </c>
      <c r="T63" s="23">
        <v>11</v>
      </c>
      <c r="U63" s="23">
        <v>11</v>
      </c>
      <c r="V63" s="23">
        <v>11</v>
      </c>
      <c r="W63" s="23">
        <v>11</v>
      </c>
      <c r="X63" s="23">
        <v>11</v>
      </c>
      <c r="Y63" s="23">
        <v>11</v>
      </c>
      <c r="Z63" s="23">
        <v>11</v>
      </c>
      <c r="AA63" s="23">
        <v>11</v>
      </c>
      <c r="AB63" s="23">
        <v>11</v>
      </c>
      <c r="AC63" s="23">
        <v>11</v>
      </c>
      <c r="AD63" s="23">
        <v>11</v>
      </c>
      <c r="AE63" s="23">
        <v>11</v>
      </c>
      <c r="AF63" s="23">
        <v>11</v>
      </c>
      <c r="AG63" s="23">
        <v>11</v>
      </c>
      <c r="AH63" s="23">
        <v>11</v>
      </c>
      <c r="AI63" s="22">
        <f t="shared" si="2"/>
        <v>319</v>
      </c>
      <c r="AJ63" s="2"/>
      <c r="AK63" s="14">
        <f t="shared" si="3"/>
        <v>0</v>
      </c>
      <c r="AL63" s="2" t="s">
        <v>275</v>
      </c>
    </row>
    <row r="64" spans="1:38" ht="19.899999999999999" customHeight="1" x14ac:dyDescent="0.25">
      <c r="A64" s="2">
        <v>62</v>
      </c>
      <c r="B64" s="25" t="s">
        <v>171</v>
      </c>
      <c r="C64" s="4" t="s">
        <v>172</v>
      </c>
      <c r="D64" s="2" t="s">
        <v>165</v>
      </c>
      <c r="E64" s="23">
        <v>10</v>
      </c>
      <c r="F64" s="23">
        <v>10</v>
      </c>
      <c r="G64" s="23">
        <v>10</v>
      </c>
      <c r="H64" s="23">
        <v>10</v>
      </c>
      <c r="I64" s="23" t="s">
        <v>515</v>
      </c>
      <c r="J64" s="23">
        <v>10</v>
      </c>
      <c r="K64" s="23" t="s">
        <v>10</v>
      </c>
      <c r="L64" s="23">
        <v>10</v>
      </c>
      <c r="M64" s="23">
        <v>10</v>
      </c>
      <c r="N64" s="23">
        <v>10</v>
      </c>
      <c r="O64" s="23">
        <v>10</v>
      </c>
      <c r="P64" s="23">
        <v>10</v>
      </c>
      <c r="Q64" s="23">
        <v>10</v>
      </c>
      <c r="R64" s="23" t="s">
        <v>10</v>
      </c>
      <c r="S64" s="23">
        <v>10</v>
      </c>
      <c r="T64" s="23">
        <v>10</v>
      </c>
      <c r="U64" s="23">
        <v>10</v>
      </c>
      <c r="V64" s="23">
        <v>10</v>
      </c>
      <c r="W64" s="23">
        <v>10</v>
      </c>
      <c r="X64" s="23">
        <v>10</v>
      </c>
      <c r="Y64" s="23" t="s">
        <v>10</v>
      </c>
      <c r="Z64" s="23">
        <v>10</v>
      </c>
      <c r="AA64" s="23">
        <v>10</v>
      </c>
      <c r="AB64" s="23">
        <v>10</v>
      </c>
      <c r="AC64" s="23" t="s">
        <v>32</v>
      </c>
      <c r="AD64" s="23">
        <v>10</v>
      </c>
      <c r="AE64" s="23">
        <v>10</v>
      </c>
      <c r="AF64" s="23">
        <v>10</v>
      </c>
      <c r="AG64" s="23">
        <v>10</v>
      </c>
      <c r="AH64" s="23">
        <v>10</v>
      </c>
      <c r="AI64" s="22">
        <f t="shared" si="2"/>
        <v>250</v>
      </c>
      <c r="AJ64" s="2"/>
      <c r="AK64" s="14">
        <f t="shared" si="3"/>
        <v>0</v>
      </c>
      <c r="AL64" s="2" t="s">
        <v>299</v>
      </c>
    </row>
    <row r="65" spans="1:38" ht="19.899999999999999" customHeight="1" x14ac:dyDescent="0.25">
      <c r="A65" s="2">
        <v>63</v>
      </c>
      <c r="B65" s="25" t="s">
        <v>245</v>
      </c>
      <c r="C65" s="4" t="s">
        <v>246</v>
      </c>
      <c r="D65" s="2" t="s">
        <v>244</v>
      </c>
      <c r="E65" s="23">
        <v>11</v>
      </c>
      <c r="F65" s="23">
        <v>11</v>
      </c>
      <c r="G65" s="23">
        <v>11</v>
      </c>
      <c r="H65" s="23">
        <v>11</v>
      </c>
      <c r="I65" s="23" t="s">
        <v>32</v>
      </c>
      <c r="J65" s="23">
        <v>11</v>
      </c>
      <c r="K65" s="23" t="s">
        <v>10</v>
      </c>
      <c r="L65" s="23">
        <v>11</v>
      </c>
      <c r="M65" s="23">
        <v>11</v>
      </c>
      <c r="N65" s="23">
        <v>11</v>
      </c>
      <c r="O65" s="23">
        <v>11</v>
      </c>
      <c r="P65" s="23">
        <v>11</v>
      </c>
      <c r="Q65" s="23">
        <v>11</v>
      </c>
      <c r="R65" s="23">
        <v>10</v>
      </c>
      <c r="S65" s="23">
        <v>11</v>
      </c>
      <c r="T65" s="23">
        <v>11</v>
      </c>
      <c r="U65" s="23">
        <v>11</v>
      </c>
      <c r="V65" s="23">
        <v>11</v>
      </c>
      <c r="W65" s="23">
        <v>11</v>
      </c>
      <c r="X65" s="23">
        <v>11</v>
      </c>
      <c r="Y65" s="23">
        <v>10</v>
      </c>
      <c r="Z65" s="23">
        <v>11</v>
      </c>
      <c r="AA65" s="23">
        <v>11</v>
      </c>
      <c r="AB65" s="23">
        <v>11</v>
      </c>
      <c r="AC65" s="23">
        <v>11</v>
      </c>
      <c r="AD65" s="23">
        <v>11</v>
      </c>
      <c r="AE65" s="23">
        <v>11</v>
      </c>
      <c r="AF65" s="23">
        <v>11</v>
      </c>
      <c r="AG65" s="23">
        <v>11</v>
      </c>
      <c r="AH65" s="23">
        <v>11</v>
      </c>
      <c r="AI65" s="22">
        <f t="shared" si="2"/>
        <v>306</v>
      </c>
      <c r="AJ65" s="2"/>
      <c r="AK65" s="14">
        <f t="shared" si="3"/>
        <v>0</v>
      </c>
      <c r="AL65" s="2" t="s">
        <v>275</v>
      </c>
    </row>
    <row r="66" spans="1:38" ht="19.899999999999999" customHeight="1" x14ac:dyDescent="0.25">
      <c r="A66" s="2">
        <v>64</v>
      </c>
      <c r="B66" s="28" t="s">
        <v>258</v>
      </c>
      <c r="C66" s="4" t="s">
        <v>259</v>
      </c>
      <c r="D66" s="2" t="s">
        <v>165</v>
      </c>
      <c r="E66" s="23">
        <v>11</v>
      </c>
      <c r="F66" s="23">
        <v>11</v>
      </c>
      <c r="G66" s="23">
        <v>11</v>
      </c>
      <c r="H66" s="23">
        <v>11</v>
      </c>
      <c r="I66" s="23">
        <v>11</v>
      </c>
      <c r="J66" s="23">
        <v>11</v>
      </c>
      <c r="K66" s="23" t="s">
        <v>10</v>
      </c>
      <c r="L66" s="23">
        <v>11</v>
      </c>
      <c r="M66" s="23">
        <v>11</v>
      </c>
      <c r="N66" s="23">
        <v>11</v>
      </c>
      <c r="O66" s="23">
        <v>11</v>
      </c>
      <c r="P66" s="23">
        <v>11</v>
      </c>
      <c r="Q66" s="23">
        <v>11</v>
      </c>
      <c r="R66" s="23" t="s">
        <v>10</v>
      </c>
      <c r="S66" s="23">
        <v>11</v>
      </c>
      <c r="T66" s="23">
        <v>11</v>
      </c>
      <c r="U66" s="23">
        <v>11</v>
      </c>
      <c r="V66" s="23">
        <v>11</v>
      </c>
      <c r="W66" s="23">
        <v>11</v>
      </c>
      <c r="X66" s="23">
        <v>11</v>
      </c>
      <c r="Y66" s="23" t="s">
        <v>10</v>
      </c>
      <c r="Z66" s="23">
        <v>11</v>
      </c>
      <c r="AA66" s="23">
        <v>11</v>
      </c>
      <c r="AB66" s="23">
        <v>11</v>
      </c>
      <c r="AC66" s="23">
        <v>11</v>
      </c>
      <c r="AD66" s="23">
        <v>11</v>
      </c>
      <c r="AE66" s="23">
        <v>11</v>
      </c>
      <c r="AF66" s="23" t="s">
        <v>10</v>
      </c>
      <c r="AG66" s="23">
        <v>11</v>
      </c>
      <c r="AH66" s="23">
        <v>11</v>
      </c>
      <c r="AI66" s="22">
        <f t="shared" ref="AI66:AI96" si="4">SUM(E66:AH66)</f>
        <v>286</v>
      </c>
      <c r="AJ66" s="2"/>
      <c r="AK66" s="14">
        <f t="shared" ref="AK66:AK96" si="5">AI66*AJ66</f>
        <v>0</v>
      </c>
      <c r="AL66" s="2" t="s">
        <v>284</v>
      </c>
    </row>
    <row r="67" spans="1:38" ht="19.899999999999999" customHeight="1" x14ac:dyDescent="0.25">
      <c r="A67" s="2">
        <v>65</v>
      </c>
      <c r="B67" s="25" t="s">
        <v>198</v>
      </c>
      <c r="C67" s="4" t="s">
        <v>199</v>
      </c>
      <c r="D67" s="2" t="s">
        <v>165</v>
      </c>
      <c r="E67" s="23">
        <v>10</v>
      </c>
      <c r="F67" s="23">
        <v>10</v>
      </c>
      <c r="G67" s="23">
        <v>10</v>
      </c>
      <c r="H67" s="23">
        <v>10</v>
      </c>
      <c r="I67" s="23">
        <v>10</v>
      </c>
      <c r="J67" s="23">
        <v>10</v>
      </c>
      <c r="K67" s="23" t="s">
        <v>10</v>
      </c>
      <c r="L67" s="23">
        <v>10</v>
      </c>
      <c r="M67" s="23">
        <v>10</v>
      </c>
      <c r="N67" s="23">
        <v>10</v>
      </c>
      <c r="O67" s="23">
        <v>10</v>
      </c>
      <c r="P67" s="23">
        <v>10</v>
      </c>
      <c r="Q67" s="23">
        <v>10</v>
      </c>
      <c r="R67" s="23">
        <v>11</v>
      </c>
      <c r="S67" s="23">
        <v>12.5</v>
      </c>
      <c r="T67" s="23">
        <v>14</v>
      </c>
      <c r="U67" s="23">
        <v>11</v>
      </c>
      <c r="V67" s="23">
        <v>11</v>
      </c>
      <c r="W67" s="23">
        <v>11</v>
      </c>
      <c r="X67" s="23">
        <v>10</v>
      </c>
      <c r="Y67" s="23" t="s">
        <v>10</v>
      </c>
      <c r="Z67" s="23">
        <v>10</v>
      </c>
      <c r="AA67" s="23">
        <v>10</v>
      </c>
      <c r="AB67" s="23">
        <v>10</v>
      </c>
      <c r="AC67" s="23">
        <v>10</v>
      </c>
      <c r="AD67" s="23">
        <v>11</v>
      </c>
      <c r="AE67" s="23">
        <v>10</v>
      </c>
      <c r="AF67" s="23">
        <v>11</v>
      </c>
      <c r="AG67" s="23">
        <v>10</v>
      </c>
      <c r="AH67" s="23">
        <v>10</v>
      </c>
      <c r="AI67" s="22">
        <f t="shared" si="4"/>
        <v>292.5</v>
      </c>
      <c r="AJ67" s="21"/>
      <c r="AK67" s="14">
        <f t="shared" si="5"/>
        <v>0</v>
      </c>
      <c r="AL67" s="2" t="s">
        <v>373</v>
      </c>
    </row>
    <row r="68" spans="1:38" ht="19.899999999999999" customHeight="1" x14ac:dyDescent="0.25">
      <c r="A68" s="2">
        <v>66</v>
      </c>
      <c r="B68" s="25" t="s">
        <v>257</v>
      </c>
      <c r="C68" s="4" t="s">
        <v>501</v>
      </c>
      <c r="D68" s="2" t="s">
        <v>165</v>
      </c>
      <c r="E68" s="23">
        <v>11</v>
      </c>
      <c r="F68" s="23">
        <v>11</v>
      </c>
      <c r="G68" s="23">
        <v>11</v>
      </c>
      <c r="H68" s="23">
        <v>11</v>
      </c>
      <c r="I68" s="23" t="s">
        <v>32</v>
      </c>
      <c r="J68" s="23">
        <v>11</v>
      </c>
      <c r="K68" s="23" t="s">
        <v>10</v>
      </c>
      <c r="L68" s="23">
        <v>11</v>
      </c>
      <c r="M68" s="23">
        <v>11</v>
      </c>
      <c r="N68" s="23">
        <v>11</v>
      </c>
      <c r="O68" s="23">
        <v>11</v>
      </c>
      <c r="P68" s="23">
        <v>11</v>
      </c>
      <c r="Q68" s="23" t="s">
        <v>32</v>
      </c>
      <c r="R68" s="23" t="s">
        <v>10</v>
      </c>
      <c r="S68" s="23">
        <v>11</v>
      </c>
      <c r="T68" s="23">
        <v>11</v>
      </c>
      <c r="U68" s="23">
        <v>11</v>
      </c>
      <c r="V68" s="23">
        <v>11</v>
      </c>
      <c r="W68" s="23">
        <v>11</v>
      </c>
      <c r="X68" s="23">
        <v>11</v>
      </c>
      <c r="Y68" s="23" t="s">
        <v>10</v>
      </c>
      <c r="Z68" s="23" t="s">
        <v>32</v>
      </c>
      <c r="AA68" s="23">
        <v>11</v>
      </c>
      <c r="AB68" s="23">
        <v>11</v>
      </c>
      <c r="AC68" s="23">
        <v>11</v>
      </c>
      <c r="AD68" s="23">
        <v>11</v>
      </c>
      <c r="AE68" s="23">
        <v>11</v>
      </c>
      <c r="AF68" s="23" t="s">
        <v>10</v>
      </c>
      <c r="AG68" s="23" t="s">
        <v>32</v>
      </c>
      <c r="AH68" s="23">
        <v>11</v>
      </c>
      <c r="AI68" s="22">
        <f t="shared" si="4"/>
        <v>242</v>
      </c>
      <c r="AJ68" s="2"/>
      <c r="AK68" s="14">
        <f t="shared" si="5"/>
        <v>0</v>
      </c>
      <c r="AL68" s="2" t="s">
        <v>284</v>
      </c>
    </row>
    <row r="69" spans="1:38" ht="19.899999999999999" customHeight="1" x14ac:dyDescent="0.25">
      <c r="A69" s="2">
        <v>67</v>
      </c>
      <c r="B69" s="25" t="s">
        <v>200</v>
      </c>
      <c r="C69" s="4" t="s">
        <v>201</v>
      </c>
      <c r="D69" s="2" t="s">
        <v>165</v>
      </c>
      <c r="E69" s="23">
        <v>10</v>
      </c>
      <c r="F69" s="23">
        <v>10</v>
      </c>
      <c r="G69" s="23">
        <v>10</v>
      </c>
      <c r="H69" s="23">
        <v>10</v>
      </c>
      <c r="I69" s="23">
        <v>10</v>
      </c>
      <c r="J69" s="23">
        <v>10</v>
      </c>
      <c r="K69" s="23" t="s">
        <v>10</v>
      </c>
      <c r="L69" s="23">
        <v>10</v>
      </c>
      <c r="M69" s="23">
        <v>10</v>
      </c>
      <c r="N69" s="23">
        <v>10</v>
      </c>
      <c r="O69" s="23">
        <v>10</v>
      </c>
      <c r="P69" s="23">
        <v>10</v>
      </c>
      <c r="Q69" s="23">
        <v>10</v>
      </c>
      <c r="R69" s="23">
        <v>11</v>
      </c>
      <c r="S69" s="23">
        <v>12.5</v>
      </c>
      <c r="T69" s="23">
        <v>14</v>
      </c>
      <c r="U69" s="23">
        <v>11</v>
      </c>
      <c r="V69" s="23">
        <v>11</v>
      </c>
      <c r="W69" s="23">
        <v>11</v>
      </c>
      <c r="X69" s="23">
        <v>10</v>
      </c>
      <c r="Y69" s="23" t="s">
        <v>10</v>
      </c>
      <c r="Z69" s="23">
        <v>10</v>
      </c>
      <c r="AA69" s="23">
        <v>10</v>
      </c>
      <c r="AB69" s="23">
        <v>10</v>
      </c>
      <c r="AC69" s="23" t="s">
        <v>32</v>
      </c>
      <c r="AD69" s="23">
        <v>10</v>
      </c>
      <c r="AE69" s="23">
        <v>10</v>
      </c>
      <c r="AF69" s="23">
        <v>11</v>
      </c>
      <c r="AG69" s="23">
        <v>10</v>
      </c>
      <c r="AH69" s="23">
        <v>10</v>
      </c>
      <c r="AI69" s="22">
        <f t="shared" si="4"/>
        <v>281.5</v>
      </c>
      <c r="AJ69" s="21"/>
      <c r="AK69" s="14">
        <f t="shared" si="5"/>
        <v>0</v>
      </c>
      <c r="AL69" s="2" t="s">
        <v>373</v>
      </c>
    </row>
    <row r="70" spans="1:38" ht="19.899999999999999" customHeight="1" x14ac:dyDescent="0.25">
      <c r="A70" s="2">
        <v>68</v>
      </c>
      <c r="B70" s="25" t="s">
        <v>280</v>
      </c>
      <c r="C70" s="4" t="s">
        <v>281</v>
      </c>
      <c r="D70" s="2" t="s">
        <v>165</v>
      </c>
      <c r="E70" s="23">
        <v>11</v>
      </c>
      <c r="F70" s="23">
        <v>11</v>
      </c>
      <c r="G70" s="23">
        <v>11</v>
      </c>
      <c r="H70" s="23">
        <v>11</v>
      </c>
      <c r="I70" s="23">
        <v>11</v>
      </c>
      <c r="J70" s="23">
        <v>11</v>
      </c>
      <c r="K70" s="23">
        <v>11</v>
      </c>
      <c r="L70" s="23" t="s">
        <v>32</v>
      </c>
      <c r="M70" s="23">
        <v>11</v>
      </c>
      <c r="N70" s="23">
        <v>11</v>
      </c>
      <c r="O70" s="23">
        <v>11</v>
      </c>
      <c r="P70" s="23">
        <v>11</v>
      </c>
      <c r="Q70" s="23">
        <v>11</v>
      </c>
      <c r="R70" s="23">
        <v>11</v>
      </c>
      <c r="S70" s="23">
        <v>11</v>
      </c>
      <c r="T70" s="23">
        <v>11</v>
      </c>
      <c r="U70" s="23">
        <v>11</v>
      </c>
      <c r="V70" s="23">
        <v>11</v>
      </c>
      <c r="W70" s="23">
        <v>11</v>
      </c>
      <c r="X70" s="23">
        <v>11</v>
      </c>
      <c r="Y70" s="23">
        <v>11</v>
      </c>
      <c r="Z70" s="23" t="s">
        <v>32</v>
      </c>
      <c r="AA70" s="23">
        <v>11</v>
      </c>
      <c r="AB70" s="23">
        <v>11</v>
      </c>
      <c r="AC70" s="23">
        <v>11</v>
      </c>
      <c r="AD70" s="23">
        <v>11</v>
      </c>
      <c r="AE70" s="23">
        <v>11</v>
      </c>
      <c r="AF70" s="23">
        <v>11</v>
      </c>
      <c r="AG70" s="23">
        <v>11</v>
      </c>
      <c r="AH70" s="23">
        <v>11</v>
      </c>
      <c r="AI70" s="22">
        <f t="shared" si="4"/>
        <v>308</v>
      </c>
      <c r="AJ70" s="2"/>
      <c r="AK70" s="14">
        <f t="shared" si="5"/>
        <v>0</v>
      </c>
      <c r="AL70" s="2" t="s">
        <v>567</v>
      </c>
    </row>
    <row r="71" spans="1:38" ht="19.899999999999999" customHeight="1" x14ac:dyDescent="0.25">
      <c r="A71" s="2">
        <v>69</v>
      </c>
      <c r="B71" s="28" t="s">
        <v>202</v>
      </c>
      <c r="C71" s="4" t="s">
        <v>415</v>
      </c>
      <c r="D71" s="2" t="s">
        <v>165</v>
      </c>
      <c r="E71" s="23">
        <v>10</v>
      </c>
      <c r="F71" s="23">
        <v>10</v>
      </c>
      <c r="G71" s="23">
        <v>10</v>
      </c>
      <c r="H71" s="23">
        <v>10</v>
      </c>
      <c r="I71" s="23" t="s">
        <v>515</v>
      </c>
      <c r="J71" s="23">
        <v>10</v>
      </c>
      <c r="K71" s="23" t="s">
        <v>10</v>
      </c>
      <c r="L71" s="23" t="s">
        <v>32</v>
      </c>
      <c r="M71" s="23">
        <v>10</v>
      </c>
      <c r="N71" s="23">
        <v>10</v>
      </c>
      <c r="O71" s="23">
        <v>10</v>
      </c>
      <c r="P71" s="23">
        <v>10</v>
      </c>
      <c r="Q71" s="23">
        <v>10</v>
      </c>
      <c r="R71" s="23" t="s">
        <v>10</v>
      </c>
      <c r="S71" s="23">
        <v>10</v>
      </c>
      <c r="T71" s="23">
        <v>10</v>
      </c>
      <c r="U71" s="23">
        <v>10</v>
      </c>
      <c r="V71" s="23">
        <v>10</v>
      </c>
      <c r="W71" s="23">
        <v>10</v>
      </c>
      <c r="X71" s="23">
        <v>10</v>
      </c>
      <c r="Y71" s="23" t="s">
        <v>10</v>
      </c>
      <c r="Z71" s="23">
        <v>10</v>
      </c>
      <c r="AA71" s="23">
        <v>10</v>
      </c>
      <c r="AB71" s="23">
        <v>10</v>
      </c>
      <c r="AC71" s="23">
        <v>10</v>
      </c>
      <c r="AD71" s="23">
        <v>10</v>
      </c>
      <c r="AE71" s="23">
        <v>10</v>
      </c>
      <c r="AF71" s="23">
        <v>10</v>
      </c>
      <c r="AG71" s="23">
        <v>10</v>
      </c>
      <c r="AH71" s="23">
        <v>10</v>
      </c>
      <c r="AI71" s="22">
        <f t="shared" si="4"/>
        <v>250</v>
      </c>
      <c r="AJ71" s="21"/>
      <c r="AK71" s="14">
        <f t="shared" si="5"/>
        <v>0</v>
      </c>
      <c r="AL71" s="2" t="s">
        <v>299</v>
      </c>
    </row>
    <row r="72" spans="1:38" ht="19.899999999999999" customHeight="1" x14ac:dyDescent="0.25">
      <c r="A72" s="2">
        <v>70</v>
      </c>
      <c r="B72" s="25" t="s">
        <v>234</v>
      </c>
      <c r="C72" s="4" t="s">
        <v>416</v>
      </c>
      <c r="D72" s="2" t="s">
        <v>165</v>
      </c>
      <c r="E72" s="23">
        <v>10</v>
      </c>
      <c r="F72" s="23">
        <v>10</v>
      </c>
      <c r="G72" s="23">
        <v>10</v>
      </c>
      <c r="H72" s="23">
        <v>10</v>
      </c>
      <c r="I72" s="23">
        <v>6</v>
      </c>
      <c r="J72" s="23">
        <v>10</v>
      </c>
      <c r="K72" s="23" t="s">
        <v>10</v>
      </c>
      <c r="L72" s="23">
        <v>10</v>
      </c>
      <c r="M72" s="23">
        <v>10</v>
      </c>
      <c r="N72" s="23">
        <v>10</v>
      </c>
      <c r="O72" s="23">
        <v>10</v>
      </c>
      <c r="P72" s="23">
        <v>10</v>
      </c>
      <c r="Q72" s="23">
        <v>10</v>
      </c>
      <c r="R72" s="23" t="s">
        <v>10</v>
      </c>
      <c r="S72" s="23">
        <v>10</v>
      </c>
      <c r="T72" s="23">
        <v>10</v>
      </c>
      <c r="U72" s="23">
        <v>10</v>
      </c>
      <c r="V72" s="23">
        <v>10</v>
      </c>
      <c r="W72" s="23">
        <v>10</v>
      </c>
      <c r="X72" s="23">
        <v>10</v>
      </c>
      <c r="Y72" s="23" t="s">
        <v>10</v>
      </c>
      <c r="Z72" s="23">
        <v>10</v>
      </c>
      <c r="AA72" s="23">
        <v>10</v>
      </c>
      <c r="AB72" s="23">
        <v>10</v>
      </c>
      <c r="AC72" s="23">
        <v>10</v>
      </c>
      <c r="AD72" s="23">
        <v>10</v>
      </c>
      <c r="AE72" s="23">
        <v>10</v>
      </c>
      <c r="AF72" s="23">
        <v>10</v>
      </c>
      <c r="AG72" s="23">
        <v>10</v>
      </c>
      <c r="AH72" s="23">
        <v>10</v>
      </c>
      <c r="AI72" s="22">
        <f t="shared" si="4"/>
        <v>266</v>
      </c>
      <c r="AJ72" s="2"/>
      <c r="AK72" s="14">
        <f t="shared" si="5"/>
        <v>0</v>
      </c>
      <c r="AL72" s="2" t="s">
        <v>299</v>
      </c>
    </row>
    <row r="73" spans="1:38" ht="19.899999999999999" customHeight="1" x14ac:dyDescent="0.25">
      <c r="A73" s="2">
        <v>71</v>
      </c>
      <c r="B73" s="30" t="s">
        <v>203</v>
      </c>
      <c r="C73" s="4" t="s">
        <v>204</v>
      </c>
      <c r="D73" s="2" t="s">
        <v>165</v>
      </c>
      <c r="E73" s="23">
        <v>10</v>
      </c>
      <c r="F73" s="23">
        <v>10</v>
      </c>
      <c r="G73" s="23">
        <v>10</v>
      </c>
      <c r="H73" s="23">
        <v>10</v>
      </c>
      <c r="I73" s="23">
        <v>10</v>
      </c>
      <c r="J73" s="23">
        <v>10</v>
      </c>
      <c r="K73" s="23">
        <v>6</v>
      </c>
      <c r="L73" s="23">
        <v>10</v>
      </c>
      <c r="M73" s="23">
        <v>10</v>
      </c>
      <c r="N73" s="23">
        <v>10</v>
      </c>
      <c r="O73" s="23">
        <v>10</v>
      </c>
      <c r="P73" s="23">
        <v>10</v>
      </c>
      <c r="Q73" s="23">
        <v>10</v>
      </c>
      <c r="R73" s="23" t="s">
        <v>10</v>
      </c>
      <c r="S73" s="23">
        <v>10</v>
      </c>
      <c r="T73" s="23">
        <v>10</v>
      </c>
      <c r="U73" s="23">
        <v>10</v>
      </c>
      <c r="V73" s="23">
        <v>10</v>
      </c>
      <c r="W73" s="23">
        <v>10</v>
      </c>
      <c r="X73" s="23">
        <v>10</v>
      </c>
      <c r="Y73" s="23" t="s">
        <v>10</v>
      </c>
      <c r="Z73" s="23">
        <v>10</v>
      </c>
      <c r="AA73" s="23">
        <v>10</v>
      </c>
      <c r="AB73" s="23">
        <v>10</v>
      </c>
      <c r="AC73" s="23">
        <v>10</v>
      </c>
      <c r="AD73" s="23">
        <v>10</v>
      </c>
      <c r="AE73" s="23">
        <v>10</v>
      </c>
      <c r="AF73" s="23" t="s">
        <v>10</v>
      </c>
      <c r="AG73" s="23">
        <v>10</v>
      </c>
      <c r="AH73" s="23">
        <v>10</v>
      </c>
      <c r="AI73" s="22">
        <f t="shared" si="4"/>
        <v>266</v>
      </c>
      <c r="AJ73" s="2"/>
      <c r="AK73" s="14">
        <f t="shared" si="5"/>
        <v>0</v>
      </c>
      <c r="AL73" s="2" t="s">
        <v>299</v>
      </c>
    </row>
    <row r="74" spans="1:38" ht="19.899999999999999" customHeight="1" x14ac:dyDescent="0.25">
      <c r="A74" s="2">
        <v>72</v>
      </c>
      <c r="B74" s="28" t="s">
        <v>173</v>
      </c>
      <c r="C74" s="4" t="s">
        <v>174</v>
      </c>
      <c r="D74" s="2" t="s">
        <v>244</v>
      </c>
      <c r="E74" s="23">
        <v>11</v>
      </c>
      <c r="F74" s="23">
        <v>11</v>
      </c>
      <c r="G74" s="23">
        <v>11</v>
      </c>
      <c r="H74" s="23">
        <v>11</v>
      </c>
      <c r="I74" s="23">
        <v>11</v>
      </c>
      <c r="J74" s="23">
        <v>11</v>
      </c>
      <c r="K74" s="23" t="s">
        <v>10</v>
      </c>
      <c r="L74" s="23">
        <v>11</v>
      </c>
      <c r="M74" s="23">
        <v>11</v>
      </c>
      <c r="N74" s="23">
        <v>11</v>
      </c>
      <c r="O74" s="23" t="s">
        <v>32</v>
      </c>
      <c r="P74" s="23">
        <v>11</v>
      </c>
      <c r="Q74" s="23">
        <v>11</v>
      </c>
      <c r="R74" s="23" t="s">
        <v>10</v>
      </c>
      <c r="S74" s="23">
        <v>11</v>
      </c>
      <c r="T74" s="23">
        <v>11</v>
      </c>
      <c r="U74" s="23">
        <v>11</v>
      </c>
      <c r="V74" s="23">
        <v>11</v>
      </c>
      <c r="W74" s="23">
        <v>11</v>
      </c>
      <c r="X74" s="23" t="s">
        <v>32</v>
      </c>
      <c r="Y74" s="23" t="s">
        <v>10</v>
      </c>
      <c r="Z74" s="23">
        <v>11</v>
      </c>
      <c r="AA74" s="23">
        <v>11</v>
      </c>
      <c r="AB74" s="23">
        <v>11</v>
      </c>
      <c r="AC74" s="23">
        <v>11</v>
      </c>
      <c r="AD74" s="23">
        <v>11</v>
      </c>
      <c r="AE74" s="23">
        <v>11</v>
      </c>
      <c r="AF74" s="23" t="s">
        <v>10</v>
      </c>
      <c r="AG74" s="23">
        <v>11</v>
      </c>
      <c r="AH74" s="23">
        <v>11</v>
      </c>
      <c r="AI74" s="22">
        <f t="shared" si="4"/>
        <v>264</v>
      </c>
      <c r="AJ74" s="2"/>
      <c r="AK74" s="14">
        <f t="shared" si="5"/>
        <v>0</v>
      </c>
      <c r="AL74" s="2" t="s">
        <v>275</v>
      </c>
    </row>
    <row r="75" spans="1:38" ht="19.899999999999999" customHeight="1" x14ac:dyDescent="0.25">
      <c r="A75" s="2">
        <v>73</v>
      </c>
      <c r="B75" s="28" t="s">
        <v>175</v>
      </c>
      <c r="C75" s="4" t="s">
        <v>176</v>
      </c>
      <c r="D75" s="2" t="s">
        <v>165</v>
      </c>
      <c r="E75" s="23">
        <v>10</v>
      </c>
      <c r="F75" s="23" t="s">
        <v>32</v>
      </c>
      <c r="G75" s="23">
        <v>10</v>
      </c>
      <c r="H75" s="23">
        <v>10</v>
      </c>
      <c r="I75" s="23" t="s">
        <v>515</v>
      </c>
      <c r="J75" s="23" t="s">
        <v>32</v>
      </c>
      <c r="K75" s="23" t="s">
        <v>10</v>
      </c>
      <c r="L75" s="23">
        <v>10</v>
      </c>
      <c r="M75" s="23">
        <v>10</v>
      </c>
      <c r="N75" s="23">
        <v>10</v>
      </c>
      <c r="O75" s="23" t="s">
        <v>32</v>
      </c>
      <c r="P75" s="23">
        <v>10</v>
      </c>
      <c r="Q75" s="23">
        <v>10</v>
      </c>
      <c r="R75" s="23" t="s">
        <v>10</v>
      </c>
      <c r="S75" s="23">
        <v>10</v>
      </c>
      <c r="T75" s="23">
        <v>10</v>
      </c>
      <c r="U75" s="23">
        <v>10</v>
      </c>
      <c r="V75" s="23">
        <v>10</v>
      </c>
      <c r="W75" s="23">
        <v>10</v>
      </c>
      <c r="X75" s="23">
        <v>10</v>
      </c>
      <c r="Y75" s="23" t="s">
        <v>10</v>
      </c>
      <c r="Z75" s="23">
        <v>10</v>
      </c>
      <c r="AA75" s="23">
        <v>10.5</v>
      </c>
      <c r="AB75" s="23">
        <v>10.5</v>
      </c>
      <c r="AC75" s="23">
        <v>10.5</v>
      </c>
      <c r="AD75" s="23">
        <v>10.5</v>
      </c>
      <c r="AE75" s="23">
        <v>10.5</v>
      </c>
      <c r="AF75" s="23" t="s">
        <v>10</v>
      </c>
      <c r="AG75" s="23">
        <v>10.5</v>
      </c>
      <c r="AH75" s="23">
        <v>10.5</v>
      </c>
      <c r="AI75" s="22">
        <f t="shared" si="4"/>
        <v>223.5</v>
      </c>
      <c r="AJ75" s="2"/>
      <c r="AK75" s="14">
        <f t="shared" si="5"/>
        <v>0</v>
      </c>
      <c r="AL75" s="2" t="s">
        <v>565</v>
      </c>
    </row>
    <row r="76" spans="1:38" ht="19.899999999999999" customHeight="1" x14ac:dyDescent="0.25">
      <c r="A76" s="2">
        <v>74</v>
      </c>
      <c r="B76" s="25" t="s">
        <v>235</v>
      </c>
      <c r="C76" s="4" t="s">
        <v>236</v>
      </c>
      <c r="D76" s="2" t="s">
        <v>165</v>
      </c>
      <c r="E76" s="23">
        <v>11</v>
      </c>
      <c r="F76" s="23">
        <v>11</v>
      </c>
      <c r="G76" s="23">
        <v>11</v>
      </c>
      <c r="H76" s="23">
        <v>11</v>
      </c>
      <c r="I76" s="23">
        <v>11</v>
      </c>
      <c r="J76" s="23">
        <v>11</v>
      </c>
      <c r="K76" s="23" t="s">
        <v>10</v>
      </c>
      <c r="L76" s="23" t="s">
        <v>32</v>
      </c>
      <c r="M76" s="23">
        <v>11</v>
      </c>
      <c r="N76" s="23">
        <v>12</v>
      </c>
      <c r="O76" s="23">
        <v>12</v>
      </c>
      <c r="P76" s="23">
        <v>11</v>
      </c>
      <c r="Q76" s="23">
        <v>11</v>
      </c>
      <c r="R76" s="23" t="s">
        <v>10</v>
      </c>
      <c r="S76" s="23">
        <v>11</v>
      </c>
      <c r="T76" s="23" t="s">
        <v>32</v>
      </c>
      <c r="U76" s="23">
        <v>11</v>
      </c>
      <c r="V76" s="23">
        <v>11</v>
      </c>
      <c r="W76" s="23">
        <v>11</v>
      </c>
      <c r="X76" s="23">
        <v>11</v>
      </c>
      <c r="Y76" s="23" t="s">
        <v>10</v>
      </c>
      <c r="Z76" s="23"/>
      <c r="AA76" s="23"/>
      <c r="AB76" s="23"/>
      <c r="AC76" s="23"/>
      <c r="AD76" s="23" t="s">
        <v>32</v>
      </c>
      <c r="AE76" s="23">
        <v>11</v>
      </c>
      <c r="AF76" s="23">
        <v>11</v>
      </c>
      <c r="AG76" s="23">
        <v>11</v>
      </c>
      <c r="AH76" s="23">
        <v>11</v>
      </c>
      <c r="AI76" s="22">
        <f t="shared" si="4"/>
        <v>222</v>
      </c>
      <c r="AJ76" s="2"/>
      <c r="AK76" s="14">
        <f t="shared" si="5"/>
        <v>0</v>
      </c>
      <c r="AL76" s="2" t="s">
        <v>284</v>
      </c>
    </row>
    <row r="77" spans="1:38" ht="19.899999999999999" customHeight="1" x14ac:dyDescent="0.25">
      <c r="A77" s="2">
        <v>75</v>
      </c>
      <c r="B77" s="28" t="s">
        <v>282</v>
      </c>
      <c r="C77" s="4" t="s">
        <v>283</v>
      </c>
      <c r="D77" s="2" t="s">
        <v>244</v>
      </c>
      <c r="E77" s="23">
        <v>11</v>
      </c>
      <c r="F77" s="23">
        <v>11</v>
      </c>
      <c r="G77" s="23">
        <v>11</v>
      </c>
      <c r="H77" s="23">
        <v>11</v>
      </c>
      <c r="I77" s="23" t="s">
        <v>32</v>
      </c>
      <c r="J77" s="23">
        <v>11</v>
      </c>
      <c r="K77" s="23">
        <v>10</v>
      </c>
      <c r="L77" s="23">
        <v>11</v>
      </c>
      <c r="M77" s="23">
        <v>11</v>
      </c>
      <c r="N77" s="23">
        <v>11</v>
      </c>
      <c r="O77" s="23">
        <v>11</v>
      </c>
      <c r="P77" s="23">
        <v>11</v>
      </c>
      <c r="Q77" s="23">
        <v>11</v>
      </c>
      <c r="R77" s="23">
        <v>10</v>
      </c>
      <c r="S77" s="23">
        <v>11</v>
      </c>
      <c r="T77" s="23">
        <v>11</v>
      </c>
      <c r="U77" s="23">
        <v>11</v>
      </c>
      <c r="V77" s="23">
        <v>11</v>
      </c>
      <c r="W77" s="23">
        <v>11</v>
      </c>
      <c r="X77" s="23">
        <v>11</v>
      </c>
      <c r="Y77" s="23">
        <v>10</v>
      </c>
      <c r="Z77" s="23">
        <v>11</v>
      </c>
      <c r="AA77" s="23">
        <v>11</v>
      </c>
      <c r="AB77" s="23">
        <v>11</v>
      </c>
      <c r="AC77" s="23">
        <v>11</v>
      </c>
      <c r="AD77" s="23">
        <v>11</v>
      </c>
      <c r="AE77" s="23">
        <v>11</v>
      </c>
      <c r="AF77" s="23">
        <v>11</v>
      </c>
      <c r="AG77" s="23">
        <v>11</v>
      </c>
      <c r="AH77" s="23">
        <v>11</v>
      </c>
      <c r="AI77" s="22">
        <f t="shared" si="4"/>
        <v>316</v>
      </c>
      <c r="AJ77" s="2"/>
      <c r="AK77" s="14">
        <f t="shared" si="5"/>
        <v>0</v>
      </c>
      <c r="AL77" s="2" t="s">
        <v>275</v>
      </c>
    </row>
    <row r="78" spans="1:38" ht="19.899999999999999" customHeight="1" x14ac:dyDescent="0.25">
      <c r="A78" s="2">
        <v>76</v>
      </c>
      <c r="B78" s="28" t="s">
        <v>162</v>
      </c>
      <c r="C78" s="4" t="s">
        <v>163</v>
      </c>
      <c r="D78" s="2" t="s">
        <v>165</v>
      </c>
      <c r="E78" s="23">
        <v>13</v>
      </c>
      <c r="F78" s="23">
        <v>12</v>
      </c>
      <c r="G78" s="23">
        <v>12</v>
      </c>
      <c r="H78" s="23">
        <v>12</v>
      </c>
      <c r="I78" s="23">
        <v>12</v>
      </c>
      <c r="J78" s="23">
        <v>12</v>
      </c>
      <c r="K78" s="23" t="s">
        <v>10</v>
      </c>
      <c r="L78" s="23">
        <v>10</v>
      </c>
      <c r="M78" s="23">
        <v>12</v>
      </c>
      <c r="N78" s="23">
        <v>10</v>
      </c>
      <c r="O78" s="23">
        <v>10</v>
      </c>
      <c r="P78" s="23">
        <v>10</v>
      </c>
      <c r="Q78" s="23">
        <v>10</v>
      </c>
      <c r="R78" s="23" t="s">
        <v>10</v>
      </c>
      <c r="S78" s="23">
        <v>10</v>
      </c>
      <c r="T78" s="23">
        <v>10</v>
      </c>
      <c r="U78" s="23">
        <v>8</v>
      </c>
      <c r="V78" s="23">
        <v>10</v>
      </c>
      <c r="W78" s="23">
        <v>10</v>
      </c>
      <c r="X78" s="23">
        <v>10</v>
      </c>
      <c r="Y78" s="23">
        <v>10</v>
      </c>
      <c r="Z78" s="23">
        <v>10</v>
      </c>
      <c r="AA78" s="23">
        <v>12</v>
      </c>
      <c r="AB78" s="23">
        <v>10</v>
      </c>
      <c r="AC78" s="23">
        <v>10</v>
      </c>
      <c r="AD78" s="23">
        <v>12</v>
      </c>
      <c r="AE78" s="23">
        <v>11</v>
      </c>
      <c r="AF78" s="23">
        <v>10</v>
      </c>
      <c r="AG78" s="23">
        <v>11</v>
      </c>
      <c r="AH78" s="23">
        <v>11</v>
      </c>
      <c r="AI78" s="22">
        <f t="shared" si="4"/>
        <v>300</v>
      </c>
      <c r="AJ78" s="2"/>
      <c r="AK78" s="14">
        <f t="shared" si="5"/>
        <v>0</v>
      </c>
      <c r="AL78" s="2" t="s">
        <v>568</v>
      </c>
    </row>
    <row r="79" spans="1:38" ht="19.899999999999999" customHeight="1" x14ac:dyDescent="0.25">
      <c r="A79" s="2">
        <v>77</v>
      </c>
      <c r="B79" s="28" t="s">
        <v>291</v>
      </c>
      <c r="C79" s="4" t="s">
        <v>369</v>
      </c>
      <c r="D79" s="2" t="s">
        <v>165</v>
      </c>
      <c r="E79" s="23">
        <v>10</v>
      </c>
      <c r="F79" s="23">
        <v>10</v>
      </c>
      <c r="G79" s="23">
        <v>10</v>
      </c>
      <c r="H79" s="23">
        <v>10</v>
      </c>
      <c r="I79" s="23">
        <v>10</v>
      </c>
      <c r="J79" s="23">
        <v>10</v>
      </c>
      <c r="K79" s="23" t="s">
        <v>10</v>
      </c>
      <c r="L79" s="23">
        <v>10</v>
      </c>
      <c r="M79" s="23">
        <v>10</v>
      </c>
      <c r="N79" s="23">
        <v>10</v>
      </c>
      <c r="O79" s="23">
        <v>10</v>
      </c>
      <c r="P79" s="23">
        <v>10</v>
      </c>
      <c r="Q79" s="23">
        <v>10</v>
      </c>
      <c r="R79" s="23">
        <v>11</v>
      </c>
      <c r="S79" s="23">
        <v>12.5</v>
      </c>
      <c r="T79" s="23" t="s">
        <v>32</v>
      </c>
      <c r="U79" s="23" t="s">
        <v>32</v>
      </c>
      <c r="V79" s="23">
        <v>11</v>
      </c>
      <c r="W79" s="23">
        <v>11</v>
      </c>
      <c r="X79" s="23">
        <v>10</v>
      </c>
      <c r="Y79" s="23" t="s">
        <v>10</v>
      </c>
      <c r="Z79" s="23">
        <v>10</v>
      </c>
      <c r="AA79" s="23">
        <v>10</v>
      </c>
      <c r="AB79" s="23">
        <v>10</v>
      </c>
      <c r="AC79" s="23">
        <v>10</v>
      </c>
      <c r="AD79" s="23">
        <v>11</v>
      </c>
      <c r="AE79" s="23">
        <v>10</v>
      </c>
      <c r="AF79" s="23">
        <v>11</v>
      </c>
      <c r="AG79" s="23">
        <v>10</v>
      </c>
      <c r="AH79" s="23">
        <v>10</v>
      </c>
      <c r="AI79" s="22">
        <f t="shared" si="4"/>
        <v>267.5</v>
      </c>
      <c r="AJ79" s="21"/>
      <c r="AK79" s="14">
        <f t="shared" si="5"/>
        <v>0</v>
      </c>
      <c r="AL79" s="2" t="s">
        <v>373</v>
      </c>
    </row>
    <row r="80" spans="1:38" ht="19.899999999999999" customHeight="1" x14ac:dyDescent="0.25">
      <c r="A80" s="2">
        <v>78</v>
      </c>
      <c r="B80" s="25" t="s">
        <v>302</v>
      </c>
      <c r="C80" s="4" t="s">
        <v>215</v>
      </c>
      <c r="D80" s="2" t="s">
        <v>244</v>
      </c>
      <c r="E80" s="23">
        <v>11</v>
      </c>
      <c r="F80" s="23">
        <v>11</v>
      </c>
      <c r="G80" s="23">
        <v>11</v>
      </c>
      <c r="H80" s="23">
        <v>11</v>
      </c>
      <c r="I80" s="23">
        <v>11</v>
      </c>
      <c r="J80" s="23">
        <v>11</v>
      </c>
      <c r="K80" s="23" t="s">
        <v>10</v>
      </c>
      <c r="L80" s="23">
        <v>11</v>
      </c>
      <c r="M80" s="23">
        <v>11</v>
      </c>
      <c r="N80" s="23">
        <v>11</v>
      </c>
      <c r="O80" s="23">
        <v>11</v>
      </c>
      <c r="P80" s="23">
        <v>11</v>
      </c>
      <c r="Q80" s="23">
        <v>11</v>
      </c>
      <c r="R80" s="23" t="s">
        <v>10</v>
      </c>
      <c r="S80" s="23">
        <v>11</v>
      </c>
      <c r="T80" s="23">
        <v>11</v>
      </c>
      <c r="U80" s="23">
        <v>11</v>
      </c>
      <c r="V80" s="23">
        <v>11</v>
      </c>
      <c r="W80" s="23">
        <v>11</v>
      </c>
      <c r="X80" s="23">
        <v>11</v>
      </c>
      <c r="Y80" s="23" t="s">
        <v>10</v>
      </c>
      <c r="Z80" s="23">
        <v>11</v>
      </c>
      <c r="AA80" s="23">
        <v>11</v>
      </c>
      <c r="AB80" s="23">
        <v>11</v>
      </c>
      <c r="AC80" s="23">
        <v>11</v>
      </c>
      <c r="AD80" s="23">
        <v>11</v>
      </c>
      <c r="AE80" s="23">
        <v>11</v>
      </c>
      <c r="AF80" s="23" t="s">
        <v>10</v>
      </c>
      <c r="AG80" s="23">
        <v>11</v>
      </c>
      <c r="AH80" s="23">
        <v>11</v>
      </c>
      <c r="AI80" s="22">
        <f t="shared" si="4"/>
        <v>286</v>
      </c>
      <c r="AJ80" s="2"/>
      <c r="AK80" s="14">
        <f t="shared" si="5"/>
        <v>0</v>
      </c>
      <c r="AL80" s="2" t="s">
        <v>275</v>
      </c>
    </row>
    <row r="81" spans="1:38" ht="19.899999999999999" customHeight="1" x14ac:dyDescent="0.25">
      <c r="A81" s="2">
        <v>79</v>
      </c>
      <c r="B81" s="28" t="s">
        <v>292</v>
      </c>
      <c r="C81" s="4" t="s">
        <v>494</v>
      </c>
      <c r="D81" s="2" t="s">
        <v>165</v>
      </c>
      <c r="E81" s="23">
        <v>10</v>
      </c>
      <c r="F81" s="23">
        <v>10</v>
      </c>
      <c r="G81" s="23">
        <v>10</v>
      </c>
      <c r="H81" s="23">
        <v>10</v>
      </c>
      <c r="I81" s="23">
        <v>10</v>
      </c>
      <c r="J81" s="23">
        <v>10</v>
      </c>
      <c r="K81" s="23">
        <v>6</v>
      </c>
      <c r="L81" s="23">
        <v>10</v>
      </c>
      <c r="M81" s="23">
        <v>10</v>
      </c>
      <c r="N81" s="23">
        <v>10</v>
      </c>
      <c r="O81" s="23">
        <v>3</v>
      </c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2">
        <f t="shared" si="4"/>
        <v>99</v>
      </c>
      <c r="AJ81" s="2"/>
      <c r="AK81" s="14">
        <f t="shared" si="5"/>
        <v>0</v>
      </c>
      <c r="AL81" s="2" t="s">
        <v>299</v>
      </c>
    </row>
    <row r="82" spans="1:38" ht="19.899999999999999" customHeight="1" x14ac:dyDescent="0.25">
      <c r="A82" s="2">
        <v>80</v>
      </c>
      <c r="B82" s="28" t="s">
        <v>300</v>
      </c>
      <c r="C82" s="4" t="s">
        <v>303</v>
      </c>
      <c r="D82" s="2" t="s">
        <v>165</v>
      </c>
      <c r="E82" s="23"/>
      <c r="F82" s="23"/>
      <c r="G82" s="23">
        <v>10</v>
      </c>
      <c r="H82" s="23">
        <v>10</v>
      </c>
      <c r="I82" s="23">
        <v>10</v>
      </c>
      <c r="J82" s="23">
        <v>10</v>
      </c>
      <c r="K82" s="23">
        <v>6</v>
      </c>
      <c r="L82" s="23">
        <v>10</v>
      </c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>
        <v>10.5</v>
      </c>
      <c r="AC82" s="23">
        <v>10.5</v>
      </c>
      <c r="AD82" s="23">
        <v>10.5</v>
      </c>
      <c r="AE82" s="23">
        <v>10.5</v>
      </c>
      <c r="AF82" s="23" t="s">
        <v>10</v>
      </c>
      <c r="AG82" s="23">
        <v>10.5</v>
      </c>
      <c r="AH82" s="23">
        <v>10.5</v>
      </c>
      <c r="AI82" s="22">
        <f t="shared" si="4"/>
        <v>119</v>
      </c>
      <c r="AJ82" s="2"/>
      <c r="AK82" s="14">
        <f t="shared" si="5"/>
        <v>0</v>
      </c>
      <c r="AL82" s="2" t="s">
        <v>569</v>
      </c>
    </row>
    <row r="83" spans="1:38" ht="19.899999999999999" customHeight="1" x14ac:dyDescent="0.25">
      <c r="A83" s="2">
        <v>81</v>
      </c>
      <c r="B83" s="25" t="s">
        <v>301</v>
      </c>
      <c r="C83" s="4" t="s">
        <v>370</v>
      </c>
      <c r="D83" s="2" t="s">
        <v>165</v>
      </c>
      <c r="E83" s="23">
        <v>10</v>
      </c>
      <c r="F83" s="23">
        <v>10</v>
      </c>
      <c r="G83" s="23">
        <v>10</v>
      </c>
      <c r="H83" s="23">
        <v>10</v>
      </c>
      <c r="I83" s="23">
        <v>6</v>
      </c>
      <c r="J83" s="23">
        <v>10</v>
      </c>
      <c r="K83" s="23" t="s">
        <v>10</v>
      </c>
      <c r="L83" s="23">
        <v>10</v>
      </c>
      <c r="M83" s="23">
        <v>10</v>
      </c>
      <c r="N83" s="23">
        <v>10</v>
      </c>
      <c r="O83" s="23">
        <v>10</v>
      </c>
      <c r="P83" s="23">
        <v>10</v>
      </c>
      <c r="Q83" s="23">
        <v>10</v>
      </c>
      <c r="R83" s="23" t="s">
        <v>10</v>
      </c>
      <c r="S83" s="23">
        <v>10</v>
      </c>
      <c r="T83" s="23">
        <v>10</v>
      </c>
      <c r="U83" s="23">
        <v>10</v>
      </c>
      <c r="V83" s="23">
        <v>10</v>
      </c>
      <c r="W83" s="23">
        <v>10</v>
      </c>
      <c r="X83" s="23">
        <v>10</v>
      </c>
      <c r="Y83" s="23" t="s">
        <v>10</v>
      </c>
      <c r="Z83" s="23">
        <v>10</v>
      </c>
      <c r="AA83" s="23">
        <v>10</v>
      </c>
      <c r="AB83" s="23">
        <v>10</v>
      </c>
      <c r="AC83" s="23">
        <v>10</v>
      </c>
      <c r="AD83" s="23">
        <v>10</v>
      </c>
      <c r="AE83" s="23">
        <v>10</v>
      </c>
      <c r="AF83" s="23">
        <v>10</v>
      </c>
      <c r="AG83" s="23">
        <v>10</v>
      </c>
      <c r="AH83" s="23">
        <v>10</v>
      </c>
      <c r="AI83" s="22">
        <f t="shared" si="4"/>
        <v>266</v>
      </c>
      <c r="AJ83" s="2"/>
      <c r="AK83" s="14">
        <f t="shared" si="5"/>
        <v>0</v>
      </c>
      <c r="AL83" s="2" t="s">
        <v>299</v>
      </c>
    </row>
    <row r="84" spans="1:38" ht="19.899999999999999" customHeight="1" x14ac:dyDescent="0.25">
      <c r="A84" s="2">
        <v>82</v>
      </c>
      <c r="B84" s="25" t="s">
        <v>293</v>
      </c>
      <c r="C84" s="4" t="s">
        <v>294</v>
      </c>
      <c r="D84" s="2" t="s">
        <v>165</v>
      </c>
      <c r="E84" s="23">
        <v>10</v>
      </c>
      <c r="F84" s="23">
        <v>10</v>
      </c>
      <c r="G84" s="23">
        <v>10</v>
      </c>
      <c r="H84" s="23">
        <v>10</v>
      </c>
      <c r="I84" s="23">
        <v>6</v>
      </c>
      <c r="J84" s="23">
        <v>10</v>
      </c>
      <c r="K84" s="23" t="s">
        <v>10</v>
      </c>
      <c r="L84" s="23">
        <v>10</v>
      </c>
      <c r="M84" s="23">
        <v>10</v>
      </c>
      <c r="N84" s="23">
        <v>10</v>
      </c>
      <c r="O84" s="23">
        <v>10</v>
      </c>
      <c r="P84" s="23">
        <v>10</v>
      </c>
      <c r="Q84" s="23">
        <v>10</v>
      </c>
      <c r="R84" s="23" t="s">
        <v>10</v>
      </c>
      <c r="S84" s="23">
        <v>10</v>
      </c>
      <c r="T84" s="23">
        <v>10</v>
      </c>
      <c r="U84" s="23">
        <v>10</v>
      </c>
      <c r="V84" s="23">
        <v>10</v>
      </c>
      <c r="W84" s="23">
        <v>10</v>
      </c>
      <c r="X84" s="23">
        <v>10</v>
      </c>
      <c r="Y84" s="23" t="s">
        <v>10</v>
      </c>
      <c r="Z84" s="23">
        <v>10</v>
      </c>
      <c r="AA84" s="23">
        <v>10</v>
      </c>
      <c r="AB84" s="23">
        <v>10</v>
      </c>
      <c r="AC84" s="23">
        <v>10</v>
      </c>
      <c r="AD84" s="23">
        <v>10</v>
      </c>
      <c r="AE84" s="23">
        <v>10</v>
      </c>
      <c r="AF84" s="23">
        <v>10</v>
      </c>
      <c r="AG84" s="23">
        <v>10</v>
      </c>
      <c r="AH84" s="23">
        <v>10</v>
      </c>
      <c r="AI84" s="22">
        <f t="shared" si="4"/>
        <v>266</v>
      </c>
      <c r="AJ84" s="21"/>
      <c r="AK84" s="14">
        <f t="shared" si="5"/>
        <v>0</v>
      </c>
      <c r="AL84" s="2" t="s">
        <v>299</v>
      </c>
    </row>
    <row r="85" spans="1:38" ht="19.899999999999999" customHeight="1" x14ac:dyDescent="0.25">
      <c r="A85" s="2">
        <v>83</v>
      </c>
      <c r="B85" s="25" t="s">
        <v>297</v>
      </c>
      <c r="C85" s="4" t="s">
        <v>298</v>
      </c>
      <c r="D85" s="2" t="s">
        <v>165</v>
      </c>
      <c r="E85" s="23">
        <v>11</v>
      </c>
      <c r="F85" s="23" t="s">
        <v>32</v>
      </c>
      <c r="G85" s="23">
        <v>10</v>
      </c>
      <c r="H85" s="23">
        <v>11</v>
      </c>
      <c r="I85" s="23">
        <v>11</v>
      </c>
      <c r="J85" s="23">
        <v>10</v>
      </c>
      <c r="K85" s="23" t="s">
        <v>10</v>
      </c>
      <c r="L85" s="23">
        <v>10</v>
      </c>
      <c r="M85" s="23">
        <v>10</v>
      </c>
      <c r="N85" s="23">
        <v>11</v>
      </c>
      <c r="O85" s="23">
        <v>11</v>
      </c>
      <c r="P85" s="23">
        <v>11</v>
      </c>
      <c r="Q85" s="23">
        <v>11</v>
      </c>
      <c r="R85" s="23" t="s">
        <v>10</v>
      </c>
      <c r="S85" s="23">
        <v>11</v>
      </c>
      <c r="T85" s="23" t="s">
        <v>32</v>
      </c>
      <c r="U85" s="23">
        <v>11</v>
      </c>
      <c r="V85" s="23">
        <v>11</v>
      </c>
      <c r="W85" s="23">
        <v>12</v>
      </c>
      <c r="X85" s="23">
        <v>11</v>
      </c>
      <c r="Y85" s="23" t="s">
        <v>10</v>
      </c>
      <c r="Z85" s="23">
        <v>10</v>
      </c>
      <c r="AA85" s="23">
        <v>10</v>
      </c>
      <c r="AB85" s="23">
        <v>10</v>
      </c>
      <c r="AC85" s="23">
        <v>10</v>
      </c>
      <c r="AD85" s="23">
        <v>12</v>
      </c>
      <c r="AE85" s="23">
        <v>10</v>
      </c>
      <c r="AF85" s="23" t="s">
        <v>10</v>
      </c>
      <c r="AG85" s="23">
        <v>10</v>
      </c>
      <c r="AH85" s="23">
        <v>10</v>
      </c>
      <c r="AI85" s="22">
        <f t="shared" si="4"/>
        <v>255</v>
      </c>
      <c r="AJ85" s="2"/>
      <c r="AK85" s="14">
        <f t="shared" si="5"/>
        <v>0</v>
      </c>
      <c r="AL85" s="2" t="s">
        <v>563</v>
      </c>
    </row>
    <row r="86" spans="1:38" ht="19.899999999999999" customHeight="1" x14ac:dyDescent="0.25">
      <c r="A86" s="2">
        <v>84</v>
      </c>
      <c r="B86" s="25" t="s">
        <v>295</v>
      </c>
      <c r="C86" s="4" t="s">
        <v>296</v>
      </c>
      <c r="D86" s="2" t="s">
        <v>165</v>
      </c>
      <c r="E86" s="23">
        <v>10</v>
      </c>
      <c r="F86" s="23">
        <v>10</v>
      </c>
      <c r="G86" s="23">
        <v>10</v>
      </c>
      <c r="H86" s="23">
        <v>10</v>
      </c>
      <c r="I86" s="23">
        <v>10</v>
      </c>
      <c r="J86" s="23">
        <v>10</v>
      </c>
      <c r="K86" s="23" t="s">
        <v>10</v>
      </c>
      <c r="L86" s="23">
        <v>10</v>
      </c>
      <c r="M86" s="23">
        <v>10</v>
      </c>
      <c r="N86" s="23">
        <v>10</v>
      </c>
      <c r="O86" s="23">
        <v>10</v>
      </c>
      <c r="P86" s="23">
        <v>10</v>
      </c>
      <c r="Q86" s="23">
        <v>10</v>
      </c>
      <c r="R86" s="23">
        <v>11</v>
      </c>
      <c r="S86" s="23">
        <v>12.5</v>
      </c>
      <c r="T86" s="23">
        <v>14</v>
      </c>
      <c r="U86" s="23">
        <v>11</v>
      </c>
      <c r="V86" s="23">
        <v>11</v>
      </c>
      <c r="W86" s="23">
        <v>11</v>
      </c>
      <c r="X86" s="23">
        <v>10</v>
      </c>
      <c r="Y86" s="23" t="s">
        <v>10</v>
      </c>
      <c r="Z86" s="23">
        <v>10</v>
      </c>
      <c r="AA86" s="23">
        <v>10</v>
      </c>
      <c r="AB86" s="23">
        <v>10</v>
      </c>
      <c r="AC86" s="23">
        <v>10</v>
      </c>
      <c r="AD86" s="23">
        <v>11</v>
      </c>
      <c r="AE86" s="23">
        <v>10</v>
      </c>
      <c r="AF86" s="23">
        <v>11</v>
      </c>
      <c r="AG86" s="23">
        <v>10</v>
      </c>
      <c r="AH86" s="23">
        <v>10</v>
      </c>
      <c r="AI86" s="22">
        <f t="shared" si="4"/>
        <v>292.5</v>
      </c>
      <c r="AJ86" s="21"/>
      <c r="AK86" s="14">
        <f t="shared" si="5"/>
        <v>0</v>
      </c>
      <c r="AL86" s="2" t="s">
        <v>373</v>
      </c>
    </row>
    <row r="87" spans="1:38" ht="19.899999999999999" customHeight="1" x14ac:dyDescent="0.25">
      <c r="A87" s="2">
        <v>85</v>
      </c>
      <c r="B87" s="25" t="s">
        <v>324</v>
      </c>
      <c r="C87" s="4" t="s">
        <v>326</v>
      </c>
      <c r="D87" s="2" t="s">
        <v>165</v>
      </c>
      <c r="E87" s="23">
        <v>11</v>
      </c>
      <c r="F87" s="23">
        <v>11</v>
      </c>
      <c r="G87" s="23">
        <v>11</v>
      </c>
      <c r="H87" s="23">
        <v>11</v>
      </c>
      <c r="I87" s="23" t="s">
        <v>32</v>
      </c>
      <c r="J87" s="23">
        <v>11</v>
      </c>
      <c r="K87" s="23" t="s">
        <v>10</v>
      </c>
      <c r="L87" s="23">
        <v>11</v>
      </c>
      <c r="M87" s="23">
        <v>10</v>
      </c>
      <c r="N87" s="23">
        <v>11</v>
      </c>
      <c r="O87" s="23">
        <v>11</v>
      </c>
      <c r="P87" s="23">
        <v>11</v>
      </c>
      <c r="Q87" s="23">
        <v>11</v>
      </c>
      <c r="R87" s="23" t="s">
        <v>10</v>
      </c>
      <c r="S87" s="23">
        <v>11</v>
      </c>
      <c r="T87" s="23">
        <v>11</v>
      </c>
      <c r="U87" s="23">
        <v>12</v>
      </c>
      <c r="V87" s="23">
        <v>10</v>
      </c>
      <c r="W87" s="23">
        <v>11</v>
      </c>
      <c r="X87" s="23">
        <v>11</v>
      </c>
      <c r="Y87" s="23" t="s">
        <v>10</v>
      </c>
      <c r="Z87" s="23">
        <v>11</v>
      </c>
      <c r="AA87" s="23">
        <v>10</v>
      </c>
      <c r="AB87" s="23">
        <v>11</v>
      </c>
      <c r="AC87" s="23">
        <v>11</v>
      </c>
      <c r="AD87" s="23">
        <v>11</v>
      </c>
      <c r="AE87" s="23">
        <v>11</v>
      </c>
      <c r="AF87" s="23" t="s">
        <v>10</v>
      </c>
      <c r="AG87" s="23">
        <v>11</v>
      </c>
      <c r="AH87" s="23">
        <v>11</v>
      </c>
      <c r="AI87" s="22">
        <f t="shared" si="4"/>
        <v>273</v>
      </c>
      <c r="AJ87" s="2"/>
      <c r="AK87" s="14">
        <f t="shared" si="5"/>
        <v>0</v>
      </c>
      <c r="AL87" s="2" t="s">
        <v>284</v>
      </c>
    </row>
    <row r="88" spans="1:38" ht="19.899999999999999" customHeight="1" x14ac:dyDescent="0.25">
      <c r="A88" s="2">
        <v>86</v>
      </c>
      <c r="B88" s="25" t="s">
        <v>329</v>
      </c>
      <c r="C88" s="4" t="s">
        <v>327</v>
      </c>
      <c r="D88" s="2" t="s">
        <v>165</v>
      </c>
      <c r="E88" s="23"/>
      <c r="F88" s="23"/>
      <c r="G88" s="23"/>
      <c r="H88" s="23"/>
      <c r="I88" s="23"/>
      <c r="J88" s="23"/>
      <c r="K88" s="23" t="s">
        <v>10</v>
      </c>
      <c r="L88" s="23">
        <v>10</v>
      </c>
      <c r="M88" s="23">
        <v>10</v>
      </c>
      <c r="N88" s="23">
        <v>10</v>
      </c>
      <c r="O88" s="23">
        <v>10</v>
      </c>
      <c r="P88" s="23">
        <v>10</v>
      </c>
      <c r="Q88" s="23">
        <v>10</v>
      </c>
      <c r="R88" s="23" t="s">
        <v>10</v>
      </c>
      <c r="S88" s="23">
        <v>10</v>
      </c>
      <c r="T88" s="23">
        <v>10</v>
      </c>
      <c r="U88" s="23">
        <v>10</v>
      </c>
      <c r="V88" s="23">
        <v>10</v>
      </c>
      <c r="W88" s="23">
        <v>10</v>
      </c>
      <c r="X88" s="23">
        <v>10</v>
      </c>
      <c r="Y88" s="23" t="s">
        <v>10</v>
      </c>
      <c r="Z88" s="23">
        <v>10</v>
      </c>
      <c r="AA88" s="23">
        <v>10</v>
      </c>
      <c r="AB88" s="23">
        <v>10</v>
      </c>
      <c r="AC88" s="23">
        <v>10</v>
      </c>
      <c r="AD88" s="23">
        <v>10</v>
      </c>
      <c r="AE88" s="23">
        <v>10</v>
      </c>
      <c r="AF88" s="23">
        <v>10</v>
      </c>
      <c r="AG88" s="23">
        <v>10</v>
      </c>
      <c r="AH88" s="23">
        <v>10</v>
      </c>
      <c r="AI88" s="22">
        <f t="shared" si="4"/>
        <v>210</v>
      </c>
      <c r="AJ88" s="2"/>
      <c r="AK88" s="14">
        <f t="shared" si="5"/>
        <v>0</v>
      </c>
      <c r="AL88" s="2" t="s">
        <v>299</v>
      </c>
    </row>
    <row r="89" spans="1:38" ht="19.899999999999999" customHeight="1" x14ac:dyDescent="0.25">
      <c r="A89" s="2">
        <v>87</v>
      </c>
      <c r="B89" s="25" t="s">
        <v>325</v>
      </c>
      <c r="C89" s="4" t="s">
        <v>328</v>
      </c>
      <c r="D89" s="2" t="s">
        <v>165</v>
      </c>
      <c r="E89" s="23">
        <v>10</v>
      </c>
      <c r="F89" s="23">
        <v>10</v>
      </c>
      <c r="G89" s="23">
        <v>10</v>
      </c>
      <c r="H89" s="23">
        <v>10</v>
      </c>
      <c r="I89" s="23">
        <v>10</v>
      </c>
      <c r="J89" s="23">
        <v>10</v>
      </c>
      <c r="K89" s="23">
        <v>6</v>
      </c>
      <c r="L89" s="23">
        <v>10</v>
      </c>
      <c r="M89" s="23">
        <v>10</v>
      </c>
      <c r="N89" s="23">
        <v>10</v>
      </c>
      <c r="O89" s="23">
        <v>10</v>
      </c>
      <c r="P89" s="23">
        <v>10</v>
      </c>
      <c r="Q89" s="23">
        <v>10</v>
      </c>
      <c r="R89" s="23" t="s">
        <v>10</v>
      </c>
      <c r="S89" s="23">
        <v>10</v>
      </c>
      <c r="T89" s="23">
        <v>10</v>
      </c>
      <c r="U89" s="23">
        <v>10</v>
      </c>
      <c r="V89" s="23">
        <v>10</v>
      </c>
      <c r="W89" s="23">
        <v>12</v>
      </c>
      <c r="X89" s="23">
        <v>11</v>
      </c>
      <c r="Y89" s="23" t="s">
        <v>10</v>
      </c>
      <c r="Z89" s="23">
        <v>10</v>
      </c>
      <c r="AA89" s="23">
        <v>10</v>
      </c>
      <c r="AB89" s="23">
        <v>10</v>
      </c>
      <c r="AC89" s="23">
        <v>10</v>
      </c>
      <c r="AD89" s="23">
        <v>11</v>
      </c>
      <c r="AE89" s="23">
        <v>10</v>
      </c>
      <c r="AF89" s="23" t="s">
        <v>10</v>
      </c>
      <c r="AG89" s="23">
        <v>10</v>
      </c>
      <c r="AH89" s="23">
        <v>10</v>
      </c>
      <c r="AI89" s="22">
        <f t="shared" si="4"/>
        <v>270</v>
      </c>
      <c r="AJ89" s="2"/>
      <c r="AK89" s="14">
        <f t="shared" si="5"/>
        <v>0</v>
      </c>
      <c r="AL89" s="2" t="s">
        <v>562</v>
      </c>
    </row>
    <row r="90" spans="1:38" ht="19.899999999999999" customHeight="1" x14ac:dyDescent="0.25">
      <c r="A90" s="2">
        <v>88</v>
      </c>
      <c r="B90" s="25" t="s">
        <v>361</v>
      </c>
      <c r="C90" s="4" t="s">
        <v>362</v>
      </c>
      <c r="D90" s="2" t="s">
        <v>165</v>
      </c>
      <c r="E90" s="23">
        <v>13</v>
      </c>
      <c r="F90" s="23">
        <v>12</v>
      </c>
      <c r="G90" s="23">
        <v>12</v>
      </c>
      <c r="H90" s="23">
        <v>12</v>
      </c>
      <c r="I90" s="23">
        <v>12</v>
      </c>
      <c r="J90" s="23">
        <v>12</v>
      </c>
      <c r="K90" s="23" t="s">
        <v>10</v>
      </c>
      <c r="L90" s="23">
        <v>10</v>
      </c>
      <c r="M90" s="23">
        <v>12</v>
      </c>
      <c r="N90" s="23">
        <v>10</v>
      </c>
      <c r="O90" s="23">
        <v>10</v>
      </c>
      <c r="P90" s="23">
        <v>10</v>
      </c>
      <c r="Q90" s="23">
        <v>10</v>
      </c>
      <c r="R90" s="23" t="s">
        <v>10</v>
      </c>
      <c r="S90" s="23">
        <v>10</v>
      </c>
      <c r="T90" s="23">
        <v>10</v>
      </c>
      <c r="U90" s="23">
        <v>10</v>
      </c>
      <c r="V90" s="23">
        <v>10</v>
      </c>
      <c r="W90" s="23">
        <v>10</v>
      </c>
      <c r="X90" s="23">
        <v>10</v>
      </c>
      <c r="Y90" s="23">
        <v>10</v>
      </c>
      <c r="Z90" s="23">
        <v>10</v>
      </c>
      <c r="AA90" s="23">
        <v>10</v>
      </c>
      <c r="AB90" s="23">
        <v>10</v>
      </c>
      <c r="AC90" s="23">
        <v>10</v>
      </c>
      <c r="AD90" s="23">
        <v>12</v>
      </c>
      <c r="AE90" s="23">
        <v>11</v>
      </c>
      <c r="AF90" s="23">
        <v>10</v>
      </c>
      <c r="AG90" s="23">
        <v>11</v>
      </c>
      <c r="AH90" s="23">
        <v>11</v>
      </c>
      <c r="AI90" s="22">
        <f t="shared" si="4"/>
        <v>300</v>
      </c>
      <c r="AJ90" s="2"/>
      <c r="AK90" s="14">
        <f t="shared" si="5"/>
        <v>0</v>
      </c>
      <c r="AL90" s="2" t="s">
        <v>458</v>
      </c>
    </row>
    <row r="91" spans="1:38" ht="19.899999999999999" customHeight="1" x14ac:dyDescent="0.25">
      <c r="A91" s="2">
        <v>89</v>
      </c>
      <c r="B91" s="25" t="s">
        <v>363</v>
      </c>
      <c r="C91" s="4" t="s">
        <v>364</v>
      </c>
      <c r="D91" s="2" t="s">
        <v>165</v>
      </c>
      <c r="E91" s="23">
        <v>10.5</v>
      </c>
      <c r="F91" s="23">
        <v>10.5</v>
      </c>
      <c r="G91" s="23">
        <v>10.5</v>
      </c>
      <c r="H91" s="23">
        <v>10.5</v>
      </c>
      <c r="I91" s="23">
        <v>10.5</v>
      </c>
      <c r="J91" s="23">
        <v>10.5</v>
      </c>
      <c r="K91" s="23" t="s">
        <v>10</v>
      </c>
      <c r="L91" s="23">
        <v>10.5</v>
      </c>
      <c r="M91" s="23">
        <v>10.5</v>
      </c>
      <c r="N91" s="23">
        <v>10.5</v>
      </c>
      <c r="O91" s="23">
        <v>10.5</v>
      </c>
      <c r="P91" s="23">
        <v>10.5</v>
      </c>
      <c r="Q91" s="23">
        <v>10.5</v>
      </c>
      <c r="R91" s="23" t="s">
        <v>10</v>
      </c>
      <c r="S91" s="23">
        <v>10</v>
      </c>
      <c r="T91" s="23">
        <v>10.5</v>
      </c>
      <c r="U91" s="23">
        <v>10.5</v>
      </c>
      <c r="V91" s="23">
        <v>10.5</v>
      </c>
      <c r="W91" s="23">
        <v>10.5</v>
      </c>
      <c r="X91" s="23">
        <v>10.5</v>
      </c>
      <c r="Y91" s="23" t="s">
        <v>10</v>
      </c>
      <c r="Z91" s="23">
        <v>10.5</v>
      </c>
      <c r="AA91" s="23">
        <v>10.5</v>
      </c>
      <c r="AB91" s="23">
        <v>10.5</v>
      </c>
      <c r="AC91" s="23">
        <v>10.5</v>
      </c>
      <c r="AD91" s="23">
        <v>10.5</v>
      </c>
      <c r="AE91" s="23">
        <v>10.5</v>
      </c>
      <c r="AF91" s="23" t="s">
        <v>10</v>
      </c>
      <c r="AG91" s="23">
        <v>10.5</v>
      </c>
      <c r="AH91" s="23">
        <v>10.5</v>
      </c>
      <c r="AI91" s="22">
        <f t="shared" si="4"/>
        <v>272.5</v>
      </c>
      <c r="AJ91" s="2"/>
      <c r="AK91" s="14">
        <f t="shared" si="5"/>
        <v>0</v>
      </c>
      <c r="AL91" s="2" t="s">
        <v>237</v>
      </c>
    </row>
    <row r="92" spans="1:38" ht="19.899999999999999" customHeight="1" x14ac:dyDescent="0.25">
      <c r="A92" s="2">
        <v>90</v>
      </c>
      <c r="B92" s="28" t="s">
        <v>371</v>
      </c>
      <c r="C92" s="4" t="s">
        <v>365</v>
      </c>
      <c r="D92" s="2" t="s">
        <v>165</v>
      </c>
      <c r="E92" s="23">
        <v>10</v>
      </c>
      <c r="F92" s="23">
        <v>12</v>
      </c>
      <c r="G92" s="23">
        <v>12</v>
      </c>
      <c r="H92" s="23">
        <v>12</v>
      </c>
      <c r="I92" s="23">
        <v>10</v>
      </c>
      <c r="J92" s="23">
        <v>10</v>
      </c>
      <c r="K92" s="23">
        <v>11</v>
      </c>
      <c r="L92" s="23">
        <v>12</v>
      </c>
      <c r="M92" s="23">
        <v>12</v>
      </c>
      <c r="N92" s="23">
        <v>12</v>
      </c>
      <c r="O92" s="23">
        <v>12</v>
      </c>
      <c r="P92" s="23">
        <v>12</v>
      </c>
      <c r="Q92" s="23">
        <v>12</v>
      </c>
      <c r="R92" s="23">
        <v>11</v>
      </c>
      <c r="S92" s="23">
        <v>12</v>
      </c>
      <c r="T92" s="23">
        <v>10</v>
      </c>
      <c r="U92" s="23">
        <v>10</v>
      </c>
      <c r="V92" s="23">
        <v>10</v>
      </c>
      <c r="W92" s="23">
        <v>10</v>
      </c>
      <c r="X92" s="23">
        <v>10</v>
      </c>
      <c r="Y92" s="23" t="s">
        <v>10</v>
      </c>
      <c r="Z92" s="23">
        <v>10</v>
      </c>
      <c r="AA92" s="23">
        <v>10</v>
      </c>
      <c r="AB92" s="23">
        <v>10</v>
      </c>
      <c r="AC92" s="23">
        <v>10</v>
      </c>
      <c r="AD92" s="23">
        <v>10</v>
      </c>
      <c r="AE92" s="23">
        <v>10</v>
      </c>
      <c r="AF92" s="23">
        <v>10</v>
      </c>
      <c r="AG92" s="23">
        <v>10</v>
      </c>
      <c r="AH92" s="23">
        <v>10</v>
      </c>
      <c r="AI92" s="22">
        <f t="shared" si="4"/>
        <v>312</v>
      </c>
      <c r="AJ92" s="21"/>
      <c r="AK92" s="14">
        <f t="shared" si="5"/>
        <v>0</v>
      </c>
      <c r="AL92" s="2" t="s">
        <v>367</v>
      </c>
    </row>
    <row r="93" spans="1:38" ht="19.899999999999999" customHeight="1" x14ac:dyDescent="0.25">
      <c r="A93" s="2">
        <v>91</v>
      </c>
      <c r="B93" s="28" t="s">
        <v>372</v>
      </c>
      <c r="C93" s="4" t="s">
        <v>366</v>
      </c>
      <c r="D93" s="2" t="s">
        <v>165</v>
      </c>
      <c r="E93" s="23"/>
      <c r="F93" s="23">
        <v>10</v>
      </c>
      <c r="G93" s="23">
        <v>10</v>
      </c>
      <c r="H93" s="23">
        <v>10</v>
      </c>
      <c r="I93" s="23">
        <v>10</v>
      </c>
      <c r="J93" s="23">
        <v>10</v>
      </c>
      <c r="K93" s="23" t="s">
        <v>10</v>
      </c>
      <c r="L93" s="23">
        <v>10</v>
      </c>
      <c r="M93" s="23">
        <v>10</v>
      </c>
      <c r="N93" s="23">
        <v>12</v>
      </c>
      <c r="O93" s="23">
        <v>11</v>
      </c>
      <c r="P93" s="23">
        <v>10</v>
      </c>
      <c r="Q93" s="23">
        <v>10</v>
      </c>
      <c r="R93" s="23">
        <v>11</v>
      </c>
      <c r="S93" s="23">
        <v>10</v>
      </c>
      <c r="T93" s="23">
        <v>15</v>
      </c>
      <c r="U93" s="23">
        <v>10</v>
      </c>
      <c r="V93" s="23">
        <v>10</v>
      </c>
      <c r="W93" s="23">
        <v>10</v>
      </c>
      <c r="X93" s="23">
        <v>10</v>
      </c>
      <c r="Y93" s="23" t="s">
        <v>10</v>
      </c>
      <c r="Z93" s="23">
        <v>10</v>
      </c>
      <c r="AA93" s="23">
        <v>10</v>
      </c>
      <c r="AB93" s="23">
        <v>10</v>
      </c>
      <c r="AC93" s="23">
        <v>10</v>
      </c>
      <c r="AD93" s="23">
        <v>10</v>
      </c>
      <c r="AE93" s="23">
        <v>16</v>
      </c>
      <c r="AF93" s="23" t="s">
        <v>10</v>
      </c>
      <c r="AG93" s="23">
        <v>10</v>
      </c>
      <c r="AH93" s="23">
        <v>10</v>
      </c>
      <c r="AI93" s="22">
        <f t="shared" si="4"/>
        <v>275</v>
      </c>
      <c r="AJ93" s="21"/>
      <c r="AK93" s="14">
        <f t="shared" si="5"/>
        <v>0</v>
      </c>
      <c r="AL93" s="2" t="s">
        <v>570</v>
      </c>
    </row>
    <row r="94" spans="1:38" ht="19.899999999999999" customHeight="1" x14ac:dyDescent="0.25">
      <c r="A94" s="2">
        <v>92</v>
      </c>
      <c r="B94" s="25" t="s">
        <v>374</v>
      </c>
      <c r="C94" s="4" t="s">
        <v>503</v>
      </c>
      <c r="D94" s="2" t="s">
        <v>165</v>
      </c>
      <c r="E94" s="23" t="s">
        <v>32</v>
      </c>
      <c r="F94" s="23" t="s">
        <v>32</v>
      </c>
      <c r="G94" s="23" t="s">
        <v>32</v>
      </c>
      <c r="H94" s="23">
        <v>11</v>
      </c>
      <c r="I94" s="23">
        <v>11</v>
      </c>
      <c r="J94" s="23">
        <v>11</v>
      </c>
      <c r="K94" s="23" t="s">
        <v>10</v>
      </c>
      <c r="L94" s="23">
        <v>11</v>
      </c>
      <c r="M94" s="23">
        <v>11</v>
      </c>
      <c r="N94" s="23">
        <v>11</v>
      </c>
      <c r="O94" s="23">
        <v>11</v>
      </c>
      <c r="P94" s="23">
        <v>11</v>
      </c>
      <c r="Q94" s="23">
        <v>11</v>
      </c>
      <c r="R94" s="23" t="s">
        <v>10</v>
      </c>
      <c r="S94" s="23">
        <v>11</v>
      </c>
      <c r="T94" s="23">
        <v>11</v>
      </c>
      <c r="U94" s="23">
        <v>11</v>
      </c>
      <c r="V94" s="23">
        <v>11</v>
      </c>
      <c r="W94" s="23">
        <v>11</v>
      </c>
      <c r="X94" s="23">
        <v>11</v>
      </c>
      <c r="Y94" s="23" t="s">
        <v>10</v>
      </c>
      <c r="Z94" s="23">
        <v>11</v>
      </c>
      <c r="AA94" s="23">
        <v>11</v>
      </c>
      <c r="AB94" s="23">
        <v>11</v>
      </c>
      <c r="AC94" s="23">
        <v>11</v>
      </c>
      <c r="AD94" s="23">
        <v>11</v>
      </c>
      <c r="AE94" s="23">
        <v>11</v>
      </c>
      <c r="AF94" s="23" t="s">
        <v>10</v>
      </c>
      <c r="AG94" s="23">
        <v>11</v>
      </c>
      <c r="AH94" s="23">
        <v>11</v>
      </c>
      <c r="AI94" s="22">
        <f t="shared" si="4"/>
        <v>253</v>
      </c>
      <c r="AJ94" s="2"/>
      <c r="AK94" s="14">
        <f t="shared" si="5"/>
        <v>0</v>
      </c>
      <c r="AL94" s="2" t="s">
        <v>284</v>
      </c>
    </row>
    <row r="95" spans="1:38" ht="19.899999999999999" customHeight="1" x14ac:dyDescent="0.25">
      <c r="A95" s="2">
        <v>93</v>
      </c>
      <c r="B95" s="28" t="s">
        <v>375</v>
      </c>
      <c r="C95" s="4" t="s">
        <v>504</v>
      </c>
      <c r="D95" s="2" t="s">
        <v>165</v>
      </c>
      <c r="E95" s="23">
        <v>11</v>
      </c>
      <c r="F95" s="23">
        <v>11</v>
      </c>
      <c r="G95" s="23">
        <v>11</v>
      </c>
      <c r="H95" s="23">
        <v>11</v>
      </c>
      <c r="I95" s="23">
        <v>11</v>
      </c>
      <c r="J95" s="23">
        <v>11</v>
      </c>
      <c r="K95" s="23">
        <v>11</v>
      </c>
      <c r="L95" s="23">
        <v>11</v>
      </c>
      <c r="M95" s="23">
        <v>11</v>
      </c>
      <c r="N95" s="23">
        <v>11</v>
      </c>
      <c r="O95" s="23">
        <v>11</v>
      </c>
      <c r="P95" s="23">
        <v>11</v>
      </c>
      <c r="Q95" s="23">
        <v>11</v>
      </c>
      <c r="R95" s="23">
        <v>11</v>
      </c>
      <c r="S95" s="23">
        <v>11</v>
      </c>
      <c r="T95" s="23">
        <v>11</v>
      </c>
      <c r="U95" s="23">
        <v>11</v>
      </c>
      <c r="V95" s="23">
        <v>11</v>
      </c>
      <c r="W95" s="23">
        <v>11</v>
      </c>
      <c r="X95" s="23">
        <v>11</v>
      </c>
      <c r="Y95" s="23">
        <v>11</v>
      </c>
      <c r="Z95" s="23">
        <v>11</v>
      </c>
      <c r="AA95" s="23">
        <v>11</v>
      </c>
      <c r="AB95" s="23">
        <v>11</v>
      </c>
      <c r="AC95" s="23">
        <v>11</v>
      </c>
      <c r="AD95" s="23">
        <v>11</v>
      </c>
      <c r="AE95" s="23">
        <v>11</v>
      </c>
      <c r="AF95" s="23">
        <v>11</v>
      </c>
      <c r="AG95" s="23">
        <v>11</v>
      </c>
      <c r="AH95" s="23">
        <v>11</v>
      </c>
      <c r="AI95" s="22">
        <f t="shared" si="4"/>
        <v>330</v>
      </c>
      <c r="AJ95" s="2"/>
      <c r="AK95" s="14">
        <f t="shared" si="5"/>
        <v>0</v>
      </c>
      <c r="AL95" s="2" t="s">
        <v>284</v>
      </c>
    </row>
    <row r="96" spans="1:38" ht="19.899999999999999" customHeight="1" x14ac:dyDescent="0.25">
      <c r="A96" s="2">
        <v>94</v>
      </c>
      <c r="B96" s="25" t="s">
        <v>399</v>
      </c>
      <c r="C96" s="4" t="s">
        <v>400</v>
      </c>
      <c r="D96" s="2" t="s">
        <v>165</v>
      </c>
      <c r="E96" s="23">
        <v>10</v>
      </c>
      <c r="F96" s="23">
        <v>10</v>
      </c>
      <c r="G96" s="23">
        <v>10</v>
      </c>
      <c r="H96" s="23">
        <v>10</v>
      </c>
      <c r="I96" s="23">
        <v>10</v>
      </c>
      <c r="J96" s="23">
        <v>10</v>
      </c>
      <c r="K96" s="23" t="s">
        <v>10</v>
      </c>
      <c r="L96" s="23">
        <v>10</v>
      </c>
      <c r="M96" s="23">
        <v>10</v>
      </c>
      <c r="N96" s="23">
        <v>10</v>
      </c>
      <c r="O96" s="23">
        <v>10</v>
      </c>
      <c r="P96" s="23">
        <v>10</v>
      </c>
      <c r="Q96" s="23">
        <v>10</v>
      </c>
      <c r="R96" s="23">
        <v>11</v>
      </c>
      <c r="S96" s="23">
        <v>12.5</v>
      </c>
      <c r="T96" s="23">
        <v>14</v>
      </c>
      <c r="U96" s="23">
        <v>11</v>
      </c>
      <c r="V96" s="23">
        <v>11</v>
      </c>
      <c r="W96" s="23">
        <v>11</v>
      </c>
      <c r="X96" s="23">
        <v>10</v>
      </c>
      <c r="Y96" s="23" t="s">
        <v>10</v>
      </c>
      <c r="Z96" s="23">
        <v>10</v>
      </c>
      <c r="AA96" s="23">
        <v>10</v>
      </c>
      <c r="AB96" s="23">
        <v>10</v>
      </c>
      <c r="AC96" s="23">
        <v>10</v>
      </c>
      <c r="AD96" s="23">
        <v>11</v>
      </c>
      <c r="AE96" s="23">
        <v>10</v>
      </c>
      <c r="AF96" s="23">
        <v>11</v>
      </c>
      <c r="AG96" s="23">
        <v>10</v>
      </c>
      <c r="AH96" s="23">
        <v>10</v>
      </c>
      <c r="AI96" s="22">
        <f t="shared" si="4"/>
        <v>292.5</v>
      </c>
      <c r="AJ96" s="21"/>
      <c r="AK96" s="14">
        <f t="shared" si="5"/>
        <v>0</v>
      </c>
      <c r="AL96" s="2" t="s">
        <v>373</v>
      </c>
    </row>
    <row r="97" spans="1:38" ht="19.899999999999999" customHeight="1" x14ac:dyDescent="0.25">
      <c r="A97" s="2">
        <v>95</v>
      </c>
      <c r="B97" s="28" t="s">
        <v>401</v>
      </c>
      <c r="C97" s="4" t="s">
        <v>505</v>
      </c>
      <c r="D97" s="2" t="s">
        <v>165</v>
      </c>
      <c r="E97" s="23">
        <v>11</v>
      </c>
      <c r="F97" s="23" t="s">
        <v>32</v>
      </c>
      <c r="G97" s="23">
        <v>11</v>
      </c>
      <c r="H97" s="23">
        <v>11</v>
      </c>
      <c r="I97" s="23">
        <v>11</v>
      </c>
      <c r="J97" s="23">
        <v>11</v>
      </c>
      <c r="K97" s="23" t="s">
        <v>10</v>
      </c>
      <c r="L97" s="23" t="s">
        <v>32</v>
      </c>
      <c r="M97" s="23" t="s">
        <v>32</v>
      </c>
      <c r="N97" s="23" t="s">
        <v>32</v>
      </c>
      <c r="O97" s="23" t="s">
        <v>32</v>
      </c>
      <c r="P97" s="23" t="s">
        <v>32</v>
      </c>
      <c r="Q97" s="23" t="s">
        <v>32</v>
      </c>
      <c r="R97" s="23" t="s">
        <v>10</v>
      </c>
      <c r="S97" s="23" t="s">
        <v>32</v>
      </c>
      <c r="T97" s="23" t="s">
        <v>32</v>
      </c>
      <c r="U97" s="23" t="s">
        <v>32</v>
      </c>
      <c r="V97" s="23">
        <v>11</v>
      </c>
      <c r="W97" s="23">
        <v>11</v>
      </c>
      <c r="X97" s="23">
        <v>11</v>
      </c>
      <c r="Y97" s="23" t="s">
        <v>10</v>
      </c>
      <c r="Z97" s="23">
        <v>11</v>
      </c>
      <c r="AA97" s="23" t="s">
        <v>32</v>
      </c>
      <c r="AB97" s="23" t="s">
        <v>32</v>
      </c>
      <c r="AC97" s="23" t="s">
        <v>32</v>
      </c>
      <c r="AD97" s="23"/>
      <c r="AE97" s="23"/>
      <c r="AF97" s="23"/>
      <c r="AG97" s="23"/>
      <c r="AH97" s="23"/>
      <c r="AI97" s="22">
        <f t="shared" ref="AI97:AI115" si="6">SUM(E97:AH97)</f>
        <v>99</v>
      </c>
      <c r="AJ97" s="2"/>
      <c r="AK97" s="14">
        <f t="shared" ref="AK97:AK115" si="7">AI97*AJ97</f>
        <v>0</v>
      </c>
      <c r="AL97" s="2" t="s">
        <v>284</v>
      </c>
    </row>
    <row r="98" spans="1:38" ht="19.899999999999999" customHeight="1" x14ac:dyDescent="0.25">
      <c r="A98" s="2">
        <v>96</v>
      </c>
      <c r="B98" s="25" t="s">
        <v>412</v>
      </c>
      <c r="C98" s="4" t="s">
        <v>410</v>
      </c>
      <c r="D98" s="2" t="s">
        <v>165</v>
      </c>
      <c r="E98" s="23">
        <v>10</v>
      </c>
      <c r="F98" s="23">
        <v>12</v>
      </c>
      <c r="G98" s="23">
        <v>12</v>
      </c>
      <c r="H98" s="23">
        <v>12</v>
      </c>
      <c r="I98" s="23">
        <v>10</v>
      </c>
      <c r="J98" s="23">
        <v>10</v>
      </c>
      <c r="K98" s="23">
        <v>11</v>
      </c>
      <c r="L98" s="23">
        <v>12</v>
      </c>
      <c r="M98" s="23">
        <v>12</v>
      </c>
      <c r="N98" s="23">
        <v>10</v>
      </c>
      <c r="O98" s="23">
        <v>12</v>
      </c>
      <c r="P98" s="23">
        <v>12</v>
      </c>
      <c r="Q98" s="23">
        <v>10</v>
      </c>
      <c r="R98" s="23">
        <v>11</v>
      </c>
      <c r="S98" s="23">
        <v>10</v>
      </c>
      <c r="T98" s="23">
        <v>10</v>
      </c>
      <c r="U98" s="23">
        <v>10</v>
      </c>
      <c r="V98" s="23">
        <v>10</v>
      </c>
      <c r="W98" s="23">
        <v>10</v>
      </c>
      <c r="X98" s="23">
        <v>10</v>
      </c>
      <c r="Y98" s="23" t="s">
        <v>10</v>
      </c>
      <c r="Z98" s="23">
        <v>10</v>
      </c>
      <c r="AA98" s="23">
        <v>10</v>
      </c>
      <c r="AB98" s="23">
        <v>10</v>
      </c>
      <c r="AC98" s="23">
        <v>10</v>
      </c>
      <c r="AD98" s="23">
        <v>10</v>
      </c>
      <c r="AE98" s="23">
        <v>10</v>
      </c>
      <c r="AF98" s="23">
        <v>10</v>
      </c>
      <c r="AG98" s="23">
        <v>10</v>
      </c>
      <c r="AH98" s="23">
        <v>10</v>
      </c>
      <c r="AI98" s="22">
        <f t="shared" si="6"/>
        <v>306</v>
      </c>
      <c r="AJ98" s="21"/>
      <c r="AK98" s="14">
        <f t="shared" si="7"/>
        <v>0</v>
      </c>
      <c r="AL98" s="2" t="s">
        <v>367</v>
      </c>
    </row>
    <row r="99" spans="1:38" ht="19.899999999999999" customHeight="1" x14ac:dyDescent="0.25">
      <c r="A99" s="2">
        <v>97</v>
      </c>
      <c r="B99" s="28" t="s">
        <v>413</v>
      </c>
      <c r="C99" s="4" t="s">
        <v>411</v>
      </c>
      <c r="D99" s="2" t="s">
        <v>165</v>
      </c>
      <c r="E99" s="23">
        <v>10</v>
      </c>
      <c r="F99" s="23">
        <v>10</v>
      </c>
      <c r="G99" s="23">
        <v>12</v>
      </c>
      <c r="H99" s="23">
        <v>12</v>
      </c>
      <c r="I99" s="23">
        <v>10</v>
      </c>
      <c r="J99" s="23">
        <v>10</v>
      </c>
      <c r="K99" s="23">
        <v>11</v>
      </c>
      <c r="L99" s="23">
        <v>12</v>
      </c>
      <c r="M99" s="23">
        <v>12</v>
      </c>
      <c r="N99" s="23">
        <v>10</v>
      </c>
      <c r="O99" s="23">
        <v>12</v>
      </c>
      <c r="P99" s="23">
        <v>10</v>
      </c>
      <c r="Q99" s="23">
        <v>10</v>
      </c>
      <c r="R99" s="23">
        <v>11</v>
      </c>
      <c r="S99" s="23">
        <v>10</v>
      </c>
      <c r="T99" s="23">
        <v>10</v>
      </c>
      <c r="U99" s="23">
        <v>10</v>
      </c>
      <c r="V99" s="23">
        <v>10</v>
      </c>
      <c r="W99" s="23">
        <v>10</v>
      </c>
      <c r="X99" s="23">
        <v>10</v>
      </c>
      <c r="Y99" s="23" t="s">
        <v>10</v>
      </c>
      <c r="Z99" s="23">
        <v>10</v>
      </c>
      <c r="AA99" s="23">
        <v>10</v>
      </c>
      <c r="AB99" s="23">
        <v>10</v>
      </c>
      <c r="AC99" s="23">
        <v>10</v>
      </c>
      <c r="AD99" s="23">
        <v>10</v>
      </c>
      <c r="AE99" s="23">
        <v>10</v>
      </c>
      <c r="AF99" s="23">
        <v>10</v>
      </c>
      <c r="AG99" s="23">
        <v>10</v>
      </c>
      <c r="AH99" s="23">
        <v>10</v>
      </c>
      <c r="AI99" s="22">
        <f t="shared" si="6"/>
        <v>302</v>
      </c>
      <c r="AJ99" s="21"/>
      <c r="AK99" s="14">
        <f t="shared" si="7"/>
        <v>0</v>
      </c>
      <c r="AL99" s="2" t="s">
        <v>367</v>
      </c>
    </row>
    <row r="100" spans="1:38" ht="19.899999999999999" customHeight="1" x14ac:dyDescent="0.25">
      <c r="A100" s="2">
        <v>98</v>
      </c>
      <c r="B100" s="28" t="s">
        <v>467</v>
      </c>
      <c r="C100" s="4" t="s">
        <v>418</v>
      </c>
      <c r="D100" s="2" t="s">
        <v>165</v>
      </c>
      <c r="E100" s="23">
        <v>13</v>
      </c>
      <c r="F100" s="23">
        <v>12</v>
      </c>
      <c r="G100" s="23">
        <v>12</v>
      </c>
      <c r="H100" s="23">
        <v>12</v>
      </c>
      <c r="I100" s="23">
        <v>12</v>
      </c>
      <c r="J100" s="23">
        <v>12</v>
      </c>
      <c r="K100" s="23" t="s">
        <v>10</v>
      </c>
      <c r="L100" s="23">
        <v>10</v>
      </c>
      <c r="M100" s="23">
        <v>12</v>
      </c>
      <c r="N100" s="23">
        <v>10</v>
      </c>
      <c r="O100" s="23">
        <v>10</v>
      </c>
      <c r="P100" s="23">
        <v>10</v>
      </c>
      <c r="Q100" s="23">
        <v>10</v>
      </c>
      <c r="R100" s="23" t="s">
        <v>10</v>
      </c>
      <c r="S100" s="23">
        <v>10</v>
      </c>
      <c r="T100" s="23">
        <v>10</v>
      </c>
      <c r="U100" s="23">
        <v>8</v>
      </c>
      <c r="V100" s="23">
        <v>10</v>
      </c>
      <c r="W100" s="23">
        <v>10</v>
      </c>
      <c r="X100" s="23">
        <v>10</v>
      </c>
      <c r="Y100" s="23">
        <v>10</v>
      </c>
      <c r="Z100" s="23">
        <v>10</v>
      </c>
      <c r="AA100" s="23">
        <v>12</v>
      </c>
      <c r="AB100" s="23">
        <v>11</v>
      </c>
      <c r="AC100" s="23">
        <v>10</v>
      </c>
      <c r="AD100" s="23">
        <v>12</v>
      </c>
      <c r="AE100" s="23">
        <v>11</v>
      </c>
      <c r="AF100" s="23">
        <v>10</v>
      </c>
      <c r="AG100" s="23">
        <v>11</v>
      </c>
      <c r="AH100" s="23">
        <v>11</v>
      </c>
      <c r="AI100" s="22">
        <f t="shared" si="6"/>
        <v>301</v>
      </c>
      <c r="AJ100" s="2"/>
      <c r="AK100" s="14">
        <f t="shared" si="7"/>
        <v>0</v>
      </c>
      <c r="AL100" s="2" t="s">
        <v>458</v>
      </c>
    </row>
    <row r="101" spans="1:38" ht="19.899999999999999" customHeight="1" x14ac:dyDescent="0.25">
      <c r="A101" s="2">
        <v>99</v>
      </c>
      <c r="B101" s="28" t="s">
        <v>468</v>
      </c>
      <c r="C101" s="4" t="s">
        <v>419</v>
      </c>
      <c r="D101" s="2" t="s">
        <v>165</v>
      </c>
      <c r="E101" s="23">
        <v>13</v>
      </c>
      <c r="F101" s="23">
        <v>12</v>
      </c>
      <c r="G101" s="23">
        <v>12</v>
      </c>
      <c r="H101" s="23">
        <v>12</v>
      </c>
      <c r="I101" s="23">
        <v>12</v>
      </c>
      <c r="J101" s="23">
        <v>12</v>
      </c>
      <c r="K101" s="23" t="s">
        <v>10</v>
      </c>
      <c r="L101" s="23">
        <v>10</v>
      </c>
      <c r="M101" s="23">
        <v>12</v>
      </c>
      <c r="N101" s="23">
        <v>10</v>
      </c>
      <c r="O101" s="23">
        <v>10</v>
      </c>
      <c r="P101" s="23">
        <v>10</v>
      </c>
      <c r="Q101" s="23">
        <v>10</v>
      </c>
      <c r="R101" s="23" t="s">
        <v>10</v>
      </c>
      <c r="S101" s="23">
        <v>10</v>
      </c>
      <c r="T101" s="23">
        <v>10</v>
      </c>
      <c r="U101" s="23">
        <v>8</v>
      </c>
      <c r="V101" s="23">
        <v>10</v>
      </c>
      <c r="W101" s="23">
        <v>10</v>
      </c>
      <c r="X101" s="23">
        <v>10</v>
      </c>
      <c r="Y101" s="23" t="s">
        <v>10</v>
      </c>
      <c r="Z101" s="23">
        <v>10</v>
      </c>
      <c r="AA101" s="23">
        <v>10</v>
      </c>
      <c r="AB101" s="23">
        <v>10</v>
      </c>
      <c r="AC101" s="23">
        <v>10</v>
      </c>
      <c r="AD101" s="23">
        <v>12</v>
      </c>
      <c r="AE101" s="23">
        <v>11</v>
      </c>
      <c r="AF101" s="23">
        <v>10</v>
      </c>
      <c r="AG101" s="23">
        <v>11</v>
      </c>
      <c r="AH101" s="23">
        <v>11</v>
      </c>
      <c r="AI101" s="22">
        <f t="shared" si="6"/>
        <v>288</v>
      </c>
      <c r="AJ101" s="2"/>
      <c r="AK101" s="14">
        <f t="shared" si="7"/>
        <v>0</v>
      </c>
      <c r="AL101" s="2" t="s">
        <v>458</v>
      </c>
    </row>
    <row r="102" spans="1:38" ht="19.899999999999999" customHeight="1" x14ac:dyDescent="0.25">
      <c r="A102" s="2">
        <v>100</v>
      </c>
      <c r="B102" s="28" t="s">
        <v>469</v>
      </c>
      <c r="C102" s="4" t="s">
        <v>420</v>
      </c>
      <c r="D102" s="2" t="s">
        <v>165</v>
      </c>
      <c r="E102" s="23">
        <v>13</v>
      </c>
      <c r="F102" s="23">
        <v>12</v>
      </c>
      <c r="G102" s="23">
        <v>12</v>
      </c>
      <c r="H102" s="23">
        <v>12</v>
      </c>
      <c r="I102" s="23">
        <v>12</v>
      </c>
      <c r="J102" s="23">
        <v>12</v>
      </c>
      <c r="K102" s="23" t="s">
        <v>10</v>
      </c>
      <c r="L102" s="23">
        <v>10</v>
      </c>
      <c r="M102" s="23">
        <v>12</v>
      </c>
      <c r="N102" s="23">
        <v>10</v>
      </c>
      <c r="O102" s="23">
        <v>10</v>
      </c>
      <c r="P102" s="23">
        <v>10</v>
      </c>
      <c r="Q102" s="23">
        <v>10</v>
      </c>
      <c r="R102" s="23" t="s">
        <v>10</v>
      </c>
      <c r="S102" s="23">
        <v>10</v>
      </c>
      <c r="T102" s="23">
        <v>10</v>
      </c>
      <c r="U102" s="23">
        <v>8</v>
      </c>
      <c r="V102" s="23">
        <v>10</v>
      </c>
      <c r="W102" s="23">
        <v>10</v>
      </c>
      <c r="X102" s="23">
        <v>10</v>
      </c>
      <c r="Y102" s="23" t="s">
        <v>10</v>
      </c>
      <c r="Z102" s="23">
        <v>10</v>
      </c>
      <c r="AA102" s="23">
        <v>10</v>
      </c>
      <c r="AB102" s="23">
        <v>10</v>
      </c>
      <c r="AC102" s="23">
        <v>10</v>
      </c>
      <c r="AD102" s="23">
        <v>12</v>
      </c>
      <c r="AE102" s="23">
        <v>11</v>
      </c>
      <c r="AF102" s="23">
        <v>10</v>
      </c>
      <c r="AG102" s="23">
        <v>11</v>
      </c>
      <c r="AH102" s="23">
        <v>11</v>
      </c>
      <c r="AI102" s="22">
        <f t="shared" si="6"/>
        <v>288</v>
      </c>
      <c r="AJ102" s="2"/>
      <c r="AK102" s="14">
        <f t="shared" si="7"/>
        <v>0</v>
      </c>
      <c r="AL102" s="2" t="s">
        <v>458</v>
      </c>
    </row>
    <row r="103" spans="1:38" ht="19.899999999999999" customHeight="1" x14ac:dyDescent="0.25">
      <c r="A103" s="2">
        <v>101</v>
      </c>
      <c r="B103" s="25" t="s">
        <v>470</v>
      </c>
      <c r="C103" s="4" t="s">
        <v>421</v>
      </c>
      <c r="D103" s="2" t="s">
        <v>165</v>
      </c>
      <c r="E103" s="23">
        <v>11</v>
      </c>
      <c r="F103" s="23">
        <v>11</v>
      </c>
      <c r="G103" s="23">
        <v>11</v>
      </c>
      <c r="H103" s="23">
        <v>11</v>
      </c>
      <c r="I103" s="23">
        <v>11</v>
      </c>
      <c r="J103" s="23">
        <v>11</v>
      </c>
      <c r="K103" s="23" t="s">
        <v>10</v>
      </c>
      <c r="L103" s="23">
        <v>11</v>
      </c>
      <c r="M103" s="23">
        <v>11</v>
      </c>
      <c r="N103" s="23">
        <v>11</v>
      </c>
      <c r="O103" s="23">
        <v>11</v>
      </c>
      <c r="P103" s="23">
        <v>11</v>
      </c>
      <c r="Q103" s="23">
        <v>11</v>
      </c>
      <c r="R103" s="23" t="s">
        <v>10</v>
      </c>
      <c r="S103" s="23">
        <v>11</v>
      </c>
      <c r="T103" s="23">
        <v>11</v>
      </c>
      <c r="U103" s="23">
        <v>11</v>
      </c>
      <c r="V103" s="23">
        <v>11</v>
      </c>
      <c r="W103" s="23">
        <v>8</v>
      </c>
      <c r="X103" s="23">
        <v>11</v>
      </c>
      <c r="Y103" s="23" t="s">
        <v>10</v>
      </c>
      <c r="Z103" s="23">
        <v>11</v>
      </c>
      <c r="AA103" s="23">
        <v>11</v>
      </c>
      <c r="AB103" s="23">
        <v>11</v>
      </c>
      <c r="AC103" s="23">
        <v>11</v>
      </c>
      <c r="AD103" s="23">
        <v>11</v>
      </c>
      <c r="AE103" s="23">
        <v>11</v>
      </c>
      <c r="AF103" s="23" t="s">
        <v>10</v>
      </c>
      <c r="AG103" s="23">
        <v>11</v>
      </c>
      <c r="AH103" s="23">
        <v>11</v>
      </c>
      <c r="AI103" s="22">
        <f t="shared" si="6"/>
        <v>283</v>
      </c>
      <c r="AJ103" s="2"/>
      <c r="AK103" s="14">
        <f t="shared" si="7"/>
        <v>0</v>
      </c>
      <c r="AL103" s="2" t="s">
        <v>284</v>
      </c>
    </row>
    <row r="104" spans="1:38" ht="19.899999999999999" customHeight="1" x14ac:dyDescent="0.25">
      <c r="A104" s="2">
        <v>102</v>
      </c>
      <c r="B104" s="25" t="s">
        <v>471</v>
      </c>
      <c r="C104" s="4" t="s">
        <v>422</v>
      </c>
      <c r="D104" s="2" t="s">
        <v>165</v>
      </c>
      <c r="E104" s="23">
        <v>11</v>
      </c>
      <c r="F104" s="23">
        <v>11</v>
      </c>
      <c r="G104" s="23">
        <v>11</v>
      </c>
      <c r="H104" s="23">
        <v>11</v>
      </c>
      <c r="I104" s="23">
        <v>11</v>
      </c>
      <c r="J104" s="23">
        <v>11</v>
      </c>
      <c r="K104" s="23" t="s">
        <v>10</v>
      </c>
      <c r="L104" s="23">
        <v>11</v>
      </c>
      <c r="M104" s="23">
        <v>11</v>
      </c>
      <c r="N104" s="23">
        <v>11</v>
      </c>
      <c r="O104" s="23">
        <v>11</v>
      </c>
      <c r="P104" s="23">
        <v>11</v>
      </c>
      <c r="Q104" s="23">
        <v>11</v>
      </c>
      <c r="R104" s="23">
        <v>11</v>
      </c>
      <c r="S104" s="23">
        <v>11</v>
      </c>
      <c r="T104" s="23">
        <v>11</v>
      </c>
      <c r="U104" s="23">
        <v>11</v>
      </c>
      <c r="V104" s="23">
        <v>11</v>
      </c>
      <c r="W104" s="23">
        <v>11</v>
      </c>
      <c r="X104" s="23">
        <v>11</v>
      </c>
      <c r="Y104" s="23" t="s">
        <v>10</v>
      </c>
      <c r="Z104" s="23">
        <v>11</v>
      </c>
      <c r="AA104" s="23">
        <v>11</v>
      </c>
      <c r="AB104" s="23">
        <v>11</v>
      </c>
      <c r="AC104" s="23">
        <v>11</v>
      </c>
      <c r="AD104" s="23">
        <v>11</v>
      </c>
      <c r="AE104" s="23">
        <v>11</v>
      </c>
      <c r="AF104" s="23" t="s">
        <v>10</v>
      </c>
      <c r="AG104" s="23">
        <v>11</v>
      </c>
      <c r="AH104" s="23">
        <v>11</v>
      </c>
      <c r="AI104" s="22">
        <f t="shared" si="6"/>
        <v>297</v>
      </c>
      <c r="AJ104" s="2"/>
      <c r="AK104" s="14">
        <f t="shared" si="7"/>
        <v>0</v>
      </c>
      <c r="AL104" s="2" t="s">
        <v>284</v>
      </c>
    </row>
    <row r="105" spans="1:38" ht="19.899999999999999" customHeight="1" x14ac:dyDescent="0.25">
      <c r="A105" s="2">
        <v>103</v>
      </c>
      <c r="B105" s="28" t="s">
        <v>466</v>
      </c>
      <c r="C105" s="4" t="s">
        <v>459</v>
      </c>
      <c r="D105" s="2" t="s">
        <v>165</v>
      </c>
      <c r="E105" s="23">
        <v>11</v>
      </c>
      <c r="F105" s="23">
        <v>11</v>
      </c>
      <c r="G105" s="23">
        <v>11</v>
      </c>
      <c r="H105" s="23">
        <v>11</v>
      </c>
      <c r="I105" s="23">
        <v>11</v>
      </c>
      <c r="J105" s="23">
        <v>11</v>
      </c>
      <c r="K105" s="23" t="s">
        <v>10</v>
      </c>
      <c r="L105" s="23">
        <v>11</v>
      </c>
      <c r="M105" s="23">
        <v>11</v>
      </c>
      <c r="N105" s="23">
        <v>11</v>
      </c>
      <c r="O105" s="23">
        <v>11</v>
      </c>
      <c r="P105" s="23">
        <v>11</v>
      </c>
      <c r="Q105" s="23">
        <v>11</v>
      </c>
      <c r="R105" s="23" t="s">
        <v>10</v>
      </c>
      <c r="S105" s="23">
        <v>11</v>
      </c>
      <c r="T105" s="23">
        <v>11</v>
      </c>
      <c r="U105" s="23">
        <v>11</v>
      </c>
      <c r="V105" s="23">
        <v>11</v>
      </c>
      <c r="W105" s="23">
        <v>11</v>
      </c>
      <c r="X105" s="23">
        <v>11</v>
      </c>
      <c r="Y105" s="23" t="s">
        <v>10</v>
      </c>
      <c r="Z105" s="23" t="s">
        <v>32</v>
      </c>
      <c r="AA105" s="23">
        <v>11</v>
      </c>
      <c r="AB105" s="23">
        <v>11</v>
      </c>
      <c r="AC105" s="23">
        <v>11</v>
      </c>
      <c r="AD105" s="23">
        <v>11</v>
      </c>
      <c r="AE105" s="23">
        <v>11</v>
      </c>
      <c r="AF105" s="23" t="s">
        <v>10</v>
      </c>
      <c r="AG105" s="23">
        <v>11</v>
      </c>
      <c r="AH105" s="23">
        <v>11</v>
      </c>
      <c r="AI105" s="22">
        <f t="shared" si="6"/>
        <v>275</v>
      </c>
      <c r="AJ105" s="2"/>
      <c r="AK105" s="14">
        <f t="shared" si="7"/>
        <v>0</v>
      </c>
      <c r="AL105" s="2" t="s">
        <v>284</v>
      </c>
    </row>
    <row r="106" spans="1:38" ht="19.899999999999999" customHeight="1" x14ac:dyDescent="0.25">
      <c r="A106" s="2">
        <v>104</v>
      </c>
      <c r="B106" s="28" t="s">
        <v>472</v>
      </c>
      <c r="C106" s="4" t="s">
        <v>460</v>
      </c>
      <c r="D106" s="2" t="s">
        <v>165</v>
      </c>
      <c r="E106" s="23">
        <v>11</v>
      </c>
      <c r="F106" s="23">
        <v>11</v>
      </c>
      <c r="G106" s="23" t="s">
        <v>32</v>
      </c>
      <c r="H106" s="23">
        <v>11</v>
      </c>
      <c r="I106" s="23">
        <v>11</v>
      </c>
      <c r="J106" s="23">
        <v>11</v>
      </c>
      <c r="K106" s="23" t="s">
        <v>10</v>
      </c>
      <c r="L106" s="23">
        <v>11</v>
      </c>
      <c r="M106" s="23">
        <v>11</v>
      </c>
      <c r="N106" s="23">
        <v>11</v>
      </c>
      <c r="O106" s="23">
        <v>11</v>
      </c>
      <c r="P106" s="23">
        <v>11</v>
      </c>
      <c r="Q106" s="23">
        <v>11</v>
      </c>
      <c r="R106" s="23">
        <v>11</v>
      </c>
      <c r="S106" s="23">
        <v>11</v>
      </c>
      <c r="T106" s="23">
        <v>11</v>
      </c>
      <c r="U106" s="23">
        <v>11</v>
      </c>
      <c r="V106" s="23">
        <v>11</v>
      </c>
      <c r="W106" s="23">
        <v>11</v>
      </c>
      <c r="X106" s="23">
        <v>11</v>
      </c>
      <c r="Y106" s="23" t="s">
        <v>10</v>
      </c>
      <c r="Z106" s="23">
        <v>11</v>
      </c>
      <c r="AA106" s="23">
        <v>11</v>
      </c>
      <c r="AB106" s="23">
        <v>11</v>
      </c>
      <c r="AC106" s="23">
        <v>11</v>
      </c>
      <c r="AD106" s="23">
        <v>11</v>
      </c>
      <c r="AE106" s="23">
        <v>11</v>
      </c>
      <c r="AF106" s="23" t="s">
        <v>10</v>
      </c>
      <c r="AG106" s="23">
        <v>11</v>
      </c>
      <c r="AH106" s="23">
        <v>11</v>
      </c>
      <c r="AI106" s="22">
        <f t="shared" si="6"/>
        <v>286</v>
      </c>
      <c r="AJ106" s="2"/>
      <c r="AK106" s="14">
        <f t="shared" si="7"/>
        <v>0</v>
      </c>
      <c r="AL106" s="2" t="s">
        <v>284</v>
      </c>
    </row>
    <row r="107" spans="1:38" ht="19.899999999999999" customHeight="1" x14ac:dyDescent="0.25">
      <c r="A107" s="2">
        <v>105</v>
      </c>
      <c r="B107" s="25" t="s">
        <v>473</v>
      </c>
      <c r="C107" s="4" t="s">
        <v>461</v>
      </c>
      <c r="D107" s="2" t="s">
        <v>165</v>
      </c>
      <c r="E107" s="23">
        <v>11</v>
      </c>
      <c r="F107" s="23">
        <v>11</v>
      </c>
      <c r="G107" s="23">
        <v>11</v>
      </c>
      <c r="H107" s="23">
        <v>11</v>
      </c>
      <c r="I107" s="23">
        <v>11</v>
      </c>
      <c r="J107" s="23">
        <v>11</v>
      </c>
      <c r="K107" s="23" t="s">
        <v>10</v>
      </c>
      <c r="L107" s="23">
        <v>11</v>
      </c>
      <c r="M107" s="23">
        <v>11</v>
      </c>
      <c r="N107" s="23">
        <v>11</v>
      </c>
      <c r="O107" s="23">
        <v>11</v>
      </c>
      <c r="P107" s="23">
        <v>11</v>
      </c>
      <c r="Q107" s="23">
        <v>11</v>
      </c>
      <c r="R107" s="23" t="s">
        <v>10</v>
      </c>
      <c r="S107" s="23">
        <v>11</v>
      </c>
      <c r="T107" s="23">
        <v>11</v>
      </c>
      <c r="U107" s="23">
        <v>11</v>
      </c>
      <c r="V107" s="23">
        <v>11</v>
      </c>
      <c r="W107" s="23">
        <v>11</v>
      </c>
      <c r="X107" s="23">
        <v>11</v>
      </c>
      <c r="Y107" s="23" t="s">
        <v>10</v>
      </c>
      <c r="Z107" s="23">
        <v>11</v>
      </c>
      <c r="AA107" s="23">
        <v>11</v>
      </c>
      <c r="AB107" s="23">
        <v>11</v>
      </c>
      <c r="AC107" s="23">
        <v>11</v>
      </c>
      <c r="AD107" s="23">
        <v>11</v>
      </c>
      <c r="AE107" s="23">
        <v>11</v>
      </c>
      <c r="AF107" s="23">
        <v>11</v>
      </c>
      <c r="AG107" s="23">
        <v>11</v>
      </c>
      <c r="AH107" s="23">
        <v>11</v>
      </c>
      <c r="AI107" s="22">
        <f t="shared" si="6"/>
        <v>297</v>
      </c>
      <c r="AJ107" s="2"/>
      <c r="AK107" s="14">
        <f t="shared" si="7"/>
        <v>0</v>
      </c>
      <c r="AL107" s="2" t="s">
        <v>284</v>
      </c>
    </row>
    <row r="108" spans="1:38" ht="19.899999999999999" customHeight="1" x14ac:dyDescent="0.25">
      <c r="A108" s="2">
        <v>106</v>
      </c>
      <c r="B108" s="25" t="s">
        <v>453</v>
      </c>
      <c r="C108" s="4" t="s">
        <v>457</v>
      </c>
      <c r="D108" s="2" t="s">
        <v>165</v>
      </c>
      <c r="E108" s="23">
        <v>13</v>
      </c>
      <c r="F108" s="23">
        <v>12</v>
      </c>
      <c r="G108" s="23">
        <v>12</v>
      </c>
      <c r="H108" s="23">
        <v>12</v>
      </c>
      <c r="I108" s="23">
        <v>12</v>
      </c>
      <c r="J108" s="23">
        <v>12</v>
      </c>
      <c r="K108" s="23" t="s">
        <v>10</v>
      </c>
      <c r="L108" s="23">
        <v>10</v>
      </c>
      <c r="M108" s="23">
        <v>12</v>
      </c>
      <c r="N108" s="23">
        <v>10</v>
      </c>
      <c r="O108" s="23">
        <v>10</v>
      </c>
      <c r="P108" s="23">
        <v>10</v>
      </c>
      <c r="Q108" s="23">
        <v>10</v>
      </c>
      <c r="R108" s="23" t="s">
        <v>10</v>
      </c>
      <c r="S108" s="23">
        <v>10</v>
      </c>
      <c r="T108" s="23">
        <v>10</v>
      </c>
      <c r="U108" s="23">
        <v>8</v>
      </c>
      <c r="V108" s="23">
        <v>10</v>
      </c>
      <c r="W108" s="23">
        <v>10</v>
      </c>
      <c r="X108" s="23">
        <v>10</v>
      </c>
      <c r="Y108" s="23">
        <v>10</v>
      </c>
      <c r="Z108" s="23">
        <v>10</v>
      </c>
      <c r="AA108" s="23">
        <v>10</v>
      </c>
      <c r="AB108" s="23">
        <v>10</v>
      </c>
      <c r="AC108" s="23">
        <v>10</v>
      </c>
      <c r="AD108" s="23">
        <v>12</v>
      </c>
      <c r="AE108" s="23">
        <v>11</v>
      </c>
      <c r="AF108" s="23">
        <v>10</v>
      </c>
      <c r="AG108" s="23">
        <v>11</v>
      </c>
      <c r="AH108" s="23">
        <v>11</v>
      </c>
      <c r="AI108" s="22">
        <f t="shared" si="6"/>
        <v>298</v>
      </c>
      <c r="AJ108" s="2"/>
      <c r="AK108" s="14">
        <f t="shared" si="7"/>
        <v>0</v>
      </c>
      <c r="AL108" s="2" t="s">
        <v>458</v>
      </c>
    </row>
    <row r="109" spans="1:38" ht="19.899999999999999" customHeight="1" x14ac:dyDescent="0.25">
      <c r="A109" s="2">
        <v>107</v>
      </c>
      <c r="B109" s="25" t="s">
        <v>474</v>
      </c>
      <c r="C109" s="4" t="s">
        <v>462</v>
      </c>
      <c r="D109" s="2" t="s">
        <v>165</v>
      </c>
      <c r="E109" s="23">
        <v>11</v>
      </c>
      <c r="F109" s="23">
        <v>11</v>
      </c>
      <c r="G109" s="23">
        <v>11</v>
      </c>
      <c r="H109" s="23">
        <v>11</v>
      </c>
      <c r="I109" s="23">
        <v>11</v>
      </c>
      <c r="J109" s="23">
        <v>11</v>
      </c>
      <c r="K109" s="23" t="s">
        <v>10</v>
      </c>
      <c r="L109" s="23">
        <v>11</v>
      </c>
      <c r="M109" s="23">
        <v>11</v>
      </c>
      <c r="N109" s="23">
        <v>11</v>
      </c>
      <c r="O109" s="23">
        <v>11</v>
      </c>
      <c r="P109" s="23">
        <v>11</v>
      </c>
      <c r="Q109" s="23">
        <v>11</v>
      </c>
      <c r="R109" s="23" t="s">
        <v>10</v>
      </c>
      <c r="S109" s="23">
        <v>11</v>
      </c>
      <c r="T109" s="23">
        <v>11</v>
      </c>
      <c r="U109" s="23">
        <v>11</v>
      </c>
      <c r="V109" s="23">
        <v>11</v>
      </c>
      <c r="W109" s="23">
        <v>11</v>
      </c>
      <c r="X109" s="23">
        <v>11</v>
      </c>
      <c r="Y109" s="23" t="s">
        <v>10</v>
      </c>
      <c r="Z109" s="23">
        <v>11</v>
      </c>
      <c r="AA109" s="23">
        <v>11</v>
      </c>
      <c r="AB109" s="23">
        <v>11</v>
      </c>
      <c r="AC109" s="23">
        <v>11</v>
      </c>
      <c r="AD109" s="23">
        <v>11</v>
      </c>
      <c r="AE109" s="23">
        <v>11</v>
      </c>
      <c r="AF109" s="23" t="s">
        <v>10</v>
      </c>
      <c r="AG109" s="23">
        <v>11</v>
      </c>
      <c r="AH109" s="23">
        <v>11</v>
      </c>
      <c r="AI109" s="22">
        <f t="shared" si="6"/>
        <v>286</v>
      </c>
      <c r="AJ109" s="2"/>
      <c r="AK109" s="14">
        <f t="shared" si="7"/>
        <v>0</v>
      </c>
      <c r="AL109" s="2" t="s">
        <v>284</v>
      </c>
    </row>
    <row r="110" spans="1:38" ht="19.899999999999999" customHeight="1" x14ac:dyDescent="0.25">
      <c r="A110" s="2">
        <v>108</v>
      </c>
      <c r="B110" s="25" t="s">
        <v>450</v>
      </c>
      <c r="C110" s="4" t="s">
        <v>496</v>
      </c>
      <c r="D110" s="2" t="s">
        <v>165</v>
      </c>
      <c r="E110" s="23"/>
      <c r="F110" s="23">
        <v>10</v>
      </c>
      <c r="G110" s="23">
        <v>10</v>
      </c>
      <c r="H110" s="23">
        <v>10</v>
      </c>
      <c r="I110" s="23" t="s">
        <v>515</v>
      </c>
      <c r="J110" s="23">
        <v>10</v>
      </c>
      <c r="K110" s="23" t="s">
        <v>10</v>
      </c>
      <c r="L110" s="23">
        <v>10</v>
      </c>
      <c r="M110" s="23">
        <v>10</v>
      </c>
      <c r="N110" s="23">
        <v>10</v>
      </c>
      <c r="O110" s="23">
        <v>10</v>
      </c>
      <c r="P110" s="23">
        <v>10</v>
      </c>
      <c r="Q110" s="23">
        <v>10</v>
      </c>
      <c r="R110" s="23" t="s">
        <v>10</v>
      </c>
      <c r="S110" s="23">
        <v>10</v>
      </c>
      <c r="T110" s="23">
        <v>10</v>
      </c>
      <c r="U110" s="23">
        <v>10</v>
      </c>
      <c r="V110" s="23">
        <v>10</v>
      </c>
      <c r="W110" s="23">
        <v>10</v>
      </c>
      <c r="X110" s="23">
        <v>10</v>
      </c>
      <c r="Y110" s="23" t="s">
        <v>10</v>
      </c>
      <c r="Z110" s="23">
        <v>10</v>
      </c>
      <c r="AA110" s="23">
        <v>10</v>
      </c>
      <c r="AB110" s="23">
        <v>10</v>
      </c>
      <c r="AC110" s="23">
        <v>10</v>
      </c>
      <c r="AD110" s="23">
        <v>10</v>
      </c>
      <c r="AE110" s="23">
        <v>10</v>
      </c>
      <c r="AF110" s="23" t="s">
        <v>10</v>
      </c>
      <c r="AG110" s="23"/>
      <c r="AH110" s="23">
        <v>10</v>
      </c>
      <c r="AI110" s="22">
        <f t="shared" si="6"/>
        <v>230</v>
      </c>
      <c r="AJ110" s="2"/>
      <c r="AK110" s="14">
        <f t="shared" si="7"/>
        <v>0</v>
      </c>
      <c r="AL110" s="2" t="s">
        <v>241</v>
      </c>
    </row>
    <row r="111" spans="1:38" ht="19.899999999999999" customHeight="1" x14ac:dyDescent="0.25">
      <c r="A111" s="2">
        <v>109</v>
      </c>
      <c r="B111" s="25" t="s">
        <v>465</v>
      </c>
      <c r="C111" s="4" t="s">
        <v>451</v>
      </c>
      <c r="D111" s="2" t="s">
        <v>165</v>
      </c>
      <c r="E111" s="23">
        <v>10</v>
      </c>
      <c r="F111" s="23">
        <v>10</v>
      </c>
      <c r="G111" s="23">
        <v>10</v>
      </c>
      <c r="H111" s="23">
        <v>10</v>
      </c>
      <c r="I111" s="23">
        <v>10</v>
      </c>
      <c r="J111" s="23">
        <v>10</v>
      </c>
      <c r="K111" s="23">
        <v>11</v>
      </c>
      <c r="L111" s="23">
        <v>10</v>
      </c>
      <c r="M111" s="23">
        <v>10</v>
      </c>
      <c r="N111" s="23">
        <v>10</v>
      </c>
      <c r="O111" s="23">
        <v>10</v>
      </c>
      <c r="P111" s="23">
        <v>10</v>
      </c>
      <c r="Q111" s="23">
        <v>10</v>
      </c>
      <c r="R111" s="23">
        <v>11</v>
      </c>
      <c r="S111" s="23">
        <v>10</v>
      </c>
      <c r="T111" s="23">
        <v>10</v>
      </c>
      <c r="U111" s="23">
        <v>10</v>
      </c>
      <c r="V111" s="23">
        <v>10</v>
      </c>
      <c r="W111" s="23">
        <v>10</v>
      </c>
      <c r="X111" s="23">
        <v>10</v>
      </c>
      <c r="Y111" s="23" t="s">
        <v>10</v>
      </c>
      <c r="Z111" s="23">
        <v>10</v>
      </c>
      <c r="AA111" s="23">
        <v>10</v>
      </c>
      <c r="AB111" s="23">
        <v>10</v>
      </c>
      <c r="AC111" s="23">
        <v>10</v>
      </c>
      <c r="AD111" s="23">
        <v>10</v>
      </c>
      <c r="AE111" s="23">
        <v>10</v>
      </c>
      <c r="AF111" s="23">
        <v>10</v>
      </c>
      <c r="AG111" s="23">
        <v>10</v>
      </c>
      <c r="AH111" s="23">
        <v>10</v>
      </c>
      <c r="AI111" s="22">
        <f t="shared" si="6"/>
        <v>292</v>
      </c>
      <c r="AJ111" s="21"/>
      <c r="AK111" s="14">
        <f t="shared" si="7"/>
        <v>0</v>
      </c>
      <c r="AL111" s="2" t="s">
        <v>367</v>
      </c>
    </row>
    <row r="112" spans="1:38" ht="19.899999999999999" customHeight="1" x14ac:dyDescent="0.25">
      <c r="A112" s="2">
        <v>110</v>
      </c>
      <c r="B112" s="28" t="s">
        <v>452</v>
      </c>
      <c r="C112" s="4" t="s">
        <v>560</v>
      </c>
      <c r="D112" s="2" t="s">
        <v>165</v>
      </c>
      <c r="E112" s="23">
        <v>10</v>
      </c>
      <c r="F112" s="23">
        <v>10</v>
      </c>
      <c r="G112" s="23">
        <v>10</v>
      </c>
      <c r="H112" s="23">
        <v>10</v>
      </c>
      <c r="I112" s="23" t="s">
        <v>515</v>
      </c>
      <c r="J112" s="23">
        <v>10</v>
      </c>
      <c r="K112" s="23" t="s">
        <v>10</v>
      </c>
      <c r="L112" s="23">
        <v>10</v>
      </c>
      <c r="M112" s="23">
        <v>10</v>
      </c>
      <c r="N112" s="23">
        <v>10</v>
      </c>
      <c r="O112" s="23">
        <v>10</v>
      </c>
      <c r="P112" s="23">
        <v>10</v>
      </c>
      <c r="Q112" s="23">
        <v>10</v>
      </c>
      <c r="R112" s="23" t="s">
        <v>10</v>
      </c>
      <c r="S112" s="23">
        <v>10</v>
      </c>
      <c r="T112" s="23">
        <v>10</v>
      </c>
      <c r="U112" s="23">
        <v>10</v>
      </c>
      <c r="V112" s="23">
        <v>10</v>
      </c>
      <c r="W112" s="23">
        <v>10</v>
      </c>
      <c r="X112" s="23">
        <v>10</v>
      </c>
      <c r="Y112" s="23" t="s">
        <v>10</v>
      </c>
      <c r="Z112" s="23">
        <v>10</v>
      </c>
      <c r="AA112" s="23">
        <v>10.5</v>
      </c>
      <c r="AB112" s="23">
        <v>10.5</v>
      </c>
      <c r="AC112" s="23">
        <v>10.5</v>
      </c>
      <c r="AD112" s="23">
        <v>10.5</v>
      </c>
      <c r="AE112" s="23">
        <v>10.5</v>
      </c>
      <c r="AF112" s="23" t="s">
        <v>10</v>
      </c>
      <c r="AG112" s="23">
        <v>10.5</v>
      </c>
      <c r="AH112" s="23">
        <v>10.5</v>
      </c>
      <c r="AI112" s="22">
        <f t="shared" si="6"/>
        <v>253.5</v>
      </c>
      <c r="AJ112" s="2"/>
      <c r="AK112" s="14">
        <f t="shared" si="7"/>
        <v>0</v>
      </c>
      <c r="AL112" s="2" t="s">
        <v>565</v>
      </c>
    </row>
    <row r="113" spans="1:38" ht="19.899999999999999" customHeight="1" x14ac:dyDescent="0.25">
      <c r="A113" s="2">
        <v>111</v>
      </c>
      <c r="B113" s="25" t="s">
        <v>454</v>
      </c>
      <c r="C113" s="4" t="s">
        <v>497</v>
      </c>
      <c r="D113" s="2" t="s">
        <v>165</v>
      </c>
      <c r="E113" s="23">
        <v>10</v>
      </c>
      <c r="F113" s="23">
        <v>10</v>
      </c>
      <c r="G113" s="23">
        <v>10</v>
      </c>
      <c r="H113" s="23">
        <v>10</v>
      </c>
      <c r="I113" s="23" t="s">
        <v>515</v>
      </c>
      <c r="J113" s="23">
        <v>10</v>
      </c>
      <c r="K113" s="23" t="s">
        <v>10</v>
      </c>
      <c r="L113" s="23">
        <v>10</v>
      </c>
      <c r="M113" s="23">
        <v>10</v>
      </c>
      <c r="N113" s="23">
        <v>10</v>
      </c>
      <c r="O113" s="23">
        <v>10</v>
      </c>
      <c r="P113" s="23">
        <v>10</v>
      </c>
      <c r="Q113" s="23">
        <v>10</v>
      </c>
      <c r="R113" s="23" t="s">
        <v>10</v>
      </c>
      <c r="S113" s="23">
        <v>10</v>
      </c>
      <c r="T113" s="23">
        <v>10</v>
      </c>
      <c r="U113" s="23">
        <v>10</v>
      </c>
      <c r="V113" s="23">
        <v>10</v>
      </c>
      <c r="W113" s="23">
        <v>10</v>
      </c>
      <c r="X113" s="23">
        <v>10</v>
      </c>
      <c r="Y113" s="23" t="s">
        <v>10</v>
      </c>
      <c r="Z113" s="23">
        <v>10</v>
      </c>
      <c r="AA113" s="23">
        <v>10</v>
      </c>
      <c r="AB113" s="23">
        <v>10</v>
      </c>
      <c r="AC113" s="23">
        <v>10</v>
      </c>
      <c r="AD113" s="23">
        <v>10</v>
      </c>
      <c r="AE113" s="23">
        <v>10</v>
      </c>
      <c r="AF113" s="23" t="s">
        <v>10</v>
      </c>
      <c r="AG113" s="23">
        <v>10</v>
      </c>
      <c r="AH113" s="23">
        <v>10</v>
      </c>
      <c r="AI113" s="22">
        <f t="shared" si="6"/>
        <v>250</v>
      </c>
      <c r="AJ113" s="2"/>
      <c r="AK113" s="14">
        <f t="shared" si="7"/>
        <v>0</v>
      </c>
      <c r="AL113" s="2" t="s">
        <v>241</v>
      </c>
    </row>
    <row r="114" spans="1:38" ht="19.899999999999999" customHeight="1" x14ac:dyDescent="0.25">
      <c r="A114" s="2">
        <v>112</v>
      </c>
      <c r="B114" s="28" t="s">
        <v>509</v>
      </c>
      <c r="C114" s="4" t="s">
        <v>506</v>
      </c>
      <c r="D114" s="2" t="s">
        <v>165</v>
      </c>
      <c r="E114" s="23">
        <v>11</v>
      </c>
      <c r="F114" s="23">
        <v>11</v>
      </c>
      <c r="G114" s="23">
        <v>11</v>
      </c>
      <c r="H114" s="23">
        <v>11</v>
      </c>
      <c r="I114" s="23">
        <v>11</v>
      </c>
      <c r="J114" s="23">
        <v>11</v>
      </c>
      <c r="K114" s="23" t="s">
        <v>10</v>
      </c>
      <c r="L114" s="23">
        <v>11</v>
      </c>
      <c r="M114" s="23">
        <v>11</v>
      </c>
      <c r="N114" s="23">
        <v>11</v>
      </c>
      <c r="O114" s="23">
        <v>11</v>
      </c>
      <c r="P114" s="23">
        <v>11</v>
      </c>
      <c r="Q114" s="23">
        <v>11</v>
      </c>
      <c r="R114" s="23" t="s">
        <v>10</v>
      </c>
      <c r="S114" s="23">
        <v>11</v>
      </c>
      <c r="T114" s="23" t="s">
        <v>32</v>
      </c>
      <c r="U114" s="23">
        <v>11</v>
      </c>
      <c r="V114" s="23">
        <v>11</v>
      </c>
      <c r="W114" s="23">
        <v>11</v>
      </c>
      <c r="X114" s="23">
        <v>11</v>
      </c>
      <c r="Y114" s="23" t="s">
        <v>10</v>
      </c>
      <c r="Z114" s="23">
        <v>11</v>
      </c>
      <c r="AA114" s="23">
        <v>11</v>
      </c>
      <c r="AB114" s="23">
        <v>11</v>
      </c>
      <c r="AC114" s="23">
        <v>11</v>
      </c>
      <c r="AD114" s="23">
        <v>11</v>
      </c>
      <c r="AE114" s="23">
        <v>11</v>
      </c>
      <c r="AF114" s="23" t="s">
        <v>10</v>
      </c>
      <c r="AG114" s="23">
        <v>11</v>
      </c>
      <c r="AH114" s="23">
        <v>11</v>
      </c>
      <c r="AI114" s="22">
        <f t="shared" si="6"/>
        <v>275</v>
      </c>
      <c r="AJ114" s="2"/>
      <c r="AK114" s="14">
        <f t="shared" si="7"/>
        <v>0</v>
      </c>
      <c r="AL114" s="2" t="s">
        <v>284</v>
      </c>
    </row>
    <row r="115" spans="1:38" ht="19.899999999999999" customHeight="1" x14ac:dyDescent="0.25">
      <c r="A115" s="2">
        <v>113</v>
      </c>
      <c r="B115" s="28" t="s">
        <v>510</v>
      </c>
      <c r="C115" s="4" t="s">
        <v>498</v>
      </c>
      <c r="D115" s="2" t="s">
        <v>165</v>
      </c>
      <c r="E115" s="23">
        <v>10</v>
      </c>
      <c r="F115" s="23">
        <v>10</v>
      </c>
      <c r="G115" s="23">
        <v>10</v>
      </c>
      <c r="H115" s="23">
        <v>10</v>
      </c>
      <c r="I115" s="23" t="s">
        <v>515</v>
      </c>
      <c r="J115" s="23">
        <v>10</v>
      </c>
      <c r="K115" s="23" t="s">
        <v>10</v>
      </c>
      <c r="L115" s="23">
        <v>10</v>
      </c>
      <c r="M115" s="23">
        <v>10</v>
      </c>
      <c r="N115" s="23">
        <v>10</v>
      </c>
      <c r="O115" s="23">
        <v>10</v>
      </c>
      <c r="P115" s="23">
        <v>10</v>
      </c>
      <c r="Q115" s="23">
        <v>10</v>
      </c>
      <c r="R115" s="23" t="s">
        <v>10</v>
      </c>
      <c r="S115" s="23">
        <v>10</v>
      </c>
      <c r="T115" s="23">
        <v>10</v>
      </c>
      <c r="U115" s="23">
        <v>10</v>
      </c>
      <c r="V115" s="23">
        <v>10</v>
      </c>
      <c r="W115" s="23">
        <v>10</v>
      </c>
      <c r="X115" s="23">
        <v>10</v>
      </c>
      <c r="Y115" s="23" t="s">
        <v>10</v>
      </c>
      <c r="Z115" s="23">
        <v>10</v>
      </c>
      <c r="AA115" s="23">
        <v>10</v>
      </c>
      <c r="AB115" s="23">
        <v>10</v>
      </c>
      <c r="AC115" s="23">
        <v>10</v>
      </c>
      <c r="AD115" s="23">
        <v>10</v>
      </c>
      <c r="AE115" s="23">
        <v>10</v>
      </c>
      <c r="AF115" s="23" t="s">
        <v>10</v>
      </c>
      <c r="AG115" s="23">
        <v>10</v>
      </c>
      <c r="AH115" s="23">
        <v>10</v>
      </c>
      <c r="AI115" s="22">
        <f t="shared" si="6"/>
        <v>250</v>
      </c>
      <c r="AJ115" s="2"/>
      <c r="AK115" s="14">
        <f t="shared" si="7"/>
        <v>0</v>
      </c>
      <c r="AL115" s="2" t="s">
        <v>241</v>
      </c>
    </row>
    <row r="116" spans="1:38" ht="19.899999999999999" customHeight="1" x14ac:dyDescent="0.25">
      <c r="A116" s="2">
        <v>114</v>
      </c>
      <c r="B116" s="25" t="s">
        <v>549</v>
      </c>
      <c r="C116" s="4" t="s">
        <v>540</v>
      </c>
      <c r="D116" s="2" t="s">
        <v>165</v>
      </c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>
        <v>10</v>
      </c>
      <c r="AD116" s="23">
        <v>12</v>
      </c>
      <c r="AE116" s="23"/>
      <c r="AF116" s="23"/>
      <c r="AG116" s="23"/>
      <c r="AH116" s="23"/>
      <c r="AI116" s="22">
        <f>SUM(E116:AH116)</f>
        <v>22</v>
      </c>
      <c r="AJ116" s="2"/>
      <c r="AK116" s="14">
        <f>AI116*AJ116</f>
        <v>0</v>
      </c>
      <c r="AL116" s="2" t="s">
        <v>458</v>
      </c>
    </row>
    <row r="117" spans="1:38" ht="19.899999999999999" customHeight="1" x14ac:dyDescent="0.25">
      <c r="A117" s="2">
        <v>115</v>
      </c>
      <c r="B117" s="39" t="s">
        <v>507</v>
      </c>
      <c r="C117" s="27" t="s">
        <v>499</v>
      </c>
      <c r="D117" s="26" t="s">
        <v>84</v>
      </c>
      <c r="E117" s="23">
        <v>11</v>
      </c>
      <c r="F117" s="23">
        <v>11</v>
      </c>
      <c r="G117" s="23">
        <v>11</v>
      </c>
      <c r="H117" s="23">
        <v>11</v>
      </c>
      <c r="I117" s="23">
        <v>11</v>
      </c>
      <c r="J117" s="23">
        <v>11</v>
      </c>
      <c r="K117" s="23">
        <v>11</v>
      </c>
      <c r="L117" s="23">
        <v>11</v>
      </c>
      <c r="M117" s="23">
        <v>11</v>
      </c>
      <c r="N117" s="23" t="s">
        <v>32</v>
      </c>
      <c r="O117" s="23" t="s">
        <v>32</v>
      </c>
      <c r="P117" s="23">
        <v>11</v>
      </c>
      <c r="Q117" s="23">
        <v>11</v>
      </c>
      <c r="R117" s="23" t="s">
        <v>10</v>
      </c>
      <c r="S117" s="23" t="s">
        <v>32</v>
      </c>
      <c r="T117" s="23" t="s">
        <v>32</v>
      </c>
      <c r="U117" s="23">
        <v>11</v>
      </c>
      <c r="V117" s="23">
        <v>11</v>
      </c>
      <c r="W117" s="23">
        <v>11</v>
      </c>
      <c r="X117" s="23">
        <v>11</v>
      </c>
      <c r="Y117" s="23" t="s">
        <v>10</v>
      </c>
      <c r="Z117" s="23">
        <v>11</v>
      </c>
      <c r="AA117" s="23">
        <v>11</v>
      </c>
      <c r="AB117" s="23">
        <v>11</v>
      </c>
      <c r="AC117" s="23">
        <v>11</v>
      </c>
      <c r="AD117" s="23"/>
      <c r="AE117" s="23"/>
      <c r="AF117" s="23"/>
      <c r="AG117" s="23"/>
      <c r="AH117" s="23"/>
      <c r="AI117" s="22">
        <f>SUM(E117:AH117)</f>
        <v>209</v>
      </c>
      <c r="AJ117" s="2"/>
      <c r="AK117" s="14">
        <f>AI117*AJ117</f>
        <v>0</v>
      </c>
      <c r="AL117" s="2" t="s">
        <v>284</v>
      </c>
    </row>
    <row r="118" spans="1:38" ht="19.899999999999999" customHeight="1" x14ac:dyDescent="0.25">
      <c r="A118" s="2">
        <v>116</v>
      </c>
      <c r="B118" s="39" t="s">
        <v>508</v>
      </c>
      <c r="C118" s="27" t="s">
        <v>502</v>
      </c>
      <c r="D118" s="26" t="s">
        <v>84</v>
      </c>
      <c r="E118" s="23">
        <v>11</v>
      </c>
      <c r="F118" s="23">
        <v>11</v>
      </c>
      <c r="G118" s="23">
        <v>11</v>
      </c>
      <c r="H118" s="23">
        <v>11</v>
      </c>
      <c r="I118" s="23">
        <v>11</v>
      </c>
      <c r="J118" s="23">
        <v>11</v>
      </c>
      <c r="K118" s="23" t="s">
        <v>10</v>
      </c>
      <c r="L118" s="23">
        <v>11</v>
      </c>
      <c r="M118" s="23">
        <v>11</v>
      </c>
      <c r="N118" s="23">
        <v>11</v>
      </c>
      <c r="O118" s="23">
        <v>11</v>
      </c>
      <c r="P118" s="23">
        <v>11</v>
      </c>
      <c r="Q118" s="23">
        <v>11</v>
      </c>
      <c r="R118" s="23" t="s">
        <v>10</v>
      </c>
      <c r="S118" s="23">
        <v>11</v>
      </c>
      <c r="T118" s="23">
        <v>11</v>
      </c>
      <c r="U118" s="23">
        <v>11</v>
      </c>
      <c r="V118" s="23">
        <v>11</v>
      </c>
      <c r="W118" s="23">
        <v>11</v>
      </c>
      <c r="X118" s="23">
        <v>11</v>
      </c>
      <c r="Y118" s="23" t="s">
        <v>10</v>
      </c>
      <c r="Z118" s="23">
        <v>11</v>
      </c>
      <c r="AA118" s="23">
        <v>11</v>
      </c>
      <c r="AB118" s="23">
        <v>11</v>
      </c>
      <c r="AC118" s="23">
        <v>11</v>
      </c>
      <c r="AD118" s="23"/>
      <c r="AE118" s="23"/>
      <c r="AF118" s="23"/>
      <c r="AG118" s="23"/>
      <c r="AH118" s="23"/>
      <c r="AI118" s="22">
        <f>SUM(E118:AH118)</f>
        <v>242</v>
      </c>
      <c r="AJ118" s="2"/>
      <c r="AK118" s="14">
        <f>AI118*AJ118</f>
        <v>0</v>
      </c>
      <c r="AL118" s="2" t="s">
        <v>284</v>
      </c>
    </row>
    <row r="119" spans="1:38" ht="19.899999999999999" customHeight="1" x14ac:dyDescent="0.25">
      <c r="A119" s="2"/>
      <c r="B119" s="2"/>
      <c r="C119" s="4"/>
      <c r="D119" s="2"/>
      <c r="E119" s="23"/>
      <c r="F119" s="23"/>
      <c r="G119" s="13"/>
      <c r="H119" s="23"/>
      <c r="I119" s="13"/>
      <c r="J119" s="13"/>
      <c r="K119" s="13"/>
      <c r="L119" s="23"/>
      <c r="M119" s="23"/>
      <c r="N119" s="13"/>
      <c r="O119" s="23"/>
      <c r="P119" s="13"/>
      <c r="Q119" s="13"/>
      <c r="R119" s="13"/>
      <c r="S119" s="23"/>
      <c r="T119" s="23"/>
      <c r="U119" s="13"/>
      <c r="V119" s="23"/>
      <c r="W119" s="23"/>
      <c r="X119" s="13"/>
      <c r="Y119" s="13"/>
      <c r="Z119" s="13"/>
      <c r="AA119" s="23"/>
      <c r="AB119" s="23"/>
      <c r="AC119" s="23"/>
      <c r="AD119" s="13"/>
      <c r="AE119" s="23"/>
      <c r="AF119" s="13"/>
      <c r="AG119" s="13"/>
      <c r="AH119" s="13"/>
      <c r="AI119" s="5"/>
      <c r="AJ119" s="2"/>
      <c r="AK119" s="2"/>
      <c r="AL119" s="2"/>
    </row>
    <row r="120" spans="1:38" ht="18" customHeight="1" x14ac:dyDescent="0.25">
      <c r="AI120" s="11">
        <f>SUM(AI3:AI119)</f>
        <v>30587</v>
      </c>
      <c r="AK120" s="12">
        <f>SUM(AK3:AK119)</f>
        <v>0</v>
      </c>
    </row>
    <row r="123" spans="1:38" ht="18" customHeight="1" x14ac:dyDescent="0.25">
      <c r="C123" s="6"/>
    </row>
    <row r="124" spans="1:38" ht="18" customHeight="1" x14ac:dyDescent="0.25">
      <c r="C124" s="6"/>
      <c r="AI124" s="11"/>
      <c r="AK124" s="15"/>
    </row>
    <row r="125" spans="1:38" ht="18" customHeight="1" x14ac:dyDescent="0.25">
      <c r="C125" s="6"/>
    </row>
    <row r="126" spans="1:38" ht="18" customHeight="1" x14ac:dyDescent="0.25">
      <c r="C126" s="6"/>
    </row>
    <row r="127" spans="1:38" ht="18" customHeight="1" x14ac:dyDescent="0.25">
      <c r="C127" s="6"/>
    </row>
    <row r="128" spans="1:38" ht="18" customHeight="1" x14ac:dyDescent="0.25">
      <c r="C128" s="6"/>
    </row>
    <row r="129" spans="3:3" ht="18" customHeight="1" x14ac:dyDescent="0.25">
      <c r="C129" s="6"/>
    </row>
    <row r="130" spans="3:3" ht="18" customHeight="1" x14ac:dyDescent="0.25">
      <c r="C130" s="6"/>
    </row>
    <row r="131" spans="3:3" ht="18" customHeight="1" x14ac:dyDescent="0.25">
      <c r="C131" s="6"/>
    </row>
    <row r="132" spans="3:3" ht="18" customHeight="1" x14ac:dyDescent="0.25">
      <c r="C132" s="6"/>
    </row>
    <row r="133" spans="3:3" ht="18" customHeight="1" x14ac:dyDescent="0.25">
      <c r="C133" s="6"/>
    </row>
    <row r="134" spans="3:3" ht="18" customHeight="1" x14ac:dyDescent="0.25">
      <c r="C134" s="6"/>
    </row>
    <row r="135" spans="3:3" ht="18" customHeight="1" x14ac:dyDescent="0.25">
      <c r="C135" s="6"/>
    </row>
    <row r="136" spans="3:3" ht="18" customHeight="1" x14ac:dyDescent="0.25">
      <c r="C136" s="6"/>
    </row>
    <row r="137" spans="3:3" ht="18" customHeight="1" x14ac:dyDescent="0.25">
      <c r="C137" s="6"/>
    </row>
    <row r="138" spans="3:3" ht="18" customHeight="1" x14ac:dyDescent="0.25">
      <c r="C138" s="6"/>
    </row>
    <row r="139" spans="3:3" ht="18" customHeight="1" x14ac:dyDescent="0.25">
      <c r="C139" s="6"/>
    </row>
    <row r="140" spans="3:3" ht="18" customHeight="1" x14ac:dyDescent="0.25">
      <c r="C140" s="6"/>
    </row>
    <row r="141" spans="3:3" ht="18" customHeight="1" x14ac:dyDescent="0.25">
      <c r="C141" s="6"/>
    </row>
    <row r="142" spans="3:3" ht="18" customHeight="1" x14ac:dyDescent="0.25">
      <c r="C142" s="6"/>
    </row>
    <row r="143" spans="3:3" ht="18" customHeight="1" x14ac:dyDescent="0.25">
      <c r="C143" s="6"/>
    </row>
    <row r="144" spans="3:3" ht="18" customHeight="1" x14ac:dyDescent="0.25">
      <c r="C144" s="6"/>
    </row>
    <row r="145" spans="3:3" ht="18" customHeight="1" x14ac:dyDescent="0.25">
      <c r="C145" s="6"/>
    </row>
    <row r="146" spans="3:3" ht="18" customHeight="1" x14ac:dyDescent="0.25">
      <c r="C146" s="6"/>
    </row>
    <row r="147" spans="3:3" ht="18" customHeight="1" x14ac:dyDescent="0.25">
      <c r="C147" s="6"/>
    </row>
    <row r="148" spans="3:3" ht="18" customHeight="1" x14ac:dyDescent="0.25">
      <c r="C148" s="6"/>
    </row>
    <row r="149" spans="3:3" ht="18" customHeight="1" x14ac:dyDescent="0.25">
      <c r="C149" s="6"/>
    </row>
    <row r="150" spans="3:3" ht="18" customHeight="1" x14ac:dyDescent="0.25">
      <c r="C150" s="6"/>
    </row>
    <row r="151" spans="3:3" ht="18" customHeight="1" x14ac:dyDescent="0.25">
      <c r="C151" s="6"/>
    </row>
    <row r="152" spans="3:3" ht="18" customHeight="1" x14ac:dyDescent="0.25">
      <c r="C152" s="6"/>
    </row>
    <row r="153" spans="3:3" ht="18" customHeight="1" x14ac:dyDescent="0.25">
      <c r="C153" s="6"/>
    </row>
    <row r="154" spans="3:3" ht="18" customHeight="1" x14ac:dyDescent="0.25">
      <c r="C154" s="6"/>
    </row>
    <row r="155" spans="3:3" ht="18" customHeight="1" x14ac:dyDescent="0.25">
      <c r="C155" s="6"/>
    </row>
    <row r="156" spans="3:3" ht="18" customHeight="1" x14ac:dyDescent="0.25">
      <c r="C156" s="6"/>
    </row>
    <row r="157" spans="3:3" ht="18" customHeight="1" x14ac:dyDescent="0.25">
      <c r="C157" s="6"/>
    </row>
    <row r="158" spans="3:3" ht="18" customHeight="1" x14ac:dyDescent="0.25">
      <c r="C158" s="6"/>
    </row>
    <row r="159" spans="3:3" ht="18" customHeight="1" x14ac:dyDescent="0.25">
      <c r="C159" s="6"/>
    </row>
    <row r="160" spans="3:3" ht="18" customHeight="1" x14ac:dyDescent="0.25">
      <c r="C160" s="6"/>
    </row>
    <row r="161" spans="3:3" ht="18" customHeight="1" x14ac:dyDescent="0.25">
      <c r="C161" s="6"/>
    </row>
    <row r="162" spans="3:3" ht="18" customHeight="1" x14ac:dyDescent="0.25">
      <c r="C162" s="6"/>
    </row>
    <row r="163" spans="3:3" ht="18" customHeight="1" x14ac:dyDescent="0.25">
      <c r="C163" s="6"/>
    </row>
    <row r="164" spans="3:3" ht="18" customHeight="1" x14ac:dyDescent="0.25">
      <c r="C164" s="6"/>
    </row>
    <row r="165" spans="3:3" ht="18" customHeight="1" x14ac:dyDescent="0.25">
      <c r="C165" s="6"/>
    </row>
    <row r="166" spans="3:3" ht="18" customHeight="1" x14ac:dyDescent="0.25">
      <c r="C166" s="6"/>
    </row>
    <row r="167" spans="3:3" ht="18" customHeight="1" x14ac:dyDescent="0.25">
      <c r="C167" s="6"/>
    </row>
    <row r="168" spans="3:3" ht="18" customHeight="1" x14ac:dyDescent="0.25">
      <c r="C168" s="6"/>
    </row>
    <row r="169" spans="3:3" ht="18" customHeight="1" x14ac:dyDescent="0.25">
      <c r="C169" s="6"/>
    </row>
    <row r="170" spans="3:3" ht="18" customHeight="1" x14ac:dyDescent="0.25">
      <c r="C170" s="6"/>
    </row>
    <row r="171" spans="3:3" ht="18" customHeight="1" x14ac:dyDescent="0.25">
      <c r="C171" s="6"/>
    </row>
    <row r="172" spans="3:3" ht="18" customHeight="1" x14ac:dyDescent="0.25">
      <c r="C172" s="6"/>
    </row>
    <row r="173" spans="3:3" ht="18" customHeight="1" x14ac:dyDescent="0.25">
      <c r="C173" s="6"/>
    </row>
    <row r="174" spans="3:3" ht="18" customHeight="1" x14ac:dyDescent="0.25">
      <c r="C174" s="6"/>
    </row>
    <row r="175" spans="3:3" ht="18" customHeight="1" x14ac:dyDescent="0.25">
      <c r="C175" s="6"/>
    </row>
    <row r="176" spans="3:3" ht="18" customHeight="1" x14ac:dyDescent="0.25">
      <c r="C176" s="6"/>
    </row>
    <row r="177" spans="3:3" ht="18" customHeight="1" x14ac:dyDescent="0.25">
      <c r="C177" s="6"/>
    </row>
    <row r="178" spans="3:3" ht="18" customHeight="1" x14ac:dyDescent="0.25">
      <c r="C178" s="6"/>
    </row>
    <row r="179" spans="3:3" ht="18" customHeight="1" x14ac:dyDescent="0.25">
      <c r="C179" s="6"/>
    </row>
    <row r="180" spans="3:3" ht="18" customHeight="1" x14ac:dyDescent="0.25">
      <c r="C180" s="6"/>
    </row>
    <row r="181" spans="3:3" ht="18" customHeight="1" x14ac:dyDescent="0.25">
      <c r="C181" s="6"/>
    </row>
    <row r="182" spans="3:3" ht="18" customHeight="1" x14ac:dyDescent="0.25">
      <c r="C182" s="6"/>
    </row>
    <row r="183" spans="3:3" ht="18" customHeight="1" x14ac:dyDescent="0.25">
      <c r="C183" s="6"/>
    </row>
    <row r="184" spans="3:3" ht="18" customHeight="1" x14ac:dyDescent="0.25">
      <c r="C184" s="6"/>
    </row>
    <row r="185" spans="3:3" ht="18" customHeight="1" x14ac:dyDescent="0.25">
      <c r="C185" s="6"/>
    </row>
    <row r="186" spans="3:3" ht="18" customHeight="1" x14ac:dyDescent="0.25">
      <c r="C186" s="6"/>
    </row>
    <row r="187" spans="3:3" ht="18" customHeight="1" x14ac:dyDescent="0.25">
      <c r="C187" s="6"/>
    </row>
    <row r="188" spans="3:3" ht="18" customHeight="1" x14ac:dyDescent="0.25">
      <c r="C188" s="6"/>
    </row>
    <row r="189" spans="3:3" ht="18" customHeight="1" x14ac:dyDescent="0.25">
      <c r="C189" s="6"/>
    </row>
    <row r="190" spans="3:3" ht="18" customHeight="1" x14ac:dyDescent="0.25">
      <c r="C190" s="6"/>
    </row>
    <row r="191" spans="3:3" ht="18" customHeight="1" x14ac:dyDescent="0.25">
      <c r="C191" s="6"/>
    </row>
    <row r="192" spans="3:3" ht="18" customHeight="1" x14ac:dyDescent="0.25">
      <c r="C192" s="6"/>
    </row>
    <row r="193" spans="3:3" ht="18" customHeight="1" x14ac:dyDescent="0.25">
      <c r="C193" s="6"/>
    </row>
    <row r="194" spans="3:3" ht="18" customHeight="1" x14ac:dyDescent="0.25">
      <c r="C194" s="6"/>
    </row>
    <row r="195" spans="3:3" ht="18" customHeight="1" x14ac:dyDescent="0.25">
      <c r="C195" s="6"/>
    </row>
    <row r="196" spans="3:3" ht="18" customHeight="1" x14ac:dyDescent="0.25">
      <c r="C196" s="6"/>
    </row>
    <row r="197" spans="3:3" ht="18" customHeight="1" x14ac:dyDescent="0.25">
      <c r="C197" s="6"/>
    </row>
    <row r="198" spans="3:3" ht="18" customHeight="1" x14ac:dyDescent="0.25">
      <c r="C198" s="6"/>
    </row>
    <row r="199" spans="3:3" ht="18" customHeight="1" x14ac:dyDescent="0.25">
      <c r="C199" s="6"/>
    </row>
    <row r="200" spans="3:3" ht="18" customHeight="1" x14ac:dyDescent="0.25">
      <c r="C200" s="6"/>
    </row>
    <row r="201" spans="3:3" ht="18" customHeight="1" x14ac:dyDescent="0.25">
      <c r="C201" s="6"/>
    </row>
    <row r="202" spans="3:3" ht="18" customHeight="1" x14ac:dyDescent="0.25">
      <c r="C202" s="6"/>
    </row>
    <row r="203" spans="3:3" ht="18" customHeight="1" x14ac:dyDescent="0.25">
      <c r="C203" s="6"/>
    </row>
    <row r="204" spans="3:3" ht="18" customHeight="1" x14ac:dyDescent="0.25">
      <c r="C204" s="6"/>
    </row>
    <row r="205" spans="3:3" ht="18" customHeight="1" x14ac:dyDescent="0.25">
      <c r="C205" s="6"/>
    </row>
    <row r="206" spans="3:3" ht="18" customHeight="1" x14ac:dyDescent="0.25">
      <c r="C206" s="6"/>
    </row>
    <row r="207" spans="3:3" ht="18" customHeight="1" x14ac:dyDescent="0.25">
      <c r="C207" s="6"/>
    </row>
  </sheetData>
  <autoFilter ref="A2:AL2" xr:uid="{00000000-0001-0000-0000-000000000000}">
    <sortState xmlns:xlrd2="http://schemas.microsoft.com/office/spreadsheetml/2017/richdata2" ref="A3:AL118">
      <sortCondition ref="B2"/>
    </sortState>
  </autoFilter>
  <mergeCells count="1">
    <mergeCell ref="A1:AL1"/>
  </mergeCells>
  <conditionalFormatting sqref="B1:B2">
    <cfRule type="duplicateValues" dxfId="1428" priority="1"/>
  </conditionalFormatting>
  <conditionalFormatting sqref="B2">
    <cfRule type="duplicateValues" dxfId="1427" priority="2"/>
    <cfRule type="duplicateValues" dxfId="1426" priority="3"/>
    <cfRule type="duplicateValues" dxfId="1425" priority="4"/>
    <cfRule type="duplicateValues" dxfId="1424" priority="5"/>
    <cfRule type="duplicateValues" dxfId="1423" priority="6"/>
    <cfRule type="duplicateValues" dxfId="1422" priority="7"/>
    <cfRule type="duplicateValues" dxfId="1421" priority="8"/>
    <cfRule type="duplicateValues" dxfId="1420" priority="9"/>
    <cfRule type="duplicateValues" dxfId="1419" priority="10"/>
    <cfRule type="duplicateValues" dxfId="1418" priority="11"/>
    <cfRule type="duplicateValues" dxfId="1417" priority="12"/>
    <cfRule type="duplicateValues" dxfId="1416" priority="13"/>
    <cfRule type="duplicateValues" dxfId="1415" priority="14"/>
  </conditionalFormatting>
  <conditionalFormatting sqref="B3:B1048576">
    <cfRule type="duplicateValues" dxfId="1414" priority="15"/>
    <cfRule type="duplicateValues" dxfId="1413" priority="21"/>
  </conditionalFormatting>
  <conditionalFormatting sqref="B88:B91">
    <cfRule type="duplicateValues" dxfId="1412" priority="27201"/>
  </conditionalFormatting>
  <conditionalFormatting sqref="B92:B93">
    <cfRule type="duplicateValues" dxfId="1411" priority="27225"/>
  </conditionalFormatting>
  <conditionalFormatting sqref="B101:B106 B99 B94:B95 B64:B86 B108:B116 B118:B152">
    <cfRule type="duplicateValues" dxfId="1410" priority="27267"/>
  </conditionalFormatting>
  <conditionalFormatting sqref="E3:AH119">
    <cfRule type="containsText" dxfId="1409" priority="16" operator="containsText" text="OT">
      <formula>NOT(ISERROR(SEARCH("OT",E3)))</formula>
    </cfRule>
    <cfRule type="containsText" dxfId="1408" priority="17" operator="containsText" text="PH">
      <formula>NOT(ISERROR(SEARCH("PH",E3)))</formula>
    </cfRule>
    <cfRule type="containsText" dxfId="1407" priority="18" operator="containsText" text="S">
      <formula>NOT(ISERROR(SEARCH("S",E3)))</formula>
    </cfRule>
    <cfRule type="containsText" dxfId="1406" priority="19" operator="containsText" text="S">
      <formula>NOT(ISERROR(SEARCH("S",E3)))</formula>
    </cfRule>
    <cfRule type="containsText" dxfId="1405" priority="20" operator="containsText" text="A">
      <formula>NOT(ISERROR(SEARCH("A",E3)))</formula>
    </cfRule>
  </conditionalFormatting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7636-CA53-4F39-843F-EA9FA6596150}">
  <sheetPr>
    <pageSetUpPr fitToPage="1"/>
  </sheetPr>
  <dimension ref="A1:AL160"/>
  <sheetViews>
    <sheetView zoomScale="85" zoomScaleNormal="85" workbookViewId="0">
      <pane xSplit="3" ySplit="2" topLeftCell="D71" activePane="bottomRight" state="frozen"/>
      <selection pane="topRight" activeCell="D1" sqref="D1"/>
      <selection pane="bottomLeft" activeCell="A3" sqref="A3"/>
      <selection pane="bottomRight" activeCell="E54" sqref="E54:AH96"/>
    </sheetView>
  </sheetViews>
  <sheetFormatPr defaultColWidth="6.7109375" defaultRowHeight="18" customHeight="1" x14ac:dyDescent="0.25"/>
  <cols>
    <col min="1" max="1" width="6.28515625" style="6" customWidth="1"/>
    <col min="2" max="2" width="6.28515625" style="36" customWidth="1"/>
    <col min="3" max="3" width="29.42578125" style="9" bestFit="1" customWidth="1"/>
    <col min="4" max="4" width="17" style="6" customWidth="1"/>
    <col min="5" max="34" width="5.28515625" style="6" customWidth="1"/>
    <col min="35" max="35" width="10.85546875" style="6" customWidth="1"/>
    <col min="36" max="36" width="8.7109375" style="6" customWidth="1"/>
    <col min="37" max="37" width="12.7109375" style="6" customWidth="1"/>
    <col min="38" max="38" width="30.7109375" style="6" bestFit="1" customWidth="1"/>
    <col min="39" max="16384" width="6.7109375" style="6"/>
  </cols>
  <sheetData>
    <row r="1" spans="1:38" ht="39.75" customHeight="1" x14ac:dyDescent="0.25">
      <c r="A1" s="40" t="s">
        <v>514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pans="1:38" ht="40.5" customHeight="1" x14ac:dyDescent="0.25">
      <c r="A2" s="1" t="s">
        <v>0</v>
      </c>
      <c r="B2" s="35" t="s">
        <v>1</v>
      </c>
      <c r="C2" s="1" t="s">
        <v>2</v>
      </c>
      <c r="D2" s="1" t="s">
        <v>3</v>
      </c>
      <c r="E2" s="1">
        <v>1</v>
      </c>
      <c r="F2" s="1">
        <v>2</v>
      </c>
      <c r="G2" s="1">
        <v>3</v>
      </c>
      <c r="H2" s="1">
        <v>4</v>
      </c>
      <c r="I2" s="34">
        <v>5</v>
      </c>
      <c r="J2" s="1">
        <v>6</v>
      </c>
      <c r="K2" s="29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29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29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29">
        <v>28</v>
      </c>
      <c r="AG2" s="1">
        <v>29</v>
      </c>
      <c r="AH2" s="1">
        <v>30</v>
      </c>
      <c r="AI2" s="20" t="s">
        <v>5</v>
      </c>
      <c r="AJ2" s="20" t="s">
        <v>81</v>
      </c>
      <c r="AK2" s="1" t="s">
        <v>6</v>
      </c>
      <c r="AL2" s="1" t="s">
        <v>4</v>
      </c>
    </row>
    <row r="3" spans="1:38" ht="19.899999999999999" customHeight="1" x14ac:dyDescent="0.25">
      <c r="A3" s="2">
        <v>1</v>
      </c>
      <c r="B3" s="25" t="s">
        <v>382</v>
      </c>
      <c r="C3" s="4" t="s">
        <v>383</v>
      </c>
      <c r="D3" s="2" t="s">
        <v>84</v>
      </c>
      <c r="E3" s="23">
        <v>10</v>
      </c>
      <c r="F3" s="23">
        <v>8</v>
      </c>
      <c r="G3" s="13">
        <v>10</v>
      </c>
      <c r="H3" s="23">
        <v>8</v>
      </c>
      <c r="I3" s="13" t="s">
        <v>515</v>
      </c>
      <c r="J3" s="13">
        <v>8</v>
      </c>
      <c r="K3" s="13" t="s">
        <v>10</v>
      </c>
      <c r="L3" s="23">
        <v>9</v>
      </c>
      <c r="M3" s="23">
        <v>10</v>
      </c>
      <c r="N3" s="13">
        <v>10</v>
      </c>
      <c r="O3" s="23">
        <v>10</v>
      </c>
      <c r="P3" s="13">
        <v>10</v>
      </c>
      <c r="Q3" s="13">
        <v>10</v>
      </c>
      <c r="R3" s="13" t="s">
        <v>10</v>
      </c>
      <c r="S3" s="23">
        <v>10</v>
      </c>
      <c r="T3" s="23">
        <v>10</v>
      </c>
      <c r="U3" s="13">
        <v>10</v>
      </c>
      <c r="V3" s="23">
        <v>10</v>
      </c>
      <c r="W3" s="13">
        <v>10</v>
      </c>
      <c r="X3" s="13">
        <v>10</v>
      </c>
      <c r="Y3" s="13" t="s">
        <v>10</v>
      </c>
      <c r="Z3" s="23" t="s">
        <v>32</v>
      </c>
      <c r="AA3" s="23">
        <v>10</v>
      </c>
      <c r="AB3" s="23">
        <v>10</v>
      </c>
      <c r="AC3" s="23">
        <v>10</v>
      </c>
      <c r="AD3" s="13">
        <v>10</v>
      </c>
      <c r="AE3" s="23">
        <v>10</v>
      </c>
      <c r="AF3" s="23" t="s">
        <v>10</v>
      </c>
      <c r="AG3" s="23">
        <v>10</v>
      </c>
      <c r="AH3" s="23">
        <v>10</v>
      </c>
      <c r="AI3" s="22">
        <f t="shared" ref="AI3:AI34" si="0">SUM(E3:AH3)</f>
        <v>233</v>
      </c>
      <c r="AJ3" s="21"/>
      <c r="AK3" s="14">
        <f t="shared" ref="AK3:AK34" si="1">AI3*AJ3</f>
        <v>0</v>
      </c>
      <c r="AL3" s="2" t="s">
        <v>550</v>
      </c>
    </row>
    <row r="4" spans="1:38" ht="19.899999999999999" customHeight="1" x14ac:dyDescent="0.25">
      <c r="A4" s="2">
        <v>2</v>
      </c>
      <c r="B4" s="25" t="s">
        <v>384</v>
      </c>
      <c r="C4" s="4" t="s">
        <v>385</v>
      </c>
      <c r="D4" s="2" t="s">
        <v>84</v>
      </c>
      <c r="E4" s="23">
        <v>11</v>
      </c>
      <c r="F4" s="23">
        <v>11</v>
      </c>
      <c r="G4" s="13">
        <v>11</v>
      </c>
      <c r="H4" s="23">
        <v>11</v>
      </c>
      <c r="I4" s="13" t="s">
        <v>515</v>
      </c>
      <c r="J4" s="13">
        <v>11</v>
      </c>
      <c r="K4" s="13" t="s">
        <v>10</v>
      </c>
      <c r="L4" s="23">
        <v>11</v>
      </c>
      <c r="M4" s="23">
        <v>11</v>
      </c>
      <c r="N4" s="13">
        <v>11</v>
      </c>
      <c r="O4" s="23">
        <v>11</v>
      </c>
      <c r="P4" s="13">
        <v>11</v>
      </c>
      <c r="Q4" s="13">
        <v>11</v>
      </c>
      <c r="R4" s="13" t="s">
        <v>10</v>
      </c>
      <c r="S4" s="23">
        <v>11</v>
      </c>
      <c r="T4" s="23">
        <v>11</v>
      </c>
      <c r="U4" s="13" t="s">
        <v>32</v>
      </c>
      <c r="V4" s="23">
        <v>8</v>
      </c>
      <c r="W4" s="13">
        <v>10</v>
      </c>
      <c r="X4" s="13">
        <v>10</v>
      </c>
      <c r="Y4" s="13" t="s">
        <v>10</v>
      </c>
      <c r="Z4" s="23">
        <v>10</v>
      </c>
      <c r="AA4" s="23">
        <v>10</v>
      </c>
      <c r="AB4" s="23">
        <v>10</v>
      </c>
      <c r="AC4" s="23">
        <v>10</v>
      </c>
      <c r="AD4" s="13">
        <v>10</v>
      </c>
      <c r="AE4" s="23">
        <v>10</v>
      </c>
      <c r="AF4" s="23" t="s">
        <v>10</v>
      </c>
      <c r="AG4" s="23">
        <v>10</v>
      </c>
      <c r="AH4" s="23">
        <v>10</v>
      </c>
      <c r="AI4" s="22">
        <f t="shared" si="0"/>
        <v>251</v>
      </c>
      <c r="AJ4" s="21"/>
      <c r="AK4" s="14">
        <f t="shared" si="1"/>
        <v>0</v>
      </c>
      <c r="AL4" s="2" t="s">
        <v>551</v>
      </c>
    </row>
    <row r="5" spans="1:38" ht="19.899999999999999" customHeight="1" x14ac:dyDescent="0.25">
      <c r="A5" s="2">
        <v>3</v>
      </c>
      <c r="B5" s="28" t="s">
        <v>544</v>
      </c>
      <c r="C5" s="4" t="s">
        <v>112</v>
      </c>
      <c r="D5" s="2" t="s">
        <v>84</v>
      </c>
      <c r="E5" s="23">
        <v>11</v>
      </c>
      <c r="F5" s="23">
        <v>11</v>
      </c>
      <c r="G5" s="13">
        <v>11</v>
      </c>
      <c r="H5" s="23">
        <v>11</v>
      </c>
      <c r="I5" s="13" t="s">
        <v>515</v>
      </c>
      <c r="J5" s="13">
        <v>11</v>
      </c>
      <c r="K5" s="13" t="s">
        <v>10</v>
      </c>
      <c r="L5" s="23">
        <v>11</v>
      </c>
      <c r="M5" s="23">
        <v>11</v>
      </c>
      <c r="N5" s="13">
        <v>11</v>
      </c>
      <c r="O5" s="23">
        <v>11</v>
      </c>
      <c r="P5" s="13">
        <v>11</v>
      </c>
      <c r="Q5" s="13">
        <v>11</v>
      </c>
      <c r="R5" s="13" t="s">
        <v>10</v>
      </c>
      <c r="S5" s="23">
        <v>11</v>
      </c>
      <c r="T5" s="23">
        <v>11</v>
      </c>
      <c r="U5" s="13">
        <v>11</v>
      </c>
      <c r="V5" s="23">
        <v>11</v>
      </c>
      <c r="W5" s="13">
        <v>11</v>
      </c>
      <c r="X5" s="13">
        <v>11</v>
      </c>
      <c r="Y5" s="13" t="s">
        <v>10</v>
      </c>
      <c r="Z5" s="23">
        <v>11</v>
      </c>
      <c r="AA5" s="23">
        <v>11</v>
      </c>
      <c r="AB5" s="23">
        <v>11</v>
      </c>
      <c r="AC5" s="23">
        <v>11</v>
      </c>
      <c r="AD5" s="13">
        <v>11</v>
      </c>
      <c r="AE5" s="23">
        <v>11</v>
      </c>
      <c r="AF5" s="23">
        <v>11</v>
      </c>
      <c r="AG5" s="23">
        <v>11</v>
      </c>
      <c r="AH5" s="23">
        <v>11</v>
      </c>
      <c r="AI5" s="22">
        <f t="shared" si="0"/>
        <v>286</v>
      </c>
      <c r="AJ5" s="21"/>
      <c r="AK5" s="14">
        <f t="shared" si="1"/>
        <v>0</v>
      </c>
      <c r="AL5" s="2" t="s">
        <v>164</v>
      </c>
    </row>
    <row r="6" spans="1:38" ht="19.899999999999999" customHeight="1" x14ac:dyDescent="0.25">
      <c r="A6" s="2">
        <v>4</v>
      </c>
      <c r="B6" s="25" t="s">
        <v>545</v>
      </c>
      <c r="C6" s="4" t="s">
        <v>546</v>
      </c>
      <c r="D6" s="2" t="s">
        <v>84</v>
      </c>
      <c r="E6" s="23">
        <v>11</v>
      </c>
      <c r="F6" s="23">
        <v>11</v>
      </c>
      <c r="G6" s="13">
        <v>11</v>
      </c>
      <c r="H6" s="23">
        <v>11</v>
      </c>
      <c r="I6" s="13" t="s">
        <v>515</v>
      </c>
      <c r="J6" s="13">
        <v>11</v>
      </c>
      <c r="K6" s="13" t="s">
        <v>10</v>
      </c>
      <c r="L6" s="23">
        <v>11</v>
      </c>
      <c r="M6" s="23">
        <v>11</v>
      </c>
      <c r="N6" s="13">
        <v>11</v>
      </c>
      <c r="O6" s="23">
        <v>11</v>
      </c>
      <c r="P6" s="13">
        <v>11</v>
      </c>
      <c r="Q6" s="13">
        <v>11</v>
      </c>
      <c r="R6" s="13" t="s">
        <v>10</v>
      </c>
      <c r="S6" s="23">
        <v>11</v>
      </c>
      <c r="T6" s="23">
        <v>11</v>
      </c>
      <c r="U6" s="13">
        <v>11</v>
      </c>
      <c r="V6" s="23">
        <v>11</v>
      </c>
      <c r="W6" s="13">
        <v>11</v>
      </c>
      <c r="X6" s="13">
        <v>11</v>
      </c>
      <c r="Y6" s="13" t="s">
        <v>10</v>
      </c>
      <c r="Z6" s="23">
        <v>11</v>
      </c>
      <c r="AA6" s="23">
        <v>11</v>
      </c>
      <c r="AB6" s="23">
        <v>11</v>
      </c>
      <c r="AC6" s="23">
        <v>11</v>
      </c>
      <c r="AD6" s="13">
        <v>11</v>
      </c>
      <c r="AE6" s="23">
        <v>11</v>
      </c>
      <c r="AF6" s="23">
        <v>11</v>
      </c>
      <c r="AG6" s="23">
        <v>11</v>
      </c>
      <c r="AH6" s="23">
        <v>11</v>
      </c>
      <c r="AI6" s="22">
        <f t="shared" si="0"/>
        <v>286</v>
      </c>
      <c r="AJ6" s="2"/>
      <c r="AK6" s="14">
        <f t="shared" si="1"/>
        <v>0</v>
      </c>
      <c r="AL6" s="2" t="s">
        <v>164</v>
      </c>
    </row>
    <row r="7" spans="1:38" ht="19.899999999999999" customHeight="1" x14ac:dyDescent="0.25">
      <c r="A7" s="2">
        <v>5</v>
      </c>
      <c r="B7" s="25" t="s">
        <v>113</v>
      </c>
      <c r="C7" s="4" t="s">
        <v>114</v>
      </c>
      <c r="D7" s="2" t="s">
        <v>84</v>
      </c>
      <c r="E7" s="23">
        <v>10</v>
      </c>
      <c r="F7" s="23">
        <v>8</v>
      </c>
      <c r="G7" s="13">
        <v>10</v>
      </c>
      <c r="H7" s="23">
        <v>10</v>
      </c>
      <c r="I7" s="13" t="s">
        <v>515</v>
      </c>
      <c r="J7" s="13">
        <v>10</v>
      </c>
      <c r="K7" s="13" t="s">
        <v>10</v>
      </c>
      <c r="L7" s="23">
        <v>10</v>
      </c>
      <c r="M7" s="23">
        <v>10</v>
      </c>
      <c r="N7" s="13">
        <v>10</v>
      </c>
      <c r="O7" s="23">
        <v>10</v>
      </c>
      <c r="P7" s="13">
        <v>10</v>
      </c>
      <c r="Q7" s="13">
        <v>10</v>
      </c>
      <c r="R7" s="13" t="s">
        <v>10</v>
      </c>
      <c r="S7" s="23">
        <v>10</v>
      </c>
      <c r="T7" s="23">
        <v>10</v>
      </c>
      <c r="U7" s="13">
        <v>10</v>
      </c>
      <c r="V7" s="23">
        <v>10</v>
      </c>
      <c r="W7" s="13">
        <v>10</v>
      </c>
      <c r="X7" s="13">
        <v>10</v>
      </c>
      <c r="Y7" s="13" t="s">
        <v>10</v>
      </c>
      <c r="Z7" s="23">
        <v>11</v>
      </c>
      <c r="AA7" s="23">
        <v>11</v>
      </c>
      <c r="AB7" s="23">
        <v>11</v>
      </c>
      <c r="AC7" s="23">
        <v>11</v>
      </c>
      <c r="AD7" s="13">
        <v>11</v>
      </c>
      <c r="AE7" s="23">
        <v>11</v>
      </c>
      <c r="AF7" s="23" t="s">
        <v>10</v>
      </c>
      <c r="AG7" s="23">
        <v>11</v>
      </c>
      <c r="AH7" s="23">
        <v>11</v>
      </c>
      <c r="AI7" s="22">
        <f t="shared" si="0"/>
        <v>256</v>
      </c>
      <c r="AJ7" s="21"/>
      <c r="AK7" s="14">
        <f t="shared" si="1"/>
        <v>0</v>
      </c>
      <c r="AL7" s="2" t="s">
        <v>431</v>
      </c>
    </row>
    <row r="8" spans="1:38" ht="19.899999999999999" customHeight="1" x14ac:dyDescent="0.25">
      <c r="A8" s="2">
        <v>6</v>
      </c>
      <c r="B8" s="28" t="s">
        <v>128</v>
      </c>
      <c r="C8" s="4" t="s">
        <v>129</v>
      </c>
      <c r="D8" s="2" t="s">
        <v>130</v>
      </c>
      <c r="E8" s="23">
        <v>10</v>
      </c>
      <c r="F8" s="23">
        <v>10</v>
      </c>
      <c r="G8" s="13">
        <v>10</v>
      </c>
      <c r="H8" s="23">
        <v>10</v>
      </c>
      <c r="I8" s="13">
        <v>10</v>
      </c>
      <c r="J8" s="13">
        <v>10</v>
      </c>
      <c r="K8" s="13" t="s">
        <v>10</v>
      </c>
      <c r="L8" s="23">
        <v>10</v>
      </c>
      <c r="M8" s="23">
        <v>10</v>
      </c>
      <c r="N8" s="13">
        <v>10</v>
      </c>
      <c r="O8" s="23">
        <v>10</v>
      </c>
      <c r="P8" s="13">
        <v>10</v>
      </c>
      <c r="Q8" s="13">
        <v>10</v>
      </c>
      <c r="R8" s="13" t="s">
        <v>10</v>
      </c>
      <c r="S8" s="23">
        <v>10</v>
      </c>
      <c r="T8" s="23">
        <v>10</v>
      </c>
      <c r="U8" s="13">
        <v>10</v>
      </c>
      <c r="V8" s="23">
        <v>10</v>
      </c>
      <c r="W8" s="13">
        <v>10</v>
      </c>
      <c r="X8" s="13">
        <v>10</v>
      </c>
      <c r="Y8" s="13" t="s">
        <v>10</v>
      </c>
      <c r="Z8" s="23">
        <v>10</v>
      </c>
      <c r="AA8" s="23">
        <v>10</v>
      </c>
      <c r="AB8" s="23">
        <v>10</v>
      </c>
      <c r="AC8" s="23">
        <v>12</v>
      </c>
      <c r="AD8" s="13">
        <v>10</v>
      </c>
      <c r="AE8" s="23">
        <v>10</v>
      </c>
      <c r="AF8" s="23" t="s">
        <v>10</v>
      </c>
      <c r="AG8" s="23">
        <v>10</v>
      </c>
      <c r="AH8" s="23">
        <v>10</v>
      </c>
      <c r="AI8" s="22">
        <f t="shared" si="0"/>
        <v>262</v>
      </c>
      <c r="AJ8" s="21"/>
      <c r="AK8" s="14">
        <f t="shared" si="1"/>
        <v>0</v>
      </c>
      <c r="AL8" s="2" t="s">
        <v>309</v>
      </c>
    </row>
    <row r="9" spans="1:38" ht="19.899999999999999" customHeight="1" x14ac:dyDescent="0.25">
      <c r="A9" s="2">
        <v>7</v>
      </c>
      <c r="B9" s="25" t="s">
        <v>95</v>
      </c>
      <c r="C9" s="4" t="s">
        <v>96</v>
      </c>
      <c r="D9" s="2" t="s">
        <v>84</v>
      </c>
      <c r="E9" s="23">
        <v>11</v>
      </c>
      <c r="F9" s="23">
        <v>11</v>
      </c>
      <c r="G9" s="13">
        <v>11</v>
      </c>
      <c r="H9" s="23">
        <v>11</v>
      </c>
      <c r="I9" s="13">
        <v>11</v>
      </c>
      <c r="J9" s="13">
        <v>11</v>
      </c>
      <c r="K9" s="13" t="s">
        <v>10</v>
      </c>
      <c r="L9" s="23">
        <v>11</v>
      </c>
      <c r="M9" s="23">
        <v>11</v>
      </c>
      <c r="N9" s="13">
        <v>11</v>
      </c>
      <c r="O9" s="23">
        <v>11</v>
      </c>
      <c r="P9" s="13">
        <v>11</v>
      </c>
      <c r="Q9" s="13">
        <v>11</v>
      </c>
      <c r="R9" s="13" t="s">
        <v>10</v>
      </c>
      <c r="S9" s="23">
        <v>11</v>
      </c>
      <c r="T9" s="23">
        <v>11</v>
      </c>
      <c r="U9" s="13">
        <v>11</v>
      </c>
      <c r="V9" s="23">
        <v>11</v>
      </c>
      <c r="W9" s="13">
        <v>11</v>
      </c>
      <c r="X9" s="13">
        <v>11</v>
      </c>
      <c r="Y9" s="13">
        <v>11</v>
      </c>
      <c r="Z9" s="23">
        <v>11</v>
      </c>
      <c r="AA9" s="23">
        <v>11</v>
      </c>
      <c r="AB9" s="23">
        <v>11</v>
      </c>
      <c r="AC9" s="23">
        <v>11</v>
      </c>
      <c r="AD9" s="13">
        <v>11</v>
      </c>
      <c r="AE9" s="23">
        <v>11</v>
      </c>
      <c r="AF9" s="23">
        <v>11</v>
      </c>
      <c r="AG9" s="23">
        <v>11</v>
      </c>
      <c r="AH9" s="23">
        <v>11</v>
      </c>
      <c r="AI9" s="22">
        <f t="shared" si="0"/>
        <v>308</v>
      </c>
      <c r="AJ9" s="21"/>
      <c r="AK9" s="14">
        <f t="shared" si="1"/>
        <v>0</v>
      </c>
      <c r="AL9" s="2" t="s">
        <v>344</v>
      </c>
    </row>
    <row r="10" spans="1:38" ht="19.899999999999999" customHeight="1" x14ac:dyDescent="0.25">
      <c r="A10" s="2">
        <v>8</v>
      </c>
      <c r="B10" s="25" t="s">
        <v>115</v>
      </c>
      <c r="C10" s="4" t="s">
        <v>116</v>
      </c>
      <c r="D10" s="2" t="s">
        <v>84</v>
      </c>
      <c r="E10" s="23">
        <v>10</v>
      </c>
      <c r="F10" s="23">
        <v>10</v>
      </c>
      <c r="G10" s="13">
        <v>10</v>
      </c>
      <c r="H10" s="23">
        <v>10</v>
      </c>
      <c r="I10" s="13">
        <v>10</v>
      </c>
      <c r="J10" s="13">
        <v>10</v>
      </c>
      <c r="K10" s="13" t="s">
        <v>10</v>
      </c>
      <c r="L10" s="23">
        <v>10</v>
      </c>
      <c r="M10" s="23">
        <v>10</v>
      </c>
      <c r="N10" s="13">
        <v>10</v>
      </c>
      <c r="O10" s="23">
        <v>10</v>
      </c>
      <c r="P10" s="13">
        <v>10</v>
      </c>
      <c r="Q10" s="13">
        <v>10</v>
      </c>
      <c r="R10" s="13">
        <v>10</v>
      </c>
      <c r="S10" s="23">
        <v>10</v>
      </c>
      <c r="T10" s="23">
        <v>10</v>
      </c>
      <c r="U10" s="13">
        <v>10</v>
      </c>
      <c r="V10" s="23">
        <v>10</v>
      </c>
      <c r="W10" s="13">
        <v>10</v>
      </c>
      <c r="X10" s="13">
        <v>10</v>
      </c>
      <c r="Y10" s="13" t="s">
        <v>10</v>
      </c>
      <c r="Z10" s="23">
        <v>10</v>
      </c>
      <c r="AA10" s="23">
        <v>10</v>
      </c>
      <c r="AB10" s="23">
        <v>10</v>
      </c>
      <c r="AC10" s="23">
        <v>10</v>
      </c>
      <c r="AD10" s="13">
        <v>10</v>
      </c>
      <c r="AE10" s="23">
        <v>10</v>
      </c>
      <c r="AF10" s="23" t="s">
        <v>10</v>
      </c>
      <c r="AG10" s="23">
        <v>10</v>
      </c>
      <c r="AH10" s="23">
        <v>10</v>
      </c>
      <c r="AI10" s="22">
        <f t="shared" si="0"/>
        <v>270</v>
      </c>
      <c r="AJ10" s="21"/>
      <c r="AK10" s="14">
        <f t="shared" si="1"/>
        <v>0</v>
      </c>
      <c r="AL10" s="2" t="s">
        <v>164</v>
      </c>
    </row>
    <row r="11" spans="1:38" ht="19.899999999999999" customHeight="1" x14ac:dyDescent="0.25">
      <c r="A11" s="2">
        <v>9</v>
      </c>
      <c r="B11" s="25" t="s">
        <v>314</v>
      </c>
      <c r="C11" s="4" t="s">
        <v>310</v>
      </c>
      <c r="D11" s="2" t="s">
        <v>84</v>
      </c>
      <c r="E11" s="23">
        <v>10</v>
      </c>
      <c r="F11" s="23">
        <v>10</v>
      </c>
      <c r="G11" s="13">
        <v>10</v>
      </c>
      <c r="H11" s="23">
        <v>10</v>
      </c>
      <c r="I11" s="13">
        <v>10</v>
      </c>
      <c r="J11" s="13">
        <v>10</v>
      </c>
      <c r="K11" s="13" t="s">
        <v>10</v>
      </c>
      <c r="L11" s="23">
        <v>10</v>
      </c>
      <c r="M11" s="23">
        <v>10</v>
      </c>
      <c r="N11" s="13">
        <v>10</v>
      </c>
      <c r="O11" s="23">
        <v>10</v>
      </c>
      <c r="P11" s="13">
        <v>10</v>
      </c>
      <c r="Q11" s="13">
        <v>10</v>
      </c>
      <c r="R11" s="13" t="s">
        <v>10</v>
      </c>
      <c r="S11" s="23">
        <v>10</v>
      </c>
      <c r="T11" s="23">
        <v>10</v>
      </c>
      <c r="U11" s="13">
        <v>10</v>
      </c>
      <c r="V11" s="23">
        <v>10</v>
      </c>
      <c r="W11" s="13">
        <v>10</v>
      </c>
      <c r="X11" s="13">
        <v>10</v>
      </c>
      <c r="Y11" s="13">
        <v>10</v>
      </c>
      <c r="Z11" s="23">
        <v>10</v>
      </c>
      <c r="AA11" s="23">
        <v>10</v>
      </c>
      <c r="AB11" s="23">
        <v>10</v>
      </c>
      <c r="AC11" s="23">
        <v>10</v>
      </c>
      <c r="AD11" s="13">
        <v>10</v>
      </c>
      <c r="AE11" s="23">
        <v>10</v>
      </c>
      <c r="AF11" s="23">
        <v>10</v>
      </c>
      <c r="AG11" s="23">
        <v>10</v>
      </c>
      <c r="AH11" s="23">
        <v>10</v>
      </c>
      <c r="AI11" s="22">
        <f t="shared" si="0"/>
        <v>280</v>
      </c>
      <c r="AJ11" s="21"/>
      <c r="AK11" s="14">
        <f t="shared" si="1"/>
        <v>0</v>
      </c>
      <c r="AL11" s="2" t="s">
        <v>164</v>
      </c>
    </row>
    <row r="12" spans="1:38" ht="19.899999999999999" customHeight="1" x14ac:dyDescent="0.25">
      <c r="A12" s="2">
        <v>10</v>
      </c>
      <c r="B12" s="25" t="s">
        <v>150</v>
      </c>
      <c r="C12" s="4" t="s">
        <v>151</v>
      </c>
      <c r="D12" s="2" t="s">
        <v>84</v>
      </c>
      <c r="E12" s="23">
        <v>11</v>
      </c>
      <c r="F12" s="23">
        <v>11</v>
      </c>
      <c r="G12" s="13">
        <v>11</v>
      </c>
      <c r="H12" s="23">
        <v>11</v>
      </c>
      <c r="I12" s="13">
        <v>11</v>
      </c>
      <c r="J12" s="13">
        <v>11</v>
      </c>
      <c r="K12" s="13" t="s">
        <v>10</v>
      </c>
      <c r="L12" s="23">
        <v>11</v>
      </c>
      <c r="M12" s="23">
        <v>11</v>
      </c>
      <c r="N12" s="13">
        <v>11</v>
      </c>
      <c r="O12" s="23">
        <v>11</v>
      </c>
      <c r="P12" s="13">
        <v>11</v>
      </c>
      <c r="Q12" s="13">
        <v>11</v>
      </c>
      <c r="R12" s="13" t="s">
        <v>10</v>
      </c>
      <c r="S12" s="23">
        <v>11</v>
      </c>
      <c r="T12" s="23">
        <v>11</v>
      </c>
      <c r="U12" s="13">
        <v>11</v>
      </c>
      <c r="V12" s="23">
        <v>11</v>
      </c>
      <c r="W12" s="13">
        <v>11</v>
      </c>
      <c r="X12" s="13">
        <v>11</v>
      </c>
      <c r="Y12" s="13">
        <v>11</v>
      </c>
      <c r="Z12" s="23">
        <v>11</v>
      </c>
      <c r="AA12" s="23">
        <v>11</v>
      </c>
      <c r="AB12" s="23">
        <v>11</v>
      </c>
      <c r="AC12" s="23">
        <v>11</v>
      </c>
      <c r="AD12" s="13">
        <v>11</v>
      </c>
      <c r="AE12" s="23">
        <v>11</v>
      </c>
      <c r="AF12" s="23">
        <v>11</v>
      </c>
      <c r="AG12" s="23">
        <v>11</v>
      </c>
      <c r="AH12" s="23">
        <v>11</v>
      </c>
      <c r="AI12" s="22">
        <f t="shared" si="0"/>
        <v>308</v>
      </c>
      <c r="AJ12" s="2"/>
      <c r="AK12" s="14">
        <f t="shared" si="1"/>
        <v>0</v>
      </c>
      <c r="AL12" s="2" t="s">
        <v>344</v>
      </c>
    </row>
    <row r="13" spans="1:38" ht="19.899999999999999" customHeight="1" x14ac:dyDescent="0.25">
      <c r="A13" s="2">
        <v>11</v>
      </c>
      <c r="B13" s="25" t="s">
        <v>131</v>
      </c>
      <c r="C13" s="4" t="s">
        <v>132</v>
      </c>
      <c r="D13" s="2" t="s">
        <v>130</v>
      </c>
      <c r="E13" s="23">
        <v>10</v>
      </c>
      <c r="F13" s="23">
        <v>10</v>
      </c>
      <c r="G13" s="13">
        <v>10</v>
      </c>
      <c r="H13" s="23">
        <v>10</v>
      </c>
      <c r="I13" s="13">
        <v>10</v>
      </c>
      <c r="J13" s="13">
        <v>10</v>
      </c>
      <c r="K13" s="13" t="s">
        <v>10</v>
      </c>
      <c r="L13" s="23">
        <v>10</v>
      </c>
      <c r="M13" s="23">
        <v>10</v>
      </c>
      <c r="N13" s="13">
        <v>10</v>
      </c>
      <c r="O13" s="23">
        <v>10</v>
      </c>
      <c r="P13" s="13">
        <v>10</v>
      </c>
      <c r="Q13" s="13">
        <v>10</v>
      </c>
      <c r="R13" s="13" t="s">
        <v>10</v>
      </c>
      <c r="S13" s="23">
        <v>10</v>
      </c>
      <c r="T13" s="23">
        <v>10</v>
      </c>
      <c r="U13" s="13">
        <v>10</v>
      </c>
      <c r="V13" s="23">
        <v>10</v>
      </c>
      <c r="W13" s="13">
        <v>10</v>
      </c>
      <c r="X13" s="13">
        <v>10</v>
      </c>
      <c r="Y13" s="13" t="s">
        <v>10</v>
      </c>
      <c r="Z13" s="23">
        <v>10</v>
      </c>
      <c r="AA13" s="23">
        <v>10</v>
      </c>
      <c r="AB13" s="23">
        <v>10</v>
      </c>
      <c r="AC13" s="23">
        <v>10</v>
      </c>
      <c r="AD13" s="13">
        <v>10</v>
      </c>
      <c r="AE13" s="23" t="s">
        <v>32</v>
      </c>
      <c r="AF13" s="23" t="s">
        <v>10</v>
      </c>
      <c r="AG13" s="23">
        <v>10</v>
      </c>
      <c r="AH13" s="23" t="s">
        <v>32</v>
      </c>
      <c r="AI13" s="22">
        <f t="shared" si="0"/>
        <v>240</v>
      </c>
      <c r="AJ13" s="21"/>
      <c r="AK13" s="14">
        <f t="shared" si="1"/>
        <v>0</v>
      </c>
      <c r="AL13" s="2" t="s">
        <v>164</v>
      </c>
    </row>
    <row r="14" spans="1:38" ht="19.899999999999999" customHeight="1" x14ac:dyDescent="0.25">
      <c r="A14" s="2">
        <v>12</v>
      </c>
      <c r="B14" s="25" t="s">
        <v>154</v>
      </c>
      <c r="C14" s="4" t="s">
        <v>155</v>
      </c>
      <c r="D14" s="2" t="s">
        <v>84</v>
      </c>
      <c r="E14" s="23">
        <v>11</v>
      </c>
      <c r="F14" s="23">
        <v>11</v>
      </c>
      <c r="G14" s="13">
        <v>11</v>
      </c>
      <c r="H14" s="23">
        <v>11</v>
      </c>
      <c r="I14" s="13">
        <v>11</v>
      </c>
      <c r="J14" s="13">
        <v>11</v>
      </c>
      <c r="K14" s="13" t="s">
        <v>10</v>
      </c>
      <c r="L14" s="23">
        <v>11</v>
      </c>
      <c r="M14" s="23">
        <v>11</v>
      </c>
      <c r="N14" s="13">
        <v>11</v>
      </c>
      <c r="O14" s="23">
        <v>11</v>
      </c>
      <c r="P14" s="13">
        <v>11</v>
      </c>
      <c r="Q14" s="13">
        <v>11</v>
      </c>
      <c r="R14" s="13" t="s">
        <v>10</v>
      </c>
      <c r="S14" s="23">
        <v>11</v>
      </c>
      <c r="T14" s="23">
        <v>11</v>
      </c>
      <c r="U14" s="13">
        <v>11</v>
      </c>
      <c r="V14" s="23">
        <v>11</v>
      </c>
      <c r="W14" s="13">
        <v>11</v>
      </c>
      <c r="X14" s="13">
        <v>11</v>
      </c>
      <c r="Y14" s="13">
        <v>11</v>
      </c>
      <c r="Z14" s="23">
        <v>11</v>
      </c>
      <c r="AA14" s="23">
        <v>11</v>
      </c>
      <c r="AB14" s="23">
        <v>11</v>
      </c>
      <c r="AC14" s="23">
        <v>11</v>
      </c>
      <c r="AD14" s="13">
        <v>11</v>
      </c>
      <c r="AE14" s="23">
        <v>11</v>
      </c>
      <c r="AF14" s="23">
        <v>11</v>
      </c>
      <c r="AG14" s="23">
        <v>11</v>
      </c>
      <c r="AH14" s="23">
        <v>11</v>
      </c>
      <c r="AI14" s="22">
        <f t="shared" si="0"/>
        <v>308</v>
      </c>
      <c r="AJ14" s="21"/>
      <c r="AK14" s="14">
        <f t="shared" si="1"/>
        <v>0</v>
      </c>
      <c r="AL14" s="2" t="s">
        <v>344</v>
      </c>
    </row>
    <row r="15" spans="1:38" ht="19.899999999999999" customHeight="1" x14ac:dyDescent="0.25">
      <c r="A15" s="2">
        <v>13</v>
      </c>
      <c r="B15" s="25" t="s">
        <v>117</v>
      </c>
      <c r="C15" s="4" t="s">
        <v>118</v>
      </c>
      <c r="D15" s="2" t="s">
        <v>84</v>
      </c>
      <c r="E15" s="23">
        <v>10</v>
      </c>
      <c r="F15" s="23">
        <v>10</v>
      </c>
      <c r="G15" s="13">
        <v>10</v>
      </c>
      <c r="H15" s="23">
        <v>10</v>
      </c>
      <c r="I15" s="13">
        <v>10</v>
      </c>
      <c r="J15" s="13">
        <v>10</v>
      </c>
      <c r="K15" s="13" t="s">
        <v>10</v>
      </c>
      <c r="L15" s="23">
        <v>10</v>
      </c>
      <c r="M15" s="23">
        <v>10</v>
      </c>
      <c r="N15" s="13">
        <v>10</v>
      </c>
      <c r="O15" s="23">
        <v>10</v>
      </c>
      <c r="P15" s="13">
        <v>10</v>
      </c>
      <c r="Q15" s="13">
        <v>10</v>
      </c>
      <c r="R15" s="13" t="s">
        <v>10</v>
      </c>
      <c r="S15" s="23">
        <v>10</v>
      </c>
      <c r="T15" s="23">
        <v>10</v>
      </c>
      <c r="U15" s="13">
        <v>10</v>
      </c>
      <c r="V15" s="23">
        <v>10</v>
      </c>
      <c r="W15" s="13">
        <v>10</v>
      </c>
      <c r="X15" s="13">
        <v>10</v>
      </c>
      <c r="Y15" s="13" t="s">
        <v>10</v>
      </c>
      <c r="Z15" s="23">
        <v>10</v>
      </c>
      <c r="AA15" s="23">
        <v>10</v>
      </c>
      <c r="AB15" s="23">
        <v>10</v>
      </c>
      <c r="AC15" s="23">
        <v>10</v>
      </c>
      <c r="AD15" s="13">
        <v>10</v>
      </c>
      <c r="AE15" s="23">
        <v>10</v>
      </c>
      <c r="AF15" s="23" t="s">
        <v>10</v>
      </c>
      <c r="AG15" s="23">
        <v>10</v>
      </c>
      <c r="AH15" s="23">
        <v>10</v>
      </c>
      <c r="AI15" s="22">
        <f t="shared" si="0"/>
        <v>260</v>
      </c>
      <c r="AJ15" s="21"/>
      <c r="AK15" s="14">
        <f t="shared" si="1"/>
        <v>0</v>
      </c>
      <c r="AL15" s="2" t="s">
        <v>164</v>
      </c>
    </row>
    <row r="16" spans="1:38" ht="19.899999999999999" customHeight="1" x14ac:dyDescent="0.25">
      <c r="A16" s="2">
        <v>14</v>
      </c>
      <c r="B16" s="25" t="s">
        <v>97</v>
      </c>
      <c r="C16" s="4" t="s">
        <v>98</v>
      </c>
      <c r="D16" s="2" t="s">
        <v>84</v>
      </c>
      <c r="E16" s="23">
        <v>10</v>
      </c>
      <c r="F16" s="23">
        <v>8</v>
      </c>
      <c r="G16" s="13">
        <v>10</v>
      </c>
      <c r="H16" s="23">
        <v>10</v>
      </c>
      <c r="I16" s="13" t="s">
        <v>515</v>
      </c>
      <c r="J16" s="13">
        <v>10</v>
      </c>
      <c r="K16" s="13" t="s">
        <v>10</v>
      </c>
      <c r="L16" s="23">
        <v>10</v>
      </c>
      <c r="M16" s="23">
        <v>10</v>
      </c>
      <c r="N16" s="13">
        <v>10</v>
      </c>
      <c r="O16" s="23">
        <v>10</v>
      </c>
      <c r="P16" s="13">
        <v>10</v>
      </c>
      <c r="Q16" s="13">
        <v>10</v>
      </c>
      <c r="R16" s="13" t="s">
        <v>10</v>
      </c>
      <c r="S16" s="23">
        <v>10</v>
      </c>
      <c r="T16" s="23">
        <v>10</v>
      </c>
      <c r="U16" s="13">
        <v>10</v>
      </c>
      <c r="V16" s="23">
        <v>10</v>
      </c>
      <c r="W16" s="13">
        <v>10</v>
      </c>
      <c r="X16" s="13">
        <v>10</v>
      </c>
      <c r="Y16" s="13" t="s">
        <v>10</v>
      </c>
      <c r="Z16" s="23">
        <v>11</v>
      </c>
      <c r="AA16" s="23">
        <v>11</v>
      </c>
      <c r="AB16" s="23">
        <v>11</v>
      </c>
      <c r="AC16" s="23">
        <v>11</v>
      </c>
      <c r="AD16" s="13">
        <v>11</v>
      </c>
      <c r="AE16" s="23">
        <v>11</v>
      </c>
      <c r="AF16" s="23" t="s">
        <v>10</v>
      </c>
      <c r="AG16" s="23">
        <v>11</v>
      </c>
      <c r="AH16" s="23">
        <v>11</v>
      </c>
      <c r="AI16" s="22">
        <f t="shared" si="0"/>
        <v>256</v>
      </c>
      <c r="AJ16" s="21"/>
      <c r="AK16" s="14">
        <f t="shared" si="1"/>
        <v>0</v>
      </c>
      <c r="AL16" s="2" t="s">
        <v>431</v>
      </c>
    </row>
    <row r="17" spans="1:38" ht="19.899999999999999" customHeight="1" x14ac:dyDescent="0.25">
      <c r="A17" s="2">
        <v>15</v>
      </c>
      <c r="B17" s="28" t="s">
        <v>133</v>
      </c>
      <c r="C17" s="4" t="s">
        <v>134</v>
      </c>
      <c r="D17" s="2" t="s">
        <v>130</v>
      </c>
      <c r="E17" s="23">
        <v>10</v>
      </c>
      <c r="F17" s="23">
        <v>10</v>
      </c>
      <c r="G17" s="13">
        <v>10</v>
      </c>
      <c r="H17" s="23">
        <v>10</v>
      </c>
      <c r="I17" s="13">
        <v>10</v>
      </c>
      <c r="J17" s="13">
        <v>10</v>
      </c>
      <c r="K17" s="13" t="s">
        <v>10</v>
      </c>
      <c r="L17" s="23">
        <v>10</v>
      </c>
      <c r="M17" s="23">
        <v>10</v>
      </c>
      <c r="N17" s="13">
        <v>10</v>
      </c>
      <c r="O17" s="23">
        <v>10</v>
      </c>
      <c r="P17" s="13">
        <v>10</v>
      </c>
      <c r="Q17" s="13">
        <v>10</v>
      </c>
      <c r="R17" s="13" t="s">
        <v>10</v>
      </c>
      <c r="S17" s="23">
        <v>10</v>
      </c>
      <c r="T17" s="23">
        <v>10</v>
      </c>
      <c r="U17" s="13">
        <v>10</v>
      </c>
      <c r="V17" s="23">
        <v>10</v>
      </c>
      <c r="W17" s="13">
        <v>10</v>
      </c>
      <c r="X17" s="13">
        <v>10</v>
      </c>
      <c r="Y17" s="13">
        <v>10</v>
      </c>
      <c r="Z17" s="23">
        <v>10</v>
      </c>
      <c r="AA17" s="23">
        <v>10</v>
      </c>
      <c r="AB17" s="23">
        <v>10</v>
      </c>
      <c r="AC17" s="23">
        <v>10</v>
      </c>
      <c r="AD17" s="13">
        <v>10</v>
      </c>
      <c r="AE17" s="23">
        <v>10</v>
      </c>
      <c r="AF17" s="23">
        <v>10</v>
      </c>
      <c r="AG17" s="23">
        <v>10</v>
      </c>
      <c r="AH17" s="23">
        <v>10</v>
      </c>
      <c r="AI17" s="22">
        <f t="shared" si="0"/>
        <v>280</v>
      </c>
      <c r="AJ17" s="21"/>
      <c r="AK17" s="14">
        <f t="shared" si="1"/>
        <v>0</v>
      </c>
      <c r="AL17" s="2" t="s">
        <v>164</v>
      </c>
    </row>
    <row r="18" spans="1:38" ht="19.899999999999999" customHeight="1" x14ac:dyDescent="0.25">
      <c r="A18" s="2">
        <v>16</v>
      </c>
      <c r="B18" s="28" t="s">
        <v>90</v>
      </c>
      <c r="C18" s="4" t="s">
        <v>332</v>
      </c>
      <c r="D18" s="2" t="s">
        <v>130</v>
      </c>
      <c r="E18" s="23">
        <v>10</v>
      </c>
      <c r="F18" s="23">
        <v>10</v>
      </c>
      <c r="G18" s="13">
        <v>10</v>
      </c>
      <c r="H18" s="23">
        <v>10</v>
      </c>
      <c r="I18" s="13">
        <v>10</v>
      </c>
      <c r="J18" s="13">
        <v>11</v>
      </c>
      <c r="K18" s="13" t="s">
        <v>10</v>
      </c>
      <c r="L18" s="23">
        <v>10</v>
      </c>
      <c r="M18" s="23">
        <v>11</v>
      </c>
      <c r="N18" s="13">
        <v>11</v>
      </c>
      <c r="O18" s="23">
        <v>10</v>
      </c>
      <c r="P18" s="13">
        <v>11</v>
      </c>
      <c r="Q18" s="13">
        <v>11</v>
      </c>
      <c r="R18" s="13">
        <v>10</v>
      </c>
      <c r="S18" s="23">
        <v>11</v>
      </c>
      <c r="T18" s="23">
        <v>10</v>
      </c>
      <c r="U18" s="13">
        <v>10</v>
      </c>
      <c r="V18" s="23">
        <v>11</v>
      </c>
      <c r="W18" s="13">
        <v>10</v>
      </c>
      <c r="X18" s="13">
        <v>10</v>
      </c>
      <c r="Y18" s="13" t="s">
        <v>10</v>
      </c>
      <c r="Z18" s="23">
        <v>10</v>
      </c>
      <c r="AA18" s="23">
        <v>11</v>
      </c>
      <c r="AB18" s="23">
        <v>10</v>
      </c>
      <c r="AC18" s="23">
        <v>10</v>
      </c>
      <c r="AD18" s="13">
        <v>10</v>
      </c>
      <c r="AE18" s="23">
        <v>10</v>
      </c>
      <c r="AF18" s="23" t="s">
        <v>10</v>
      </c>
      <c r="AG18" s="23">
        <v>10</v>
      </c>
      <c r="AH18" s="23">
        <v>10</v>
      </c>
      <c r="AI18" s="22">
        <f t="shared" si="0"/>
        <v>278</v>
      </c>
      <c r="AJ18" s="21"/>
      <c r="AK18" s="14">
        <f t="shared" si="1"/>
        <v>0</v>
      </c>
      <c r="AL18" s="2" t="s">
        <v>309</v>
      </c>
    </row>
    <row r="19" spans="1:38" ht="19.899999999999999" customHeight="1" x14ac:dyDescent="0.25">
      <c r="A19" s="2">
        <v>17</v>
      </c>
      <c r="B19" s="25" t="s">
        <v>135</v>
      </c>
      <c r="C19" s="4" t="s">
        <v>541</v>
      </c>
      <c r="D19" s="2" t="s">
        <v>130</v>
      </c>
      <c r="E19" s="23">
        <v>10</v>
      </c>
      <c r="F19" s="23">
        <v>10</v>
      </c>
      <c r="G19" s="13">
        <v>10</v>
      </c>
      <c r="H19" s="23">
        <v>8</v>
      </c>
      <c r="I19" s="13" t="s">
        <v>515</v>
      </c>
      <c r="J19" s="13">
        <v>8</v>
      </c>
      <c r="K19" s="13" t="s">
        <v>10</v>
      </c>
      <c r="L19" s="23">
        <v>9</v>
      </c>
      <c r="M19" s="23" t="s">
        <v>32</v>
      </c>
      <c r="N19" s="13" t="s">
        <v>32</v>
      </c>
      <c r="O19" s="23" t="s">
        <v>32</v>
      </c>
      <c r="P19" s="13" t="s">
        <v>32</v>
      </c>
      <c r="Q19" s="13">
        <v>10</v>
      </c>
      <c r="R19" s="13" t="s">
        <v>10</v>
      </c>
      <c r="S19" s="23">
        <v>10</v>
      </c>
      <c r="T19" s="23">
        <v>10</v>
      </c>
      <c r="U19" s="13">
        <v>10</v>
      </c>
      <c r="V19" s="23">
        <v>10</v>
      </c>
      <c r="W19" s="13">
        <v>10</v>
      </c>
      <c r="X19" s="13">
        <v>10</v>
      </c>
      <c r="Y19" s="13" t="s">
        <v>10</v>
      </c>
      <c r="Z19" s="23">
        <v>10</v>
      </c>
      <c r="AA19" s="23">
        <v>10</v>
      </c>
      <c r="AB19" s="23">
        <v>10</v>
      </c>
      <c r="AC19" s="23">
        <v>10</v>
      </c>
      <c r="AD19" s="13">
        <v>10</v>
      </c>
      <c r="AE19" s="23" t="s">
        <v>32</v>
      </c>
      <c r="AF19" s="23" t="s">
        <v>10</v>
      </c>
      <c r="AG19" s="23">
        <v>10</v>
      </c>
      <c r="AH19" s="23" t="s">
        <v>32</v>
      </c>
      <c r="AI19" s="22">
        <f t="shared" si="0"/>
        <v>185</v>
      </c>
      <c r="AJ19" s="21"/>
      <c r="AK19" s="14">
        <f t="shared" si="1"/>
        <v>0</v>
      </c>
      <c r="AL19" s="2" t="s">
        <v>552</v>
      </c>
    </row>
    <row r="20" spans="1:38" ht="19.899999999999999" customHeight="1" x14ac:dyDescent="0.25">
      <c r="A20" s="2">
        <v>18</v>
      </c>
      <c r="B20" s="25" t="s">
        <v>136</v>
      </c>
      <c r="C20" s="4" t="s">
        <v>542</v>
      </c>
      <c r="D20" s="2" t="s">
        <v>130</v>
      </c>
      <c r="E20" s="23">
        <v>10</v>
      </c>
      <c r="F20" s="23">
        <v>10</v>
      </c>
      <c r="G20" s="13">
        <v>10</v>
      </c>
      <c r="H20" s="23">
        <v>8</v>
      </c>
      <c r="I20" s="13" t="s">
        <v>515</v>
      </c>
      <c r="J20" s="13">
        <v>8</v>
      </c>
      <c r="K20" s="13" t="s">
        <v>10</v>
      </c>
      <c r="L20" s="23">
        <v>9</v>
      </c>
      <c r="M20" s="23" t="s">
        <v>32</v>
      </c>
      <c r="N20" s="13" t="s">
        <v>32</v>
      </c>
      <c r="O20" s="23" t="s">
        <v>32</v>
      </c>
      <c r="P20" s="13" t="s">
        <v>32</v>
      </c>
      <c r="Q20" s="13">
        <v>10</v>
      </c>
      <c r="R20" s="13" t="s">
        <v>10</v>
      </c>
      <c r="S20" s="23">
        <v>10</v>
      </c>
      <c r="T20" s="23">
        <v>10</v>
      </c>
      <c r="U20" s="13">
        <v>10</v>
      </c>
      <c r="V20" s="23">
        <v>10</v>
      </c>
      <c r="W20" s="13">
        <v>10</v>
      </c>
      <c r="X20" s="13">
        <v>4</v>
      </c>
      <c r="Y20" s="13" t="s">
        <v>10</v>
      </c>
      <c r="Z20" s="23">
        <v>10</v>
      </c>
      <c r="AA20" s="23">
        <v>10</v>
      </c>
      <c r="AB20" s="23">
        <v>10</v>
      </c>
      <c r="AC20" s="23">
        <v>10</v>
      </c>
      <c r="AD20" s="13">
        <v>10</v>
      </c>
      <c r="AE20" s="23">
        <v>10</v>
      </c>
      <c r="AF20" s="23" t="s">
        <v>10</v>
      </c>
      <c r="AG20" s="23">
        <v>10</v>
      </c>
      <c r="AH20" s="23">
        <v>5</v>
      </c>
      <c r="AI20" s="22">
        <f t="shared" si="0"/>
        <v>194</v>
      </c>
      <c r="AJ20" s="21"/>
      <c r="AK20" s="14">
        <f t="shared" si="1"/>
        <v>0</v>
      </c>
      <c r="AL20" s="2" t="s">
        <v>552</v>
      </c>
    </row>
    <row r="21" spans="1:38" ht="19.899999999999999" customHeight="1" x14ac:dyDescent="0.25">
      <c r="A21" s="2">
        <v>19</v>
      </c>
      <c r="B21" s="25" t="s">
        <v>99</v>
      </c>
      <c r="C21" s="4" t="s">
        <v>386</v>
      </c>
      <c r="D21" s="2" t="s">
        <v>84</v>
      </c>
      <c r="E21" s="23">
        <v>10</v>
      </c>
      <c r="F21" s="23">
        <v>10</v>
      </c>
      <c r="G21" s="13">
        <v>10</v>
      </c>
      <c r="H21" s="23">
        <v>10</v>
      </c>
      <c r="I21" s="13">
        <v>10</v>
      </c>
      <c r="J21" s="13">
        <v>10</v>
      </c>
      <c r="K21" s="13" t="s">
        <v>10</v>
      </c>
      <c r="L21" s="23">
        <v>10</v>
      </c>
      <c r="M21" s="23">
        <v>10</v>
      </c>
      <c r="N21" s="13">
        <v>10</v>
      </c>
      <c r="O21" s="23">
        <v>10</v>
      </c>
      <c r="P21" s="13">
        <v>10</v>
      </c>
      <c r="Q21" s="13">
        <v>10</v>
      </c>
      <c r="R21" s="13" t="s">
        <v>10</v>
      </c>
      <c r="S21" s="23">
        <v>10</v>
      </c>
      <c r="T21" s="23">
        <v>10</v>
      </c>
      <c r="U21" s="13">
        <v>10</v>
      </c>
      <c r="V21" s="23">
        <v>10</v>
      </c>
      <c r="W21" s="13">
        <v>10</v>
      </c>
      <c r="X21" s="13">
        <v>10</v>
      </c>
      <c r="Y21" s="13">
        <v>10</v>
      </c>
      <c r="Z21" s="23">
        <v>10</v>
      </c>
      <c r="AA21" s="23">
        <v>10</v>
      </c>
      <c r="AB21" s="23">
        <v>10</v>
      </c>
      <c r="AC21" s="23">
        <v>10</v>
      </c>
      <c r="AD21" s="13">
        <v>10</v>
      </c>
      <c r="AE21" s="23">
        <v>10</v>
      </c>
      <c r="AF21" s="23" t="s">
        <v>10</v>
      </c>
      <c r="AG21" s="23">
        <v>10</v>
      </c>
      <c r="AH21" s="23">
        <v>10</v>
      </c>
      <c r="AI21" s="22">
        <f t="shared" si="0"/>
        <v>270</v>
      </c>
      <c r="AJ21" s="21"/>
      <c r="AK21" s="14">
        <f t="shared" si="1"/>
        <v>0</v>
      </c>
      <c r="AL21" s="2" t="s">
        <v>164</v>
      </c>
    </row>
    <row r="22" spans="1:38" ht="19.899999999999999" customHeight="1" x14ac:dyDescent="0.25">
      <c r="A22" s="2">
        <v>20</v>
      </c>
      <c r="B22" s="28" t="s">
        <v>137</v>
      </c>
      <c r="C22" s="4" t="s">
        <v>138</v>
      </c>
      <c r="D22" s="2" t="s">
        <v>130</v>
      </c>
      <c r="E22" s="23">
        <v>10</v>
      </c>
      <c r="F22" s="23">
        <v>10</v>
      </c>
      <c r="G22" s="13">
        <v>10</v>
      </c>
      <c r="H22" s="23">
        <v>10</v>
      </c>
      <c r="I22" s="13">
        <v>10</v>
      </c>
      <c r="J22" s="13">
        <v>10</v>
      </c>
      <c r="K22" s="13" t="s">
        <v>10</v>
      </c>
      <c r="L22" s="23">
        <v>10</v>
      </c>
      <c r="M22" s="23">
        <v>10</v>
      </c>
      <c r="N22" s="13">
        <v>10</v>
      </c>
      <c r="O22" s="23">
        <v>10</v>
      </c>
      <c r="P22" s="13">
        <v>10</v>
      </c>
      <c r="Q22" s="13">
        <v>10</v>
      </c>
      <c r="R22" s="13" t="s">
        <v>10</v>
      </c>
      <c r="S22" s="23">
        <v>10</v>
      </c>
      <c r="T22" s="23">
        <v>10</v>
      </c>
      <c r="U22" s="13">
        <v>10</v>
      </c>
      <c r="V22" s="23">
        <v>10</v>
      </c>
      <c r="W22" s="13">
        <v>10</v>
      </c>
      <c r="X22" s="13">
        <v>10</v>
      </c>
      <c r="Y22" s="13" t="s">
        <v>10</v>
      </c>
      <c r="Z22" s="23">
        <v>10</v>
      </c>
      <c r="AA22" s="23">
        <v>10</v>
      </c>
      <c r="AB22" s="23">
        <v>10</v>
      </c>
      <c r="AC22" s="23">
        <v>10</v>
      </c>
      <c r="AD22" s="13">
        <v>10</v>
      </c>
      <c r="AE22" s="23">
        <v>10</v>
      </c>
      <c r="AF22" s="23" t="s">
        <v>10</v>
      </c>
      <c r="AG22" s="23">
        <v>10</v>
      </c>
      <c r="AH22" s="23">
        <v>10</v>
      </c>
      <c r="AI22" s="22">
        <f t="shared" si="0"/>
        <v>260</v>
      </c>
      <c r="AJ22" s="21"/>
      <c r="AK22" s="14">
        <f t="shared" si="1"/>
        <v>0</v>
      </c>
      <c r="AL22" s="2" t="s">
        <v>164</v>
      </c>
    </row>
    <row r="23" spans="1:38" ht="19.899999999999999" customHeight="1" x14ac:dyDescent="0.25">
      <c r="A23" s="2">
        <v>21</v>
      </c>
      <c r="B23" s="25" t="s">
        <v>100</v>
      </c>
      <c r="C23" s="4" t="s">
        <v>101</v>
      </c>
      <c r="D23" s="2" t="s">
        <v>84</v>
      </c>
      <c r="E23" s="23">
        <v>11</v>
      </c>
      <c r="F23" s="23">
        <v>11</v>
      </c>
      <c r="G23" s="13">
        <v>11</v>
      </c>
      <c r="H23" s="23">
        <v>11</v>
      </c>
      <c r="I23" s="13">
        <v>11</v>
      </c>
      <c r="J23" s="13">
        <v>11</v>
      </c>
      <c r="K23" s="13" t="s">
        <v>10</v>
      </c>
      <c r="L23" s="23">
        <v>11</v>
      </c>
      <c r="M23" s="23">
        <v>11</v>
      </c>
      <c r="N23" s="13">
        <v>11</v>
      </c>
      <c r="O23" s="23">
        <v>11</v>
      </c>
      <c r="P23" s="13">
        <v>11</v>
      </c>
      <c r="Q23" s="13">
        <v>11</v>
      </c>
      <c r="R23" s="13" t="s">
        <v>10</v>
      </c>
      <c r="S23" s="23">
        <v>11</v>
      </c>
      <c r="T23" s="23">
        <v>11</v>
      </c>
      <c r="U23" s="13">
        <v>11</v>
      </c>
      <c r="V23" s="23">
        <v>11</v>
      </c>
      <c r="W23" s="13">
        <v>11</v>
      </c>
      <c r="X23" s="13">
        <v>11</v>
      </c>
      <c r="Y23" s="13">
        <v>11</v>
      </c>
      <c r="Z23" s="23">
        <v>11</v>
      </c>
      <c r="AA23" s="23">
        <v>11</v>
      </c>
      <c r="AB23" s="23">
        <v>11</v>
      </c>
      <c r="AC23" s="23">
        <v>11</v>
      </c>
      <c r="AD23" s="13">
        <v>11</v>
      </c>
      <c r="AE23" s="23">
        <v>11</v>
      </c>
      <c r="AF23" s="23">
        <v>11</v>
      </c>
      <c r="AG23" s="23">
        <v>11</v>
      </c>
      <c r="AH23" s="23">
        <v>11</v>
      </c>
      <c r="AI23" s="22">
        <f t="shared" si="0"/>
        <v>308</v>
      </c>
      <c r="AJ23" s="21"/>
      <c r="AK23" s="14">
        <f t="shared" si="1"/>
        <v>0</v>
      </c>
      <c r="AL23" s="2" t="s">
        <v>344</v>
      </c>
    </row>
    <row r="24" spans="1:38" ht="19.899999999999999" customHeight="1" x14ac:dyDescent="0.25">
      <c r="A24" s="2">
        <v>22</v>
      </c>
      <c r="B24" s="25" t="s">
        <v>102</v>
      </c>
      <c r="C24" s="4" t="s">
        <v>103</v>
      </c>
      <c r="D24" s="2" t="s">
        <v>84</v>
      </c>
      <c r="E24" s="23">
        <v>11</v>
      </c>
      <c r="F24" s="23">
        <v>11</v>
      </c>
      <c r="G24" s="13">
        <v>11</v>
      </c>
      <c r="H24" s="23">
        <v>11</v>
      </c>
      <c r="I24" s="13">
        <v>11</v>
      </c>
      <c r="J24" s="13">
        <v>11</v>
      </c>
      <c r="K24" s="13" t="s">
        <v>10</v>
      </c>
      <c r="L24" s="23">
        <v>11</v>
      </c>
      <c r="M24" s="23">
        <v>11</v>
      </c>
      <c r="N24" s="13">
        <v>11</v>
      </c>
      <c r="O24" s="23">
        <v>11</v>
      </c>
      <c r="P24" s="13">
        <v>11</v>
      </c>
      <c r="Q24" s="13">
        <v>11</v>
      </c>
      <c r="R24" s="13" t="s">
        <v>10</v>
      </c>
      <c r="S24" s="23">
        <v>11</v>
      </c>
      <c r="T24" s="23">
        <v>11</v>
      </c>
      <c r="U24" s="13">
        <v>11</v>
      </c>
      <c r="V24" s="23">
        <v>11</v>
      </c>
      <c r="W24" s="13">
        <v>11</v>
      </c>
      <c r="X24" s="13">
        <v>11</v>
      </c>
      <c r="Y24" s="13">
        <v>11</v>
      </c>
      <c r="Z24" s="23">
        <v>11</v>
      </c>
      <c r="AA24" s="23">
        <v>11</v>
      </c>
      <c r="AB24" s="23">
        <v>11</v>
      </c>
      <c r="AC24" s="23">
        <v>11</v>
      </c>
      <c r="AD24" s="13">
        <v>11</v>
      </c>
      <c r="AE24" s="23">
        <v>11</v>
      </c>
      <c r="AF24" s="23" t="s">
        <v>10</v>
      </c>
      <c r="AG24" s="23">
        <v>11</v>
      </c>
      <c r="AH24" s="23">
        <v>11</v>
      </c>
      <c r="AI24" s="22">
        <f t="shared" si="0"/>
        <v>297</v>
      </c>
      <c r="AJ24" s="21"/>
      <c r="AK24" s="14">
        <f t="shared" si="1"/>
        <v>0</v>
      </c>
      <c r="AL24" s="2" t="s">
        <v>344</v>
      </c>
    </row>
    <row r="25" spans="1:38" ht="19.899999999999999" customHeight="1" x14ac:dyDescent="0.25">
      <c r="A25" s="2">
        <v>23</v>
      </c>
      <c r="B25" s="25" t="s">
        <v>139</v>
      </c>
      <c r="C25" s="4" t="s">
        <v>140</v>
      </c>
      <c r="D25" s="2" t="s">
        <v>130</v>
      </c>
      <c r="E25" s="23">
        <v>10</v>
      </c>
      <c r="F25" s="23">
        <v>10</v>
      </c>
      <c r="G25" s="13">
        <v>10</v>
      </c>
      <c r="H25" s="23">
        <v>10</v>
      </c>
      <c r="I25" s="13" t="s">
        <v>515</v>
      </c>
      <c r="J25" s="13">
        <v>10</v>
      </c>
      <c r="K25" s="13" t="s">
        <v>10</v>
      </c>
      <c r="L25" s="23">
        <v>10</v>
      </c>
      <c r="M25" s="23">
        <v>10</v>
      </c>
      <c r="N25" s="13">
        <v>10</v>
      </c>
      <c r="O25" s="23">
        <v>10</v>
      </c>
      <c r="P25" s="13">
        <v>10</v>
      </c>
      <c r="Q25" s="13">
        <v>10</v>
      </c>
      <c r="R25" s="13" t="s">
        <v>10</v>
      </c>
      <c r="S25" s="23">
        <v>10</v>
      </c>
      <c r="T25" s="23">
        <v>10</v>
      </c>
      <c r="U25" s="13">
        <v>10</v>
      </c>
      <c r="V25" s="23">
        <v>10</v>
      </c>
      <c r="W25" s="13">
        <v>10</v>
      </c>
      <c r="X25" s="13">
        <v>10</v>
      </c>
      <c r="Y25" s="13" t="s">
        <v>10</v>
      </c>
      <c r="Z25" s="23">
        <v>10</v>
      </c>
      <c r="AA25" s="23">
        <v>10</v>
      </c>
      <c r="AB25" s="23">
        <v>10</v>
      </c>
      <c r="AC25" s="23">
        <v>10</v>
      </c>
      <c r="AD25" s="13">
        <v>10</v>
      </c>
      <c r="AE25" s="23">
        <v>10</v>
      </c>
      <c r="AF25" s="23" t="s">
        <v>10</v>
      </c>
      <c r="AG25" s="23">
        <v>10</v>
      </c>
      <c r="AH25" s="23">
        <v>10</v>
      </c>
      <c r="AI25" s="22">
        <f t="shared" si="0"/>
        <v>250</v>
      </c>
      <c r="AJ25" s="21"/>
      <c r="AK25" s="14">
        <f t="shared" si="1"/>
        <v>0</v>
      </c>
      <c r="AL25" s="2" t="s">
        <v>442</v>
      </c>
    </row>
    <row r="26" spans="1:38" ht="19.899999999999999" customHeight="1" x14ac:dyDescent="0.25">
      <c r="A26" s="2">
        <v>24</v>
      </c>
      <c r="B26" s="28" t="s">
        <v>141</v>
      </c>
      <c r="C26" s="4" t="s">
        <v>142</v>
      </c>
      <c r="D26" s="2" t="s">
        <v>130</v>
      </c>
      <c r="E26" s="23">
        <v>10</v>
      </c>
      <c r="F26" s="23">
        <v>10</v>
      </c>
      <c r="G26" s="13">
        <v>10</v>
      </c>
      <c r="H26" s="23">
        <v>10</v>
      </c>
      <c r="I26" s="13">
        <v>10</v>
      </c>
      <c r="J26" s="13">
        <v>11</v>
      </c>
      <c r="K26" s="13" t="s">
        <v>10</v>
      </c>
      <c r="L26" s="23">
        <v>10</v>
      </c>
      <c r="M26" s="23">
        <v>10</v>
      </c>
      <c r="N26" s="13">
        <v>10</v>
      </c>
      <c r="O26" s="23">
        <v>10</v>
      </c>
      <c r="P26" s="13">
        <v>11</v>
      </c>
      <c r="Q26" s="13">
        <v>10</v>
      </c>
      <c r="R26" s="13" t="s">
        <v>10</v>
      </c>
      <c r="S26" s="23">
        <v>11</v>
      </c>
      <c r="T26" s="23">
        <v>10</v>
      </c>
      <c r="U26" s="13">
        <v>10</v>
      </c>
      <c r="V26" s="23">
        <v>11</v>
      </c>
      <c r="W26" s="13">
        <v>10</v>
      </c>
      <c r="X26" s="13">
        <v>10</v>
      </c>
      <c r="Y26" s="13" t="s">
        <v>10</v>
      </c>
      <c r="Z26" s="23">
        <v>10</v>
      </c>
      <c r="AA26" s="23">
        <v>11</v>
      </c>
      <c r="AB26" s="23">
        <v>10</v>
      </c>
      <c r="AC26" s="23">
        <v>10</v>
      </c>
      <c r="AD26" s="13">
        <v>10</v>
      </c>
      <c r="AE26" s="23">
        <v>10</v>
      </c>
      <c r="AF26" s="23" t="s">
        <v>10</v>
      </c>
      <c r="AG26" s="23">
        <v>10</v>
      </c>
      <c r="AH26" s="23">
        <v>10</v>
      </c>
      <c r="AI26" s="22">
        <f t="shared" si="0"/>
        <v>265</v>
      </c>
      <c r="AJ26" s="21"/>
      <c r="AK26" s="14">
        <f t="shared" si="1"/>
        <v>0</v>
      </c>
      <c r="AL26" s="2" t="s">
        <v>309</v>
      </c>
    </row>
    <row r="27" spans="1:38" ht="19.899999999999999" customHeight="1" x14ac:dyDescent="0.25">
      <c r="A27" s="2">
        <v>25</v>
      </c>
      <c r="B27" s="25" t="s">
        <v>119</v>
      </c>
      <c r="C27" s="4" t="s">
        <v>330</v>
      </c>
      <c r="D27" s="2" t="s">
        <v>84</v>
      </c>
      <c r="E27" s="23">
        <v>10</v>
      </c>
      <c r="F27" s="23">
        <v>10</v>
      </c>
      <c r="G27" s="13">
        <v>10</v>
      </c>
      <c r="H27" s="23">
        <v>10</v>
      </c>
      <c r="I27" s="13" t="s">
        <v>515</v>
      </c>
      <c r="J27" s="13">
        <v>10</v>
      </c>
      <c r="K27" s="13" t="s">
        <v>10</v>
      </c>
      <c r="L27" s="23">
        <v>10</v>
      </c>
      <c r="M27" s="23">
        <v>10</v>
      </c>
      <c r="N27" s="13">
        <v>10</v>
      </c>
      <c r="O27" s="23">
        <v>10</v>
      </c>
      <c r="P27" s="13">
        <v>10</v>
      </c>
      <c r="Q27" s="13">
        <v>10</v>
      </c>
      <c r="R27" s="13" t="s">
        <v>10</v>
      </c>
      <c r="S27" s="23">
        <v>10</v>
      </c>
      <c r="T27" s="23">
        <v>10</v>
      </c>
      <c r="U27" s="13">
        <v>10</v>
      </c>
      <c r="V27" s="23">
        <v>10</v>
      </c>
      <c r="W27" s="13">
        <v>10</v>
      </c>
      <c r="X27" s="13">
        <v>10</v>
      </c>
      <c r="Y27" s="13" t="s">
        <v>10</v>
      </c>
      <c r="Z27" s="23">
        <v>10</v>
      </c>
      <c r="AA27" s="23">
        <v>10</v>
      </c>
      <c r="AB27" s="23">
        <v>10</v>
      </c>
      <c r="AC27" s="23">
        <v>10</v>
      </c>
      <c r="AD27" s="13">
        <v>10</v>
      </c>
      <c r="AE27" s="23">
        <v>10</v>
      </c>
      <c r="AF27" s="23" t="s">
        <v>10</v>
      </c>
      <c r="AG27" s="23">
        <v>10</v>
      </c>
      <c r="AH27" s="23">
        <v>10</v>
      </c>
      <c r="AI27" s="22">
        <f t="shared" si="0"/>
        <v>250</v>
      </c>
      <c r="AJ27" s="21"/>
      <c r="AK27" s="14">
        <f t="shared" si="1"/>
        <v>0</v>
      </c>
      <c r="AL27" s="2" t="s">
        <v>309</v>
      </c>
    </row>
    <row r="28" spans="1:38" ht="19.899999999999999" customHeight="1" x14ac:dyDescent="0.25">
      <c r="A28" s="2">
        <v>26</v>
      </c>
      <c r="B28" s="25" t="s">
        <v>156</v>
      </c>
      <c r="C28" s="4" t="s">
        <v>157</v>
      </c>
      <c r="D28" s="2" t="s">
        <v>84</v>
      </c>
      <c r="E28" s="23">
        <v>10</v>
      </c>
      <c r="F28" s="23">
        <v>8</v>
      </c>
      <c r="G28" s="13">
        <v>10</v>
      </c>
      <c r="H28" s="23">
        <v>10</v>
      </c>
      <c r="I28" s="13" t="s">
        <v>515</v>
      </c>
      <c r="J28" s="13">
        <v>10</v>
      </c>
      <c r="K28" s="13" t="s">
        <v>10</v>
      </c>
      <c r="L28" s="23">
        <v>10</v>
      </c>
      <c r="M28" s="23">
        <v>10</v>
      </c>
      <c r="N28" s="13">
        <v>10</v>
      </c>
      <c r="O28" s="23">
        <v>10</v>
      </c>
      <c r="P28" s="13">
        <v>10</v>
      </c>
      <c r="Q28" s="13">
        <v>10</v>
      </c>
      <c r="R28" s="13" t="s">
        <v>10</v>
      </c>
      <c r="S28" s="23">
        <v>10</v>
      </c>
      <c r="T28" s="23">
        <v>10</v>
      </c>
      <c r="U28" s="13">
        <v>10</v>
      </c>
      <c r="V28" s="23">
        <v>10</v>
      </c>
      <c r="W28" s="13">
        <v>10</v>
      </c>
      <c r="X28" s="13">
        <v>10</v>
      </c>
      <c r="Y28" s="13" t="s">
        <v>10</v>
      </c>
      <c r="Z28" s="23">
        <v>11</v>
      </c>
      <c r="AA28" s="23">
        <v>11</v>
      </c>
      <c r="AB28" s="23">
        <v>11</v>
      </c>
      <c r="AC28" s="23">
        <v>11</v>
      </c>
      <c r="AD28" s="13">
        <v>11</v>
      </c>
      <c r="AE28" s="23">
        <v>11</v>
      </c>
      <c r="AF28" s="23" t="s">
        <v>10</v>
      </c>
      <c r="AG28" s="23" t="s">
        <v>32</v>
      </c>
      <c r="AH28" s="23" t="s">
        <v>32</v>
      </c>
      <c r="AI28" s="22">
        <f t="shared" si="0"/>
        <v>234</v>
      </c>
      <c r="AJ28" s="21"/>
      <c r="AK28" s="14">
        <f t="shared" si="1"/>
        <v>0</v>
      </c>
      <c r="AL28" s="2" t="s">
        <v>431</v>
      </c>
    </row>
    <row r="29" spans="1:38" ht="19.899999999999999" customHeight="1" x14ac:dyDescent="0.25">
      <c r="A29" s="2">
        <v>27</v>
      </c>
      <c r="B29" s="25" t="s">
        <v>122</v>
      </c>
      <c r="C29" s="4" t="s">
        <v>123</v>
      </c>
      <c r="D29" s="2" t="s">
        <v>84</v>
      </c>
      <c r="E29" s="23">
        <v>10</v>
      </c>
      <c r="F29" s="23">
        <v>10</v>
      </c>
      <c r="G29" s="13">
        <v>10</v>
      </c>
      <c r="H29" s="23">
        <v>10</v>
      </c>
      <c r="I29" s="13" t="s">
        <v>515</v>
      </c>
      <c r="J29" s="13">
        <v>10</v>
      </c>
      <c r="K29" s="13" t="s">
        <v>10</v>
      </c>
      <c r="L29" s="23">
        <v>10</v>
      </c>
      <c r="M29" s="23">
        <v>10</v>
      </c>
      <c r="N29" s="13">
        <v>10</v>
      </c>
      <c r="O29" s="23">
        <v>10</v>
      </c>
      <c r="P29" s="13">
        <v>10</v>
      </c>
      <c r="Q29" s="13">
        <v>10</v>
      </c>
      <c r="R29" s="13" t="s">
        <v>10</v>
      </c>
      <c r="S29" s="23">
        <v>10</v>
      </c>
      <c r="T29" s="23">
        <v>10</v>
      </c>
      <c r="U29" s="13">
        <v>10</v>
      </c>
      <c r="V29" s="23">
        <v>10</v>
      </c>
      <c r="W29" s="13">
        <v>10</v>
      </c>
      <c r="X29" s="13">
        <v>10</v>
      </c>
      <c r="Y29" s="13" t="s">
        <v>10</v>
      </c>
      <c r="Z29" s="23">
        <v>10</v>
      </c>
      <c r="AA29" s="23">
        <v>10</v>
      </c>
      <c r="AB29" s="23">
        <v>10</v>
      </c>
      <c r="AC29" s="23">
        <v>10</v>
      </c>
      <c r="AD29" s="13">
        <v>10</v>
      </c>
      <c r="AE29" s="23">
        <v>10</v>
      </c>
      <c r="AF29" s="23" t="s">
        <v>10</v>
      </c>
      <c r="AG29" s="23">
        <v>10</v>
      </c>
      <c r="AH29" s="23">
        <v>10</v>
      </c>
      <c r="AI29" s="22">
        <f t="shared" si="0"/>
        <v>250</v>
      </c>
      <c r="AJ29" s="21"/>
      <c r="AK29" s="14">
        <f t="shared" si="1"/>
        <v>0</v>
      </c>
      <c r="AL29" s="2" t="s">
        <v>442</v>
      </c>
    </row>
    <row r="30" spans="1:38" ht="19.899999999999999" customHeight="1" x14ac:dyDescent="0.25">
      <c r="A30" s="2">
        <v>28</v>
      </c>
      <c r="B30" s="25" t="s">
        <v>104</v>
      </c>
      <c r="C30" s="4" t="s">
        <v>105</v>
      </c>
      <c r="D30" s="2" t="s">
        <v>84</v>
      </c>
      <c r="E30" s="23">
        <v>11</v>
      </c>
      <c r="F30" s="23">
        <v>11</v>
      </c>
      <c r="G30" s="13">
        <v>11</v>
      </c>
      <c r="H30" s="23">
        <v>11</v>
      </c>
      <c r="I30" s="13">
        <v>11</v>
      </c>
      <c r="J30" s="13">
        <v>11</v>
      </c>
      <c r="K30" s="13" t="s">
        <v>10</v>
      </c>
      <c r="L30" s="23">
        <v>11</v>
      </c>
      <c r="M30" s="23">
        <v>11</v>
      </c>
      <c r="N30" s="13">
        <v>11</v>
      </c>
      <c r="O30" s="23">
        <v>11</v>
      </c>
      <c r="P30" s="13">
        <v>11</v>
      </c>
      <c r="Q30" s="13">
        <v>11</v>
      </c>
      <c r="R30" s="13" t="s">
        <v>10</v>
      </c>
      <c r="S30" s="23">
        <v>11</v>
      </c>
      <c r="T30" s="23">
        <v>11</v>
      </c>
      <c r="U30" s="13">
        <v>11</v>
      </c>
      <c r="V30" s="23">
        <v>11</v>
      </c>
      <c r="W30" s="13">
        <v>11</v>
      </c>
      <c r="X30" s="13">
        <v>11</v>
      </c>
      <c r="Y30" s="13" t="s">
        <v>10</v>
      </c>
      <c r="Z30" s="23">
        <v>11</v>
      </c>
      <c r="AA30" s="23">
        <v>11</v>
      </c>
      <c r="AB30" s="23">
        <v>11</v>
      </c>
      <c r="AC30" s="23">
        <v>11</v>
      </c>
      <c r="AD30" s="13">
        <v>11</v>
      </c>
      <c r="AE30" s="23">
        <v>11</v>
      </c>
      <c r="AF30" s="23" t="s">
        <v>10</v>
      </c>
      <c r="AG30" s="23">
        <v>11</v>
      </c>
      <c r="AH30" s="23">
        <v>11</v>
      </c>
      <c r="AI30" s="22">
        <f t="shared" si="0"/>
        <v>286</v>
      </c>
      <c r="AJ30" s="2"/>
      <c r="AK30" s="14">
        <f t="shared" si="1"/>
        <v>0</v>
      </c>
      <c r="AL30" s="2" t="s">
        <v>344</v>
      </c>
    </row>
    <row r="31" spans="1:38" ht="19.899999999999999" customHeight="1" x14ac:dyDescent="0.25">
      <c r="A31" s="2">
        <v>29</v>
      </c>
      <c r="B31" s="25" t="s">
        <v>304</v>
      </c>
      <c r="C31" s="4" t="s">
        <v>149</v>
      </c>
      <c r="D31" s="2" t="s">
        <v>84</v>
      </c>
      <c r="E31" s="23">
        <v>11</v>
      </c>
      <c r="F31" s="23">
        <v>11</v>
      </c>
      <c r="G31" s="13">
        <v>11</v>
      </c>
      <c r="H31" s="23">
        <v>8</v>
      </c>
      <c r="I31" s="13">
        <v>11</v>
      </c>
      <c r="J31" s="13">
        <v>11</v>
      </c>
      <c r="K31" s="13" t="s">
        <v>10</v>
      </c>
      <c r="L31" s="23">
        <v>11</v>
      </c>
      <c r="M31" s="23">
        <v>11</v>
      </c>
      <c r="N31" s="13">
        <v>11</v>
      </c>
      <c r="O31" s="23">
        <v>11</v>
      </c>
      <c r="P31" s="13">
        <v>11</v>
      </c>
      <c r="Q31" s="13">
        <v>11</v>
      </c>
      <c r="R31" s="13" t="s">
        <v>10</v>
      </c>
      <c r="S31" s="23">
        <v>11</v>
      </c>
      <c r="T31" s="23">
        <v>11</v>
      </c>
      <c r="U31" s="13">
        <v>11</v>
      </c>
      <c r="V31" s="23">
        <v>11</v>
      </c>
      <c r="W31" s="13">
        <v>11</v>
      </c>
      <c r="X31" s="13">
        <v>11</v>
      </c>
      <c r="Y31" s="13" t="s">
        <v>10</v>
      </c>
      <c r="Z31" s="23">
        <v>11</v>
      </c>
      <c r="AA31" s="23">
        <v>11</v>
      </c>
      <c r="AB31" s="23">
        <v>11</v>
      </c>
      <c r="AC31" s="23">
        <v>11</v>
      </c>
      <c r="AD31" s="13">
        <v>11</v>
      </c>
      <c r="AE31" s="23">
        <v>11</v>
      </c>
      <c r="AF31" s="23" t="s">
        <v>10</v>
      </c>
      <c r="AG31" s="23">
        <v>11</v>
      </c>
      <c r="AH31" s="23">
        <v>11</v>
      </c>
      <c r="AI31" s="22">
        <f t="shared" si="0"/>
        <v>283</v>
      </c>
      <c r="AJ31" s="2"/>
      <c r="AK31" s="14">
        <f t="shared" si="1"/>
        <v>0</v>
      </c>
      <c r="AL31" s="2" t="s">
        <v>344</v>
      </c>
    </row>
    <row r="32" spans="1:38" ht="19.899999999999999" customHeight="1" x14ac:dyDescent="0.25">
      <c r="A32" s="2">
        <v>30</v>
      </c>
      <c r="B32" s="25" t="s">
        <v>426</v>
      </c>
      <c r="C32" s="4" t="s">
        <v>427</v>
      </c>
      <c r="D32" s="2" t="s">
        <v>84</v>
      </c>
      <c r="E32" s="23">
        <v>10</v>
      </c>
      <c r="F32" s="23">
        <v>8</v>
      </c>
      <c r="G32" s="13">
        <v>10</v>
      </c>
      <c r="H32" s="23">
        <v>10</v>
      </c>
      <c r="I32" s="13" t="s">
        <v>515</v>
      </c>
      <c r="J32" s="13">
        <v>10</v>
      </c>
      <c r="K32" s="13" t="s">
        <v>10</v>
      </c>
      <c r="L32" s="23">
        <v>10</v>
      </c>
      <c r="M32" s="23">
        <v>10</v>
      </c>
      <c r="N32" s="13">
        <v>10</v>
      </c>
      <c r="O32" s="23">
        <v>10</v>
      </c>
      <c r="P32" s="13">
        <v>10</v>
      </c>
      <c r="Q32" s="13">
        <v>10</v>
      </c>
      <c r="R32" s="13" t="s">
        <v>10</v>
      </c>
      <c r="S32" s="23">
        <v>10</v>
      </c>
      <c r="T32" s="23">
        <v>10</v>
      </c>
      <c r="U32" s="13">
        <v>10</v>
      </c>
      <c r="V32" s="23">
        <v>10</v>
      </c>
      <c r="W32" s="13">
        <v>10</v>
      </c>
      <c r="X32" s="13">
        <v>10</v>
      </c>
      <c r="Y32" s="13" t="s">
        <v>10</v>
      </c>
      <c r="Z32" s="23">
        <v>11</v>
      </c>
      <c r="AA32" s="23">
        <v>11</v>
      </c>
      <c r="AB32" s="23">
        <v>11</v>
      </c>
      <c r="AC32" s="23">
        <v>11</v>
      </c>
      <c r="AD32" s="13">
        <v>11</v>
      </c>
      <c r="AE32" s="23">
        <v>11</v>
      </c>
      <c r="AF32" s="23" t="s">
        <v>10</v>
      </c>
      <c r="AG32" s="23">
        <v>11</v>
      </c>
      <c r="AH32" s="23">
        <v>11</v>
      </c>
      <c r="AI32" s="22">
        <f t="shared" si="0"/>
        <v>256</v>
      </c>
      <c r="AJ32" s="21"/>
      <c r="AK32" s="14">
        <f t="shared" si="1"/>
        <v>0</v>
      </c>
      <c r="AL32" s="2" t="s">
        <v>431</v>
      </c>
    </row>
    <row r="33" spans="1:38" ht="19.899999999999999" customHeight="1" x14ac:dyDescent="0.25">
      <c r="A33" s="2">
        <v>31</v>
      </c>
      <c r="B33" s="25" t="s">
        <v>120</v>
      </c>
      <c r="C33" s="4" t="s">
        <v>121</v>
      </c>
      <c r="D33" s="2" t="s">
        <v>84</v>
      </c>
      <c r="E33" s="23">
        <v>11</v>
      </c>
      <c r="F33" s="23">
        <v>11</v>
      </c>
      <c r="G33" s="13">
        <v>11</v>
      </c>
      <c r="H33" s="23">
        <v>11</v>
      </c>
      <c r="I33" s="13">
        <v>11</v>
      </c>
      <c r="J33" s="13">
        <v>11</v>
      </c>
      <c r="K33" s="13" t="s">
        <v>10</v>
      </c>
      <c r="L33" s="23">
        <v>11</v>
      </c>
      <c r="M33" s="23">
        <v>11</v>
      </c>
      <c r="N33" s="13">
        <v>10</v>
      </c>
      <c r="O33" s="23">
        <v>10</v>
      </c>
      <c r="P33" s="13">
        <v>10</v>
      </c>
      <c r="Q33" s="13">
        <v>10</v>
      </c>
      <c r="R33" s="13" t="s">
        <v>10</v>
      </c>
      <c r="S33" s="23">
        <v>10</v>
      </c>
      <c r="T33" s="23">
        <v>10</v>
      </c>
      <c r="U33" s="13">
        <v>10</v>
      </c>
      <c r="V33" s="23">
        <v>10</v>
      </c>
      <c r="W33" s="13">
        <v>10</v>
      </c>
      <c r="X33" s="13">
        <v>10</v>
      </c>
      <c r="Y33" s="13" t="s">
        <v>10</v>
      </c>
      <c r="Z33" s="23">
        <v>11</v>
      </c>
      <c r="AA33" s="23">
        <v>11</v>
      </c>
      <c r="AB33" s="23">
        <v>11</v>
      </c>
      <c r="AC33" s="23">
        <v>11</v>
      </c>
      <c r="AD33" s="13">
        <v>11</v>
      </c>
      <c r="AE33" s="23">
        <v>11</v>
      </c>
      <c r="AF33" s="23" t="s">
        <v>10</v>
      </c>
      <c r="AG33" s="23">
        <v>11</v>
      </c>
      <c r="AH33" s="23">
        <v>11</v>
      </c>
      <c r="AI33" s="22">
        <f t="shared" si="0"/>
        <v>276</v>
      </c>
      <c r="AJ33" s="21"/>
      <c r="AK33" s="14">
        <f t="shared" si="1"/>
        <v>0</v>
      </c>
      <c r="AL33" s="2" t="s">
        <v>553</v>
      </c>
    </row>
    <row r="34" spans="1:38" ht="19.899999999999999" customHeight="1" x14ac:dyDescent="0.25">
      <c r="A34" s="2">
        <v>32</v>
      </c>
      <c r="B34" s="25" t="s">
        <v>305</v>
      </c>
      <c r="C34" s="4" t="s">
        <v>480</v>
      </c>
      <c r="D34" s="2" t="s">
        <v>84</v>
      </c>
      <c r="E34" s="23">
        <v>10</v>
      </c>
      <c r="F34" s="23">
        <v>10</v>
      </c>
      <c r="G34" s="13">
        <v>10</v>
      </c>
      <c r="H34" s="23">
        <v>10</v>
      </c>
      <c r="I34" s="13" t="s">
        <v>515</v>
      </c>
      <c r="J34" s="13">
        <v>10</v>
      </c>
      <c r="K34" s="13" t="s">
        <v>10</v>
      </c>
      <c r="L34" s="23">
        <v>10</v>
      </c>
      <c r="M34" s="23">
        <v>10</v>
      </c>
      <c r="N34" s="13">
        <v>10</v>
      </c>
      <c r="O34" s="23">
        <v>10</v>
      </c>
      <c r="P34" s="13">
        <v>10</v>
      </c>
      <c r="Q34" s="13">
        <v>10</v>
      </c>
      <c r="R34" s="13" t="s">
        <v>10</v>
      </c>
      <c r="S34" s="23">
        <v>10</v>
      </c>
      <c r="T34" s="23">
        <v>10</v>
      </c>
      <c r="U34" s="13">
        <v>10</v>
      </c>
      <c r="V34" s="23">
        <v>10</v>
      </c>
      <c r="W34" s="13">
        <v>10</v>
      </c>
      <c r="X34" s="13">
        <v>10</v>
      </c>
      <c r="Y34" s="13" t="s">
        <v>10</v>
      </c>
      <c r="Z34" s="23">
        <v>10</v>
      </c>
      <c r="AA34" s="23">
        <v>10</v>
      </c>
      <c r="AB34" s="23">
        <v>10</v>
      </c>
      <c r="AC34" s="23">
        <v>10</v>
      </c>
      <c r="AD34" s="13">
        <v>10</v>
      </c>
      <c r="AE34" s="23">
        <v>10</v>
      </c>
      <c r="AF34" s="23" t="s">
        <v>10</v>
      </c>
      <c r="AG34" s="23">
        <v>10</v>
      </c>
      <c r="AH34" s="23">
        <v>10</v>
      </c>
      <c r="AI34" s="22">
        <f t="shared" si="0"/>
        <v>250</v>
      </c>
      <c r="AJ34" s="21"/>
      <c r="AK34" s="14">
        <f t="shared" si="1"/>
        <v>0</v>
      </c>
      <c r="AL34" s="2" t="s">
        <v>442</v>
      </c>
    </row>
    <row r="35" spans="1:38" ht="19.899999999999999" customHeight="1" x14ac:dyDescent="0.25">
      <c r="A35" s="2">
        <v>33</v>
      </c>
      <c r="B35" s="28" t="s">
        <v>106</v>
      </c>
      <c r="C35" s="4" t="s">
        <v>107</v>
      </c>
      <c r="D35" s="2" t="s">
        <v>84</v>
      </c>
      <c r="E35" s="23">
        <v>10</v>
      </c>
      <c r="F35" s="23">
        <v>8</v>
      </c>
      <c r="G35" s="13">
        <v>10</v>
      </c>
      <c r="H35" s="23">
        <v>10</v>
      </c>
      <c r="I35" s="13" t="s">
        <v>515</v>
      </c>
      <c r="J35" s="13">
        <v>10</v>
      </c>
      <c r="K35" s="13" t="s">
        <v>10</v>
      </c>
      <c r="L35" s="23">
        <v>10</v>
      </c>
      <c r="M35" s="23">
        <v>10</v>
      </c>
      <c r="N35" s="13">
        <v>10</v>
      </c>
      <c r="O35" s="23">
        <v>10</v>
      </c>
      <c r="P35" s="13">
        <v>10</v>
      </c>
      <c r="Q35" s="13">
        <v>10</v>
      </c>
      <c r="R35" s="13" t="s">
        <v>10</v>
      </c>
      <c r="S35" s="23">
        <v>10</v>
      </c>
      <c r="T35" s="23">
        <v>10</v>
      </c>
      <c r="U35" s="13">
        <v>10</v>
      </c>
      <c r="V35" s="23">
        <v>10</v>
      </c>
      <c r="W35" s="13">
        <v>10</v>
      </c>
      <c r="X35" s="13">
        <v>10</v>
      </c>
      <c r="Y35" s="13" t="s">
        <v>10</v>
      </c>
      <c r="Z35" s="23">
        <v>11</v>
      </c>
      <c r="AA35" s="23">
        <v>11</v>
      </c>
      <c r="AB35" s="23">
        <v>11</v>
      </c>
      <c r="AC35" s="23">
        <v>11</v>
      </c>
      <c r="AD35" s="13">
        <v>11</v>
      </c>
      <c r="AE35" s="23">
        <v>11</v>
      </c>
      <c r="AF35" s="23" t="s">
        <v>10</v>
      </c>
      <c r="AG35" s="23">
        <v>11</v>
      </c>
      <c r="AH35" s="23">
        <v>11</v>
      </c>
      <c r="AI35" s="22">
        <f t="shared" ref="AI35:AI66" si="2">SUM(E35:AH35)</f>
        <v>256</v>
      </c>
      <c r="AJ35" s="21"/>
      <c r="AK35" s="14">
        <f t="shared" ref="AK35:AK66" si="3">AI35*AJ35</f>
        <v>0</v>
      </c>
      <c r="AL35" s="2" t="s">
        <v>431</v>
      </c>
    </row>
    <row r="36" spans="1:38" ht="19.899999999999999" customHeight="1" x14ac:dyDescent="0.25">
      <c r="A36" s="2">
        <v>34</v>
      </c>
      <c r="B36" s="28" t="s">
        <v>306</v>
      </c>
      <c r="C36" s="4" t="s">
        <v>153</v>
      </c>
      <c r="D36" s="2" t="s">
        <v>84</v>
      </c>
      <c r="E36" s="23">
        <v>10</v>
      </c>
      <c r="F36" s="23">
        <v>8</v>
      </c>
      <c r="G36" s="13">
        <v>10</v>
      </c>
      <c r="H36" s="23">
        <v>10</v>
      </c>
      <c r="I36" s="13" t="s">
        <v>515</v>
      </c>
      <c r="J36" s="13">
        <v>10</v>
      </c>
      <c r="K36" s="13" t="s">
        <v>10</v>
      </c>
      <c r="L36" s="23">
        <v>10</v>
      </c>
      <c r="M36" s="23">
        <v>10</v>
      </c>
      <c r="N36" s="13">
        <v>10</v>
      </c>
      <c r="O36" s="23">
        <v>10</v>
      </c>
      <c r="P36" s="13">
        <v>10</v>
      </c>
      <c r="Q36" s="13">
        <v>10</v>
      </c>
      <c r="R36" s="13" t="s">
        <v>10</v>
      </c>
      <c r="S36" s="23">
        <v>10</v>
      </c>
      <c r="T36" s="23">
        <v>10</v>
      </c>
      <c r="U36" s="13">
        <v>10</v>
      </c>
      <c r="V36" s="23">
        <v>10</v>
      </c>
      <c r="W36" s="13">
        <v>10</v>
      </c>
      <c r="X36" s="13">
        <v>10</v>
      </c>
      <c r="Y36" s="13" t="s">
        <v>10</v>
      </c>
      <c r="Z36" s="23">
        <v>11</v>
      </c>
      <c r="AA36" s="23">
        <v>11</v>
      </c>
      <c r="AB36" s="23">
        <v>11</v>
      </c>
      <c r="AC36" s="23">
        <v>11</v>
      </c>
      <c r="AD36" s="13">
        <v>11</v>
      </c>
      <c r="AE36" s="23">
        <v>11</v>
      </c>
      <c r="AF36" s="23" t="s">
        <v>10</v>
      </c>
      <c r="AG36" s="23">
        <v>11</v>
      </c>
      <c r="AH36" s="23">
        <v>11</v>
      </c>
      <c r="AI36" s="22">
        <f t="shared" si="2"/>
        <v>256</v>
      </c>
      <c r="AJ36" s="21"/>
      <c r="AK36" s="14">
        <f t="shared" si="3"/>
        <v>0</v>
      </c>
      <c r="AL36" s="2" t="s">
        <v>431</v>
      </c>
    </row>
    <row r="37" spans="1:38" ht="19.899999999999999" customHeight="1" x14ac:dyDescent="0.25">
      <c r="A37" s="2">
        <v>35</v>
      </c>
      <c r="B37" s="25" t="s">
        <v>108</v>
      </c>
      <c r="C37" s="4" t="s">
        <v>109</v>
      </c>
      <c r="D37" s="2" t="s">
        <v>84</v>
      </c>
      <c r="E37" s="23">
        <v>11</v>
      </c>
      <c r="F37" s="23">
        <v>11</v>
      </c>
      <c r="G37" s="13">
        <v>11</v>
      </c>
      <c r="H37" s="23">
        <v>11</v>
      </c>
      <c r="I37" s="13">
        <v>11</v>
      </c>
      <c r="J37" s="13">
        <v>11</v>
      </c>
      <c r="K37" s="13" t="s">
        <v>10</v>
      </c>
      <c r="L37" s="23">
        <v>11</v>
      </c>
      <c r="M37" s="23">
        <v>11</v>
      </c>
      <c r="N37" s="13">
        <v>11</v>
      </c>
      <c r="O37" s="23">
        <v>11</v>
      </c>
      <c r="P37" s="13">
        <v>11</v>
      </c>
      <c r="Q37" s="13">
        <v>11</v>
      </c>
      <c r="R37" s="13" t="s">
        <v>10</v>
      </c>
      <c r="S37" s="23">
        <v>11</v>
      </c>
      <c r="T37" s="23">
        <v>11</v>
      </c>
      <c r="U37" s="13">
        <v>11</v>
      </c>
      <c r="V37" s="23">
        <v>11</v>
      </c>
      <c r="W37" s="13">
        <v>11</v>
      </c>
      <c r="X37" s="13">
        <v>11</v>
      </c>
      <c r="Y37" s="13" t="s">
        <v>10</v>
      </c>
      <c r="Z37" s="23" t="s">
        <v>32</v>
      </c>
      <c r="AA37" s="23">
        <v>11</v>
      </c>
      <c r="AB37" s="23">
        <v>11</v>
      </c>
      <c r="AC37" s="23">
        <v>11</v>
      </c>
      <c r="AD37" s="13">
        <v>11</v>
      </c>
      <c r="AE37" s="23">
        <v>11</v>
      </c>
      <c r="AF37" s="23" t="s">
        <v>10</v>
      </c>
      <c r="AG37" s="23">
        <v>11</v>
      </c>
      <c r="AH37" s="23">
        <v>11</v>
      </c>
      <c r="AI37" s="22">
        <f t="shared" si="2"/>
        <v>275</v>
      </c>
      <c r="AJ37" s="21"/>
      <c r="AK37" s="14">
        <f t="shared" si="3"/>
        <v>0</v>
      </c>
      <c r="AL37" s="2" t="s">
        <v>344</v>
      </c>
    </row>
    <row r="38" spans="1:38" ht="19.899999999999999" customHeight="1" x14ac:dyDescent="0.25">
      <c r="A38" s="2">
        <v>36</v>
      </c>
      <c r="B38" s="25" t="s">
        <v>110</v>
      </c>
      <c r="C38" s="4" t="s">
        <v>111</v>
      </c>
      <c r="D38" s="2" t="s">
        <v>84</v>
      </c>
      <c r="E38" s="23">
        <v>10</v>
      </c>
      <c r="F38" s="23">
        <v>10</v>
      </c>
      <c r="G38" s="13">
        <v>10</v>
      </c>
      <c r="H38" s="23">
        <v>10</v>
      </c>
      <c r="I38" s="13">
        <v>10</v>
      </c>
      <c r="J38" s="13">
        <v>10</v>
      </c>
      <c r="K38" s="13" t="s">
        <v>10</v>
      </c>
      <c r="L38" s="23">
        <v>10</v>
      </c>
      <c r="M38" s="23">
        <v>10</v>
      </c>
      <c r="N38" s="13">
        <v>10</v>
      </c>
      <c r="O38" s="23">
        <v>10</v>
      </c>
      <c r="P38" s="13">
        <v>10</v>
      </c>
      <c r="Q38" s="13">
        <v>10</v>
      </c>
      <c r="R38" s="13">
        <v>10</v>
      </c>
      <c r="S38" s="23">
        <v>10</v>
      </c>
      <c r="T38" s="23">
        <v>10</v>
      </c>
      <c r="U38" s="13">
        <v>10</v>
      </c>
      <c r="V38" s="23">
        <v>10</v>
      </c>
      <c r="W38" s="13">
        <v>10</v>
      </c>
      <c r="X38" s="13">
        <v>10</v>
      </c>
      <c r="Y38" s="13">
        <v>10</v>
      </c>
      <c r="Z38" s="23">
        <v>10</v>
      </c>
      <c r="AA38" s="23">
        <v>10</v>
      </c>
      <c r="AB38" s="23">
        <v>10</v>
      </c>
      <c r="AC38" s="23">
        <v>10</v>
      </c>
      <c r="AD38" s="13">
        <v>10</v>
      </c>
      <c r="AE38" s="23">
        <v>10</v>
      </c>
      <c r="AF38" s="23" t="s">
        <v>10</v>
      </c>
      <c r="AG38" s="23">
        <v>10</v>
      </c>
      <c r="AH38" s="23">
        <v>10</v>
      </c>
      <c r="AI38" s="22">
        <f t="shared" si="2"/>
        <v>280</v>
      </c>
      <c r="AJ38" s="21"/>
      <c r="AK38" s="14">
        <f t="shared" si="3"/>
        <v>0</v>
      </c>
      <c r="AL38" s="2" t="s">
        <v>164</v>
      </c>
    </row>
    <row r="39" spans="1:38" ht="19.899999999999999" customHeight="1" x14ac:dyDescent="0.25">
      <c r="A39" s="2">
        <v>37</v>
      </c>
      <c r="B39" s="25" t="s">
        <v>436</v>
      </c>
      <c r="C39" s="4" t="s">
        <v>437</v>
      </c>
      <c r="D39" s="2" t="s">
        <v>130</v>
      </c>
      <c r="E39" s="23">
        <v>10</v>
      </c>
      <c r="F39" s="23">
        <v>10</v>
      </c>
      <c r="G39" s="13">
        <v>10</v>
      </c>
      <c r="H39" s="23">
        <v>10</v>
      </c>
      <c r="I39" s="13">
        <v>10</v>
      </c>
      <c r="J39" s="13">
        <v>10</v>
      </c>
      <c r="K39" s="13" t="s">
        <v>10</v>
      </c>
      <c r="L39" s="23">
        <v>10</v>
      </c>
      <c r="M39" s="23">
        <v>10</v>
      </c>
      <c r="N39" s="13">
        <v>10</v>
      </c>
      <c r="O39" s="23">
        <v>10</v>
      </c>
      <c r="P39" s="13">
        <v>10</v>
      </c>
      <c r="Q39" s="13">
        <v>10</v>
      </c>
      <c r="R39" s="13" t="s">
        <v>10</v>
      </c>
      <c r="S39" s="23">
        <v>10</v>
      </c>
      <c r="T39" s="23">
        <v>10</v>
      </c>
      <c r="U39" s="13">
        <v>10</v>
      </c>
      <c r="V39" s="23">
        <v>10</v>
      </c>
      <c r="W39" s="13">
        <v>10</v>
      </c>
      <c r="X39" s="13">
        <v>10</v>
      </c>
      <c r="Y39" s="13" t="s">
        <v>10</v>
      </c>
      <c r="Z39" s="23">
        <v>10</v>
      </c>
      <c r="AA39" s="23">
        <v>10</v>
      </c>
      <c r="AB39" s="23">
        <v>10</v>
      </c>
      <c r="AC39" s="23">
        <v>10</v>
      </c>
      <c r="AD39" s="13">
        <v>10</v>
      </c>
      <c r="AE39" s="23">
        <v>10</v>
      </c>
      <c r="AF39" s="23" t="s">
        <v>10</v>
      </c>
      <c r="AG39" s="23">
        <v>10</v>
      </c>
      <c r="AH39" s="23">
        <v>10</v>
      </c>
      <c r="AI39" s="22">
        <f t="shared" si="2"/>
        <v>260</v>
      </c>
      <c r="AJ39" s="21"/>
      <c r="AK39" s="14">
        <f t="shared" si="3"/>
        <v>0</v>
      </c>
      <c r="AL39" s="2" t="s">
        <v>164</v>
      </c>
    </row>
    <row r="40" spans="1:38" ht="19.899999999999999" customHeight="1" x14ac:dyDescent="0.25">
      <c r="A40" s="2">
        <v>38</v>
      </c>
      <c r="B40" s="25" t="s">
        <v>152</v>
      </c>
      <c r="C40" s="4" t="s">
        <v>331</v>
      </c>
      <c r="D40" s="2" t="s">
        <v>84</v>
      </c>
      <c r="E40" s="23">
        <v>10</v>
      </c>
      <c r="F40" s="23">
        <v>10</v>
      </c>
      <c r="G40" s="13">
        <v>10</v>
      </c>
      <c r="H40" s="23">
        <v>10</v>
      </c>
      <c r="I40" s="13">
        <v>10</v>
      </c>
      <c r="J40" s="13">
        <v>10</v>
      </c>
      <c r="K40" s="13">
        <v>14</v>
      </c>
      <c r="L40" s="23">
        <v>10</v>
      </c>
      <c r="M40" s="23">
        <v>10</v>
      </c>
      <c r="N40" s="13">
        <v>10</v>
      </c>
      <c r="O40" s="23">
        <v>10</v>
      </c>
      <c r="P40" s="13">
        <v>10</v>
      </c>
      <c r="Q40" s="13">
        <v>10</v>
      </c>
      <c r="R40" s="13">
        <v>14</v>
      </c>
      <c r="S40" s="23">
        <v>10</v>
      </c>
      <c r="T40" s="23">
        <v>10</v>
      </c>
      <c r="U40" s="13">
        <v>10</v>
      </c>
      <c r="V40" s="23">
        <v>10</v>
      </c>
      <c r="W40" s="13">
        <v>10</v>
      </c>
      <c r="X40" s="13">
        <v>10</v>
      </c>
      <c r="Y40" s="13" t="s">
        <v>10</v>
      </c>
      <c r="Z40" s="23">
        <v>10</v>
      </c>
      <c r="AA40" s="23">
        <v>10</v>
      </c>
      <c r="AB40" s="23">
        <v>10</v>
      </c>
      <c r="AC40" s="23">
        <v>12</v>
      </c>
      <c r="AD40" s="13">
        <v>10</v>
      </c>
      <c r="AE40" s="23">
        <v>10</v>
      </c>
      <c r="AF40" s="23" t="s">
        <v>10</v>
      </c>
      <c r="AG40" s="23">
        <v>10</v>
      </c>
      <c r="AH40" s="23">
        <v>10</v>
      </c>
      <c r="AI40" s="22">
        <f t="shared" si="2"/>
        <v>290</v>
      </c>
      <c r="AJ40" s="21"/>
      <c r="AK40" s="14">
        <f t="shared" si="3"/>
        <v>0</v>
      </c>
      <c r="AL40" s="2" t="s">
        <v>309</v>
      </c>
    </row>
    <row r="41" spans="1:38" ht="19.899999999999999" customHeight="1" x14ac:dyDescent="0.25">
      <c r="A41" s="2">
        <v>39</v>
      </c>
      <c r="B41" s="28" t="s">
        <v>147</v>
      </c>
      <c r="C41" s="4" t="s">
        <v>148</v>
      </c>
      <c r="D41" s="2" t="s">
        <v>84</v>
      </c>
      <c r="E41" s="23" t="s">
        <v>555</v>
      </c>
      <c r="F41" s="23" t="s">
        <v>555</v>
      </c>
      <c r="G41" s="23" t="s">
        <v>555</v>
      </c>
      <c r="H41" s="23" t="s">
        <v>555</v>
      </c>
      <c r="I41" s="23" t="s">
        <v>555</v>
      </c>
      <c r="J41" s="23" t="s">
        <v>555</v>
      </c>
      <c r="K41" s="23" t="s">
        <v>555</v>
      </c>
      <c r="L41" s="23" t="s">
        <v>555</v>
      </c>
      <c r="M41" s="23" t="s">
        <v>555</v>
      </c>
      <c r="N41" s="23" t="s">
        <v>555</v>
      </c>
      <c r="O41" s="23" t="s">
        <v>555</v>
      </c>
      <c r="P41" s="23" t="s">
        <v>555</v>
      </c>
      <c r="Q41" s="23" t="s">
        <v>555</v>
      </c>
      <c r="R41" s="23" t="s">
        <v>555</v>
      </c>
      <c r="S41" s="23" t="s">
        <v>555</v>
      </c>
      <c r="T41" s="23" t="s">
        <v>555</v>
      </c>
      <c r="U41" s="23" t="s">
        <v>555</v>
      </c>
      <c r="V41" s="23">
        <v>8</v>
      </c>
      <c r="W41" s="13">
        <v>10</v>
      </c>
      <c r="X41" s="13">
        <v>10</v>
      </c>
      <c r="Y41" s="13" t="s">
        <v>10</v>
      </c>
      <c r="Z41" s="23">
        <v>10</v>
      </c>
      <c r="AA41" s="23">
        <v>10</v>
      </c>
      <c r="AB41" s="23">
        <v>10</v>
      </c>
      <c r="AC41" s="23">
        <v>10</v>
      </c>
      <c r="AD41" s="13">
        <v>10</v>
      </c>
      <c r="AE41" s="23">
        <v>10</v>
      </c>
      <c r="AF41" s="23" t="s">
        <v>10</v>
      </c>
      <c r="AG41" s="23">
        <v>10</v>
      </c>
      <c r="AH41" s="23">
        <v>10</v>
      </c>
      <c r="AI41" s="22">
        <f t="shared" si="2"/>
        <v>108</v>
      </c>
      <c r="AJ41" s="21"/>
      <c r="AK41" s="14">
        <f t="shared" si="3"/>
        <v>0</v>
      </c>
      <c r="AL41" s="2" t="s">
        <v>521</v>
      </c>
    </row>
    <row r="42" spans="1:38" ht="19.899999999999999" customHeight="1" x14ac:dyDescent="0.25">
      <c r="A42" s="2">
        <v>40</v>
      </c>
      <c r="B42" s="25" t="s">
        <v>124</v>
      </c>
      <c r="C42" s="4" t="s">
        <v>125</v>
      </c>
      <c r="D42" s="2" t="s">
        <v>84</v>
      </c>
      <c r="E42" s="23">
        <v>10</v>
      </c>
      <c r="F42" s="23">
        <v>10</v>
      </c>
      <c r="G42" s="13">
        <v>10</v>
      </c>
      <c r="H42" s="23">
        <v>10</v>
      </c>
      <c r="I42" s="13" t="s">
        <v>515</v>
      </c>
      <c r="J42" s="13">
        <v>10</v>
      </c>
      <c r="K42" s="13" t="s">
        <v>10</v>
      </c>
      <c r="L42" s="23">
        <v>10</v>
      </c>
      <c r="M42" s="23">
        <v>10</v>
      </c>
      <c r="N42" s="13">
        <v>10</v>
      </c>
      <c r="O42" s="23">
        <v>10</v>
      </c>
      <c r="P42" s="13">
        <v>10</v>
      </c>
      <c r="Q42" s="13">
        <v>10</v>
      </c>
      <c r="R42" s="13" t="s">
        <v>10</v>
      </c>
      <c r="S42" s="23">
        <v>10</v>
      </c>
      <c r="T42" s="23">
        <v>10</v>
      </c>
      <c r="U42" s="13">
        <v>10</v>
      </c>
      <c r="V42" s="23">
        <v>10</v>
      </c>
      <c r="W42" s="13">
        <v>10</v>
      </c>
      <c r="X42" s="13">
        <v>10</v>
      </c>
      <c r="Y42" s="13" t="s">
        <v>10</v>
      </c>
      <c r="Z42" s="23">
        <v>10</v>
      </c>
      <c r="AA42" s="23">
        <v>10</v>
      </c>
      <c r="AB42" s="23">
        <v>10</v>
      </c>
      <c r="AC42" s="23">
        <v>10</v>
      </c>
      <c r="AD42" s="13">
        <v>10</v>
      </c>
      <c r="AE42" s="23">
        <v>10</v>
      </c>
      <c r="AF42" s="23" t="s">
        <v>10</v>
      </c>
      <c r="AG42" s="23">
        <v>10</v>
      </c>
      <c r="AH42" s="23">
        <v>10</v>
      </c>
      <c r="AI42" s="22">
        <f t="shared" si="2"/>
        <v>250</v>
      </c>
      <c r="AJ42" s="2"/>
      <c r="AK42" s="14">
        <f t="shared" si="3"/>
        <v>0</v>
      </c>
      <c r="AL42" s="2" t="s">
        <v>442</v>
      </c>
    </row>
    <row r="43" spans="1:38" ht="19.899999999999999" customHeight="1" x14ac:dyDescent="0.25">
      <c r="A43" s="2">
        <v>41</v>
      </c>
      <c r="B43" s="28" t="s">
        <v>143</v>
      </c>
      <c r="C43" s="4" t="s">
        <v>144</v>
      </c>
      <c r="D43" s="2" t="s">
        <v>130</v>
      </c>
      <c r="E43" s="23">
        <v>10</v>
      </c>
      <c r="F43" s="23">
        <v>10</v>
      </c>
      <c r="G43" s="13">
        <v>10</v>
      </c>
      <c r="H43" s="23">
        <v>10</v>
      </c>
      <c r="I43" s="13">
        <v>10</v>
      </c>
      <c r="J43" s="13">
        <v>10</v>
      </c>
      <c r="K43" s="13">
        <v>10</v>
      </c>
      <c r="L43" s="23">
        <v>10</v>
      </c>
      <c r="M43" s="23">
        <v>10</v>
      </c>
      <c r="N43" s="13">
        <v>10</v>
      </c>
      <c r="O43" s="23">
        <v>10</v>
      </c>
      <c r="P43" s="13">
        <v>10</v>
      </c>
      <c r="Q43" s="13">
        <v>10</v>
      </c>
      <c r="R43" s="13">
        <v>10</v>
      </c>
      <c r="S43" s="23">
        <v>10</v>
      </c>
      <c r="T43" s="23">
        <v>10</v>
      </c>
      <c r="U43" s="13">
        <v>10</v>
      </c>
      <c r="V43" s="23">
        <v>10</v>
      </c>
      <c r="W43" s="13">
        <v>10</v>
      </c>
      <c r="X43" s="13">
        <v>10</v>
      </c>
      <c r="Y43" s="13">
        <v>10</v>
      </c>
      <c r="Z43" s="23">
        <v>10</v>
      </c>
      <c r="AA43" s="23">
        <v>10</v>
      </c>
      <c r="AB43" s="23">
        <v>10</v>
      </c>
      <c r="AC43" s="23">
        <v>10</v>
      </c>
      <c r="AD43" s="13">
        <v>10</v>
      </c>
      <c r="AE43" s="23">
        <v>10</v>
      </c>
      <c r="AF43" s="23">
        <v>10</v>
      </c>
      <c r="AG43" s="23">
        <v>10</v>
      </c>
      <c r="AH43" s="23">
        <v>10</v>
      </c>
      <c r="AI43" s="22">
        <f t="shared" si="2"/>
        <v>300</v>
      </c>
      <c r="AJ43" s="21"/>
      <c r="AK43" s="14">
        <f t="shared" si="3"/>
        <v>0</v>
      </c>
      <c r="AL43" s="2" t="s">
        <v>164</v>
      </c>
    </row>
    <row r="44" spans="1:38" ht="19.899999999999999" customHeight="1" x14ac:dyDescent="0.25">
      <c r="A44" s="2">
        <v>42</v>
      </c>
      <c r="B44" s="30" t="s">
        <v>145</v>
      </c>
      <c r="C44" s="4" t="s">
        <v>146</v>
      </c>
      <c r="D44" s="2" t="s">
        <v>130</v>
      </c>
      <c r="E44" s="23">
        <v>10</v>
      </c>
      <c r="F44" s="23">
        <v>10</v>
      </c>
      <c r="G44" s="13">
        <v>10</v>
      </c>
      <c r="H44" s="23">
        <v>10</v>
      </c>
      <c r="I44" s="13">
        <v>10</v>
      </c>
      <c r="J44" s="13">
        <v>10</v>
      </c>
      <c r="K44" s="13" t="s">
        <v>10</v>
      </c>
      <c r="L44" s="23">
        <v>10</v>
      </c>
      <c r="M44" s="23">
        <v>10</v>
      </c>
      <c r="N44" s="13">
        <v>10</v>
      </c>
      <c r="O44" s="23">
        <v>10</v>
      </c>
      <c r="P44" s="13">
        <v>10</v>
      </c>
      <c r="Q44" s="13">
        <v>10</v>
      </c>
      <c r="R44" s="13" t="s">
        <v>10</v>
      </c>
      <c r="S44" s="23">
        <v>10</v>
      </c>
      <c r="T44" s="23">
        <v>10</v>
      </c>
      <c r="U44" s="13">
        <v>10</v>
      </c>
      <c r="V44" s="23">
        <v>10</v>
      </c>
      <c r="W44" s="13">
        <v>10</v>
      </c>
      <c r="X44" s="13">
        <v>10</v>
      </c>
      <c r="Y44" s="13" t="s">
        <v>10</v>
      </c>
      <c r="Z44" s="23">
        <v>10</v>
      </c>
      <c r="AA44" s="23">
        <v>10</v>
      </c>
      <c r="AB44" s="23">
        <v>10</v>
      </c>
      <c r="AC44" s="23">
        <v>10</v>
      </c>
      <c r="AD44" s="13">
        <v>10</v>
      </c>
      <c r="AE44" s="23">
        <v>10</v>
      </c>
      <c r="AF44" s="23" t="s">
        <v>10</v>
      </c>
      <c r="AG44" s="23">
        <v>10</v>
      </c>
      <c r="AH44" s="23">
        <v>10</v>
      </c>
      <c r="AI44" s="22">
        <f t="shared" si="2"/>
        <v>260</v>
      </c>
      <c r="AJ44" s="21"/>
      <c r="AK44" s="14">
        <f t="shared" si="3"/>
        <v>0</v>
      </c>
      <c r="AL44" s="2" t="s">
        <v>164</v>
      </c>
    </row>
    <row r="45" spans="1:38" ht="19.899999999999999" customHeight="1" x14ac:dyDescent="0.25">
      <c r="A45" s="2">
        <v>43</v>
      </c>
      <c r="B45" s="25" t="s">
        <v>85</v>
      </c>
      <c r="C45" s="4" t="s">
        <v>522</v>
      </c>
      <c r="D45" s="2" t="s">
        <v>523</v>
      </c>
      <c r="E45" s="23">
        <v>10.5</v>
      </c>
      <c r="F45" s="23">
        <v>10.5</v>
      </c>
      <c r="G45" s="13">
        <v>10.5</v>
      </c>
      <c r="H45" s="23">
        <v>10.5</v>
      </c>
      <c r="I45" s="13" t="s">
        <v>515</v>
      </c>
      <c r="J45" s="13">
        <v>10.5</v>
      </c>
      <c r="K45" s="13" t="s">
        <v>10</v>
      </c>
      <c r="L45" s="23">
        <v>10.5</v>
      </c>
      <c r="M45" s="23">
        <v>10.5</v>
      </c>
      <c r="N45" s="13">
        <v>10.5</v>
      </c>
      <c r="O45" s="23">
        <v>10.5</v>
      </c>
      <c r="P45" s="13">
        <v>10.5</v>
      </c>
      <c r="Q45" s="13">
        <v>10.5</v>
      </c>
      <c r="R45" s="13" t="s">
        <v>10</v>
      </c>
      <c r="S45" s="23">
        <v>10.5</v>
      </c>
      <c r="T45" s="23">
        <v>10.5</v>
      </c>
      <c r="U45" s="13">
        <v>10.5</v>
      </c>
      <c r="V45" s="23">
        <v>10.5</v>
      </c>
      <c r="W45" s="13">
        <v>10.5</v>
      </c>
      <c r="X45" s="13">
        <v>10.5</v>
      </c>
      <c r="Y45" s="13" t="s">
        <v>10</v>
      </c>
      <c r="Z45" s="23">
        <v>10.5</v>
      </c>
      <c r="AA45" s="23">
        <v>10.5</v>
      </c>
      <c r="AB45" s="23">
        <v>10.5</v>
      </c>
      <c r="AC45" s="23">
        <v>10.5</v>
      </c>
      <c r="AD45" s="13">
        <v>10.5</v>
      </c>
      <c r="AE45" s="23">
        <v>10.5</v>
      </c>
      <c r="AF45" s="23" t="s">
        <v>10</v>
      </c>
      <c r="AG45" s="23">
        <v>10.5</v>
      </c>
      <c r="AH45" s="23">
        <v>10.5</v>
      </c>
      <c r="AI45" s="22">
        <f t="shared" si="2"/>
        <v>262.5</v>
      </c>
      <c r="AJ45" s="21"/>
      <c r="AK45" s="14">
        <f t="shared" si="3"/>
        <v>0</v>
      </c>
      <c r="AL45" s="2" t="s">
        <v>94</v>
      </c>
    </row>
    <row r="46" spans="1:38" ht="19.899999999999999" customHeight="1" x14ac:dyDescent="0.25">
      <c r="A46" s="2">
        <v>44</v>
      </c>
      <c r="B46" s="25" t="s">
        <v>86</v>
      </c>
      <c r="C46" s="4" t="s">
        <v>524</v>
      </c>
      <c r="D46" s="2" t="s">
        <v>523</v>
      </c>
      <c r="E46" s="23">
        <v>10.5</v>
      </c>
      <c r="F46" s="23">
        <v>10.5</v>
      </c>
      <c r="G46" s="13">
        <v>10.5</v>
      </c>
      <c r="H46" s="23">
        <v>10.5</v>
      </c>
      <c r="I46" s="13" t="s">
        <v>515</v>
      </c>
      <c r="J46" s="13">
        <v>10.5</v>
      </c>
      <c r="K46" s="13" t="s">
        <v>10</v>
      </c>
      <c r="L46" s="23">
        <v>10.5</v>
      </c>
      <c r="M46" s="23">
        <v>10.5</v>
      </c>
      <c r="N46" s="13">
        <v>10.5</v>
      </c>
      <c r="O46" s="23">
        <v>10.5</v>
      </c>
      <c r="P46" s="13">
        <v>10.5</v>
      </c>
      <c r="Q46" s="13">
        <v>10.5</v>
      </c>
      <c r="R46" s="13" t="s">
        <v>10</v>
      </c>
      <c r="S46" s="23">
        <v>10.5</v>
      </c>
      <c r="T46" s="23">
        <v>10.5</v>
      </c>
      <c r="U46" s="13">
        <v>10.5</v>
      </c>
      <c r="V46" s="23">
        <v>10.5</v>
      </c>
      <c r="W46" s="13">
        <v>10.5</v>
      </c>
      <c r="X46" s="13">
        <v>10.5</v>
      </c>
      <c r="Y46" s="13" t="s">
        <v>10</v>
      </c>
      <c r="Z46" s="23">
        <v>10.5</v>
      </c>
      <c r="AA46" s="23">
        <v>10.5</v>
      </c>
      <c r="AB46" s="23">
        <v>10.5</v>
      </c>
      <c r="AC46" s="23">
        <v>10.5</v>
      </c>
      <c r="AD46" s="13">
        <v>10.5</v>
      </c>
      <c r="AE46" s="23">
        <v>10.5</v>
      </c>
      <c r="AF46" s="23" t="s">
        <v>10</v>
      </c>
      <c r="AG46" s="23">
        <v>10.5</v>
      </c>
      <c r="AH46" s="23">
        <v>10.5</v>
      </c>
      <c r="AI46" s="22">
        <f t="shared" si="2"/>
        <v>262.5</v>
      </c>
      <c r="AJ46" s="21"/>
      <c r="AK46" s="14">
        <f t="shared" si="3"/>
        <v>0</v>
      </c>
      <c r="AL46" s="2" t="s">
        <v>94</v>
      </c>
    </row>
    <row r="47" spans="1:38" ht="19.899999999999999" customHeight="1" x14ac:dyDescent="0.25">
      <c r="A47" s="2">
        <v>45</v>
      </c>
      <c r="B47" s="25" t="s">
        <v>87</v>
      </c>
      <c r="C47" s="4" t="s">
        <v>525</v>
      </c>
      <c r="D47" s="2" t="s">
        <v>523</v>
      </c>
      <c r="E47" s="23">
        <v>10.5</v>
      </c>
      <c r="F47" s="23">
        <v>10.5</v>
      </c>
      <c r="G47" s="13">
        <v>10.5</v>
      </c>
      <c r="H47" s="23">
        <v>10.5</v>
      </c>
      <c r="I47" s="13" t="s">
        <v>515</v>
      </c>
      <c r="J47" s="13">
        <v>10.5</v>
      </c>
      <c r="K47" s="13" t="s">
        <v>10</v>
      </c>
      <c r="L47" s="23">
        <v>10.5</v>
      </c>
      <c r="M47" s="23">
        <v>10.5</v>
      </c>
      <c r="N47" s="13">
        <v>10.5</v>
      </c>
      <c r="O47" s="23">
        <v>10.5</v>
      </c>
      <c r="P47" s="13">
        <v>10.5</v>
      </c>
      <c r="Q47" s="13">
        <v>10.5</v>
      </c>
      <c r="R47" s="13" t="s">
        <v>10</v>
      </c>
      <c r="S47" s="23">
        <v>10.5</v>
      </c>
      <c r="T47" s="23">
        <v>10.5</v>
      </c>
      <c r="U47" s="13">
        <v>10.5</v>
      </c>
      <c r="V47" s="23">
        <v>10.5</v>
      </c>
      <c r="W47" s="13">
        <v>10.5</v>
      </c>
      <c r="X47" s="13">
        <v>10.5</v>
      </c>
      <c r="Y47" s="13" t="s">
        <v>10</v>
      </c>
      <c r="Z47" s="23">
        <v>10.5</v>
      </c>
      <c r="AA47" s="23">
        <v>10.5</v>
      </c>
      <c r="AB47" s="23">
        <v>10.5</v>
      </c>
      <c r="AC47" s="23">
        <v>10.5</v>
      </c>
      <c r="AD47" s="13">
        <v>10.5</v>
      </c>
      <c r="AE47" s="23">
        <v>10.5</v>
      </c>
      <c r="AF47" s="23" t="s">
        <v>10</v>
      </c>
      <c r="AG47" s="23">
        <v>10.5</v>
      </c>
      <c r="AH47" s="23">
        <v>10.5</v>
      </c>
      <c r="AI47" s="22">
        <f t="shared" si="2"/>
        <v>262.5</v>
      </c>
      <c r="AJ47" s="21"/>
      <c r="AK47" s="14">
        <f t="shared" si="3"/>
        <v>0</v>
      </c>
      <c r="AL47" s="2" t="s">
        <v>94</v>
      </c>
    </row>
    <row r="48" spans="1:38" ht="19.899999999999999" customHeight="1" x14ac:dyDescent="0.25">
      <c r="A48" s="2">
        <v>46</v>
      </c>
      <c r="B48" s="25" t="s">
        <v>88</v>
      </c>
      <c r="C48" s="4" t="s">
        <v>526</v>
      </c>
      <c r="D48" s="2" t="s">
        <v>523</v>
      </c>
      <c r="E48" s="23">
        <v>10.5</v>
      </c>
      <c r="F48" s="23">
        <v>10.5</v>
      </c>
      <c r="G48" s="13">
        <v>10.5</v>
      </c>
      <c r="H48" s="23">
        <v>10.5</v>
      </c>
      <c r="I48" s="13" t="s">
        <v>515</v>
      </c>
      <c r="J48" s="13">
        <v>10.5</v>
      </c>
      <c r="K48" s="13" t="s">
        <v>10</v>
      </c>
      <c r="L48" s="23">
        <v>10.5</v>
      </c>
      <c r="M48" s="23">
        <v>10.5</v>
      </c>
      <c r="N48" s="13">
        <v>10.5</v>
      </c>
      <c r="O48" s="23">
        <v>10.5</v>
      </c>
      <c r="P48" s="13">
        <v>10.5</v>
      </c>
      <c r="Q48" s="13">
        <v>10.5</v>
      </c>
      <c r="R48" s="13" t="s">
        <v>10</v>
      </c>
      <c r="S48" s="23">
        <v>10.5</v>
      </c>
      <c r="T48" s="23">
        <v>10.5</v>
      </c>
      <c r="U48" s="13">
        <v>10.5</v>
      </c>
      <c r="V48" s="23">
        <v>10.5</v>
      </c>
      <c r="W48" s="13">
        <v>10.5</v>
      </c>
      <c r="X48" s="13">
        <v>10.5</v>
      </c>
      <c r="Y48" s="13" t="s">
        <v>10</v>
      </c>
      <c r="Z48" s="23">
        <v>10.5</v>
      </c>
      <c r="AA48" s="23">
        <v>10.5</v>
      </c>
      <c r="AB48" s="23">
        <v>10.5</v>
      </c>
      <c r="AC48" s="23">
        <v>10.5</v>
      </c>
      <c r="AD48" s="13">
        <v>10.5</v>
      </c>
      <c r="AE48" s="23">
        <v>10.5</v>
      </c>
      <c r="AF48" s="23" t="s">
        <v>10</v>
      </c>
      <c r="AG48" s="23">
        <v>10.5</v>
      </c>
      <c r="AH48" s="23">
        <v>10.5</v>
      </c>
      <c r="AI48" s="22">
        <f t="shared" si="2"/>
        <v>262.5</v>
      </c>
      <c r="AJ48" s="21"/>
      <c r="AK48" s="14">
        <f t="shared" si="3"/>
        <v>0</v>
      </c>
      <c r="AL48" s="2" t="s">
        <v>94</v>
      </c>
    </row>
    <row r="49" spans="1:38" ht="19.899999999999999" customHeight="1" x14ac:dyDescent="0.25">
      <c r="A49" s="2">
        <v>47</v>
      </c>
      <c r="B49" s="25" t="s">
        <v>89</v>
      </c>
      <c r="C49" s="4" t="s">
        <v>349</v>
      </c>
      <c r="D49" s="2" t="s">
        <v>84</v>
      </c>
      <c r="E49" s="23">
        <v>11</v>
      </c>
      <c r="F49" s="23">
        <v>11</v>
      </c>
      <c r="G49" s="13">
        <v>11</v>
      </c>
      <c r="H49" s="23">
        <v>11</v>
      </c>
      <c r="I49" s="13">
        <v>11</v>
      </c>
      <c r="J49" s="13">
        <v>11</v>
      </c>
      <c r="K49" s="13" t="s">
        <v>10</v>
      </c>
      <c r="L49" s="23">
        <v>11</v>
      </c>
      <c r="M49" s="23">
        <v>11</v>
      </c>
      <c r="N49" s="13">
        <v>11</v>
      </c>
      <c r="O49" s="23">
        <v>11</v>
      </c>
      <c r="P49" s="13">
        <v>11</v>
      </c>
      <c r="Q49" s="13">
        <v>11</v>
      </c>
      <c r="R49" s="13" t="s">
        <v>10</v>
      </c>
      <c r="S49" s="23">
        <v>11</v>
      </c>
      <c r="T49" s="23">
        <v>11</v>
      </c>
      <c r="U49" s="13">
        <v>11</v>
      </c>
      <c r="V49" s="23">
        <v>11</v>
      </c>
      <c r="W49" s="13">
        <v>11</v>
      </c>
      <c r="X49" s="13">
        <v>11</v>
      </c>
      <c r="Y49" s="13">
        <v>11</v>
      </c>
      <c r="Z49" s="23">
        <v>11</v>
      </c>
      <c r="AA49" s="23">
        <v>11</v>
      </c>
      <c r="AB49" s="23">
        <v>11</v>
      </c>
      <c r="AC49" s="23">
        <v>11</v>
      </c>
      <c r="AD49" s="13">
        <v>11</v>
      </c>
      <c r="AE49" s="23">
        <v>11</v>
      </c>
      <c r="AF49" s="23" t="s">
        <v>10</v>
      </c>
      <c r="AG49" s="23">
        <v>11</v>
      </c>
      <c r="AH49" s="23">
        <v>11</v>
      </c>
      <c r="AI49" s="22">
        <f t="shared" si="2"/>
        <v>297</v>
      </c>
      <c r="AJ49" s="2"/>
      <c r="AK49" s="14">
        <f t="shared" si="3"/>
        <v>0</v>
      </c>
      <c r="AL49" s="2" t="s">
        <v>344</v>
      </c>
    </row>
    <row r="50" spans="1:38" ht="19.899999999999999" customHeight="1" x14ac:dyDescent="0.25">
      <c r="A50" s="2">
        <v>48</v>
      </c>
      <c r="B50" s="25" t="s">
        <v>160</v>
      </c>
      <c r="C50" s="8" t="s">
        <v>161</v>
      </c>
      <c r="D50" s="2" t="s">
        <v>84</v>
      </c>
      <c r="E50" s="23">
        <v>10</v>
      </c>
      <c r="F50" s="23">
        <v>10</v>
      </c>
      <c r="G50" s="13">
        <v>10</v>
      </c>
      <c r="H50" s="23">
        <v>10</v>
      </c>
      <c r="I50" s="13">
        <v>10</v>
      </c>
      <c r="J50" s="13">
        <v>10</v>
      </c>
      <c r="K50" s="13">
        <v>14</v>
      </c>
      <c r="L50" s="23">
        <v>10</v>
      </c>
      <c r="M50" s="23">
        <v>10</v>
      </c>
      <c r="N50" s="13">
        <v>10</v>
      </c>
      <c r="O50" s="23">
        <v>10</v>
      </c>
      <c r="P50" s="13">
        <v>10</v>
      </c>
      <c r="Q50" s="13">
        <v>10</v>
      </c>
      <c r="R50" s="13" t="s">
        <v>10</v>
      </c>
      <c r="S50" s="23">
        <v>10</v>
      </c>
      <c r="T50" s="23">
        <v>10</v>
      </c>
      <c r="U50" s="13">
        <v>10</v>
      </c>
      <c r="V50" s="23">
        <v>12</v>
      </c>
      <c r="W50" s="13">
        <v>10</v>
      </c>
      <c r="X50" s="13">
        <v>10</v>
      </c>
      <c r="Y50" s="13" t="s">
        <v>10</v>
      </c>
      <c r="Z50" s="23">
        <v>10</v>
      </c>
      <c r="AA50" s="23">
        <v>10</v>
      </c>
      <c r="AB50" s="23">
        <v>10</v>
      </c>
      <c r="AC50" s="23">
        <v>12</v>
      </c>
      <c r="AD50" s="13">
        <v>10</v>
      </c>
      <c r="AE50" s="23">
        <v>10</v>
      </c>
      <c r="AF50" s="23" t="s">
        <v>10</v>
      </c>
      <c r="AG50" s="23">
        <v>10</v>
      </c>
      <c r="AH50" s="23">
        <v>10</v>
      </c>
      <c r="AI50" s="22">
        <f t="shared" si="2"/>
        <v>278</v>
      </c>
      <c r="AJ50" s="21"/>
      <c r="AK50" s="14">
        <f t="shared" si="3"/>
        <v>0</v>
      </c>
      <c r="AL50" s="2" t="s">
        <v>309</v>
      </c>
    </row>
    <row r="51" spans="1:38" ht="19.899999999999999" customHeight="1" x14ac:dyDescent="0.25">
      <c r="A51" s="2">
        <v>49</v>
      </c>
      <c r="B51" s="25" t="s">
        <v>158</v>
      </c>
      <c r="C51" s="4" t="s">
        <v>159</v>
      </c>
      <c r="D51" s="2" t="s">
        <v>84</v>
      </c>
      <c r="E51" s="23">
        <v>11</v>
      </c>
      <c r="F51" s="23">
        <v>11</v>
      </c>
      <c r="G51" s="13">
        <v>11</v>
      </c>
      <c r="H51" s="23">
        <v>11</v>
      </c>
      <c r="I51" s="13">
        <v>11</v>
      </c>
      <c r="J51" s="13" t="s">
        <v>32</v>
      </c>
      <c r="K51" s="13" t="s">
        <v>10</v>
      </c>
      <c r="L51" s="23">
        <v>11</v>
      </c>
      <c r="M51" s="23">
        <v>11</v>
      </c>
      <c r="N51" s="13">
        <v>11</v>
      </c>
      <c r="O51" s="23">
        <v>11</v>
      </c>
      <c r="P51" s="13">
        <v>11</v>
      </c>
      <c r="Q51" s="13">
        <v>11</v>
      </c>
      <c r="R51" s="13" t="s">
        <v>10</v>
      </c>
      <c r="S51" s="23">
        <v>11</v>
      </c>
      <c r="T51" s="23">
        <v>11</v>
      </c>
      <c r="U51" s="13">
        <v>11</v>
      </c>
      <c r="V51" s="23">
        <v>11</v>
      </c>
      <c r="W51" s="13">
        <v>11</v>
      </c>
      <c r="X51" s="13">
        <v>11</v>
      </c>
      <c r="Y51" s="13" t="s">
        <v>10</v>
      </c>
      <c r="Z51" s="23">
        <v>11</v>
      </c>
      <c r="AA51" s="23">
        <v>11</v>
      </c>
      <c r="AB51" s="23">
        <v>11</v>
      </c>
      <c r="AC51" s="23">
        <v>11</v>
      </c>
      <c r="AD51" s="13">
        <v>11</v>
      </c>
      <c r="AE51" s="23">
        <v>11</v>
      </c>
      <c r="AF51" s="23" t="s">
        <v>10</v>
      </c>
      <c r="AG51" s="23">
        <v>11</v>
      </c>
      <c r="AH51" s="23">
        <v>11</v>
      </c>
      <c r="AI51" s="22">
        <f t="shared" si="2"/>
        <v>275</v>
      </c>
      <c r="AJ51" s="21"/>
      <c r="AK51" s="14">
        <f t="shared" si="3"/>
        <v>0</v>
      </c>
      <c r="AL51" s="2" t="s">
        <v>344</v>
      </c>
    </row>
    <row r="52" spans="1:38" ht="19.899999999999999" customHeight="1" x14ac:dyDescent="0.25">
      <c r="A52" s="2">
        <v>50</v>
      </c>
      <c r="B52" s="25" t="s">
        <v>127</v>
      </c>
      <c r="C52" s="4" t="s">
        <v>311</v>
      </c>
      <c r="D52" s="2" t="s">
        <v>84</v>
      </c>
      <c r="E52" s="23">
        <v>11</v>
      </c>
      <c r="F52" s="23">
        <v>11</v>
      </c>
      <c r="G52" s="13">
        <v>11</v>
      </c>
      <c r="H52" s="23">
        <v>11</v>
      </c>
      <c r="I52" s="13" t="s">
        <v>515</v>
      </c>
      <c r="J52" s="13">
        <v>11</v>
      </c>
      <c r="K52" s="13" t="s">
        <v>10</v>
      </c>
      <c r="L52" s="23">
        <v>11</v>
      </c>
      <c r="M52" s="23">
        <v>11</v>
      </c>
      <c r="N52" s="13">
        <v>11</v>
      </c>
      <c r="O52" s="23">
        <v>11</v>
      </c>
      <c r="P52" s="13">
        <v>11</v>
      </c>
      <c r="Q52" s="13">
        <v>11</v>
      </c>
      <c r="R52" s="13" t="s">
        <v>10</v>
      </c>
      <c r="S52" s="23">
        <v>11</v>
      </c>
      <c r="T52" s="23">
        <v>11</v>
      </c>
      <c r="U52" s="13">
        <v>11</v>
      </c>
      <c r="V52" s="23">
        <v>11</v>
      </c>
      <c r="W52" s="13">
        <v>11</v>
      </c>
      <c r="X52" s="13">
        <v>11</v>
      </c>
      <c r="Y52" s="13" t="s">
        <v>10</v>
      </c>
      <c r="Z52" s="23">
        <v>11</v>
      </c>
      <c r="AA52" s="23">
        <v>11</v>
      </c>
      <c r="AB52" s="23">
        <v>11</v>
      </c>
      <c r="AC52" s="23">
        <v>11</v>
      </c>
      <c r="AD52" s="13">
        <v>11</v>
      </c>
      <c r="AE52" s="23">
        <v>11</v>
      </c>
      <c r="AF52" s="23">
        <v>11</v>
      </c>
      <c r="AG52" s="23">
        <v>11</v>
      </c>
      <c r="AH52" s="23">
        <v>11</v>
      </c>
      <c r="AI52" s="22">
        <f t="shared" si="2"/>
        <v>286</v>
      </c>
      <c r="AJ52" s="21"/>
      <c r="AK52" s="14">
        <f t="shared" si="3"/>
        <v>0</v>
      </c>
      <c r="AL52" s="2" t="s">
        <v>164</v>
      </c>
    </row>
    <row r="53" spans="1:38" ht="19.899999999999999" customHeight="1" x14ac:dyDescent="0.25">
      <c r="A53" s="2">
        <v>51</v>
      </c>
      <c r="B53" s="25" t="s">
        <v>91</v>
      </c>
      <c r="C53" s="8" t="s">
        <v>333</v>
      </c>
      <c r="D53" s="2" t="s">
        <v>130</v>
      </c>
      <c r="E53" s="23">
        <v>10</v>
      </c>
      <c r="F53" s="23">
        <v>10</v>
      </c>
      <c r="G53" s="13">
        <v>10</v>
      </c>
      <c r="H53" s="23">
        <v>8</v>
      </c>
      <c r="I53" s="13" t="s">
        <v>515</v>
      </c>
      <c r="J53" s="13">
        <v>8</v>
      </c>
      <c r="K53" s="13" t="s">
        <v>10</v>
      </c>
      <c r="L53" s="23">
        <v>9</v>
      </c>
      <c r="M53" s="23">
        <v>10</v>
      </c>
      <c r="N53" s="13">
        <v>10</v>
      </c>
      <c r="O53" s="23">
        <v>10</v>
      </c>
      <c r="P53" s="13">
        <v>10</v>
      </c>
      <c r="Q53" s="13">
        <v>10</v>
      </c>
      <c r="R53" s="13" t="s">
        <v>10</v>
      </c>
      <c r="S53" s="23">
        <v>10</v>
      </c>
      <c r="T53" s="23">
        <v>10</v>
      </c>
      <c r="U53" s="13">
        <v>10</v>
      </c>
      <c r="V53" s="23">
        <v>10</v>
      </c>
      <c r="W53" s="13">
        <v>10</v>
      </c>
      <c r="X53" s="13">
        <v>10</v>
      </c>
      <c r="Y53" s="13" t="s">
        <v>10</v>
      </c>
      <c r="Z53" s="23">
        <v>10</v>
      </c>
      <c r="AA53" s="23">
        <v>10</v>
      </c>
      <c r="AB53" s="23">
        <v>10</v>
      </c>
      <c r="AC53" s="23">
        <v>10</v>
      </c>
      <c r="AD53" s="13">
        <v>10</v>
      </c>
      <c r="AE53" s="23">
        <v>10</v>
      </c>
      <c r="AF53" s="23" t="s">
        <v>10</v>
      </c>
      <c r="AG53" s="23">
        <v>10</v>
      </c>
      <c r="AH53" s="23">
        <v>10</v>
      </c>
      <c r="AI53" s="22">
        <f t="shared" si="2"/>
        <v>245</v>
      </c>
      <c r="AJ53" s="21"/>
      <c r="AK53" s="14">
        <f t="shared" si="3"/>
        <v>0</v>
      </c>
      <c r="AL53" s="2" t="s">
        <v>554</v>
      </c>
    </row>
    <row r="54" spans="1:38" ht="19.899999999999999" customHeight="1" x14ac:dyDescent="0.25">
      <c r="A54" s="2">
        <v>52</v>
      </c>
      <c r="B54" s="25" t="s">
        <v>92</v>
      </c>
      <c r="C54" s="4" t="s">
        <v>334</v>
      </c>
      <c r="D54" s="2" t="s">
        <v>130</v>
      </c>
      <c r="E54" s="23">
        <v>10</v>
      </c>
      <c r="F54" s="23">
        <v>10</v>
      </c>
      <c r="G54" s="13">
        <v>10</v>
      </c>
      <c r="H54" s="23">
        <v>10</v>
      </c>
      <c r="I54" s="13" t="s">
        <v>515</v>
      </c>
      <c r="J54" s="13">
        <v>10</v>
      </c>
      <c r="K54" s="13" t="s">
        <v>10</v>
      </c>
      <c r="L54" s="23">
        <v>10</v>
      </c>
      <c r="M54" s="23">
        <v>10</v>
      </c>
      <c r="N54" s="13">
        <v>10</v>
      </c>
      <c r="O54" s="23">
        <v>10</v>
      </c>
      <c r="P54" s="13">
        <v>10</v>
      </c>
      <c r="Q54" s="13">
        <v>10</v>
      </c>
      <c r="R54" s="13" t="s">
        <v>10</v>
      </c>
      <c r="S54" s="23">
        <v>10</v>
      </c>
      <c r="T54" s="23">
        <v>10</v>
      </c>
      <c r="U54" s="13">
        <v>10</v>
      </c>
      <c r="V54" s="23">
        <v>10</v>
      </c>
      <c r="W54" s="13">
        <v>10</v>
      </c>
      <c r="X54" s="13">
        <v>10</v>
      </c>
      <c r="Y54" s="13" t="s">
        <v>10</v>
      </c>
      <c r="Z54" s="23">
        <v>10</v>
      </c>
      <c r="AA54" s="23">
        <v>10</v>
      </c>
      <c r="AB54" s="23">
        <v>10</v>
      </c>
      <c r="AC54" s="23">
        <v>10</v>
      </c>
      <c r="AD54" s="13">
        <v>10</v>
      </c>
      <c r="AE54" s="23">
        <v>10</v>
      </c>
      <c r="AF54" s="23" t="s">
        <v>10</v>
      </c>
      <c r="AG54" s="23">
        <v>10</v>
      </c>
      <c r="AH54" s="23">
        <v>10</v>
      </c>
      <c r="AI54" s="22">
        <f t="shared" si="2"/>
        <v>250</v>
      </c>
      <c r="AJ54" s="2"/>
      <c r="AK54" s="14">
        <f t="shared" si="3"/>
        <v>0</v>
      </c>
      <c r="AL54" s="2" t="s">
        <v>442</v>
      </c>
    </row>
    <row r="55" spans="1:38" ht="19.899999999999999" customHeight="1" x14ac:dyDescent="0.25">
      <c r="A55" s="2">
        <v>53</v>
      </c>
      <c r="B55" s="25" t="s">
        <v>126</v>
      </c>
      <c r="C55" s="4" t="s">
        <v>340</v>
      </c>
      <c r="D55" s="2" t="s">
        <v>84</v>
      </c>
      <c r="E55" s="23" t="s">
        <v>32</v>
      </c>
      <c r="F55" s="23">
        <v>11</v>
      </c>
      <c r="G55" s="13" t="s">
        <v>32</v>
      </c>
      <c r="H55" s="23">
        <v>8</v>
      </c>
      <c r="I55" s="13" t="s">
        <v>515</v>
      </c>
      <c r="J55" s="13">
        <v>11</v>
      </c>
      <c r="K55" s="13" t="s">
        <v>10</v>
      </c>
      <c r="L55" s="23">
        <v>11</v>
      </c>
      <c r="M55" s="23">
        <v>11</v>
      </c>
      <c r="N55" s="13">
        <v>11</v>
      </c>
      <c r="O55" s="23">
        <v>11</v>
      </c>
      <c r="P55" s="13">
        <v>11</v>
      </c>
      <c r="Q55" s="13">
        <v>11</v>
      </c>
      <c r="R55" s="13" t="s">
        <v>10</v>
      </c>
      <c r="S55" s="23">
        <v>11</v>
      </c>
      <c r="T55" s="23">
        <v>11</v>
      </c>
      <c r="U55" s="13">
        <v>11</v>
      </c>
      <c r="V55" s="23">
        <v>11</v>
      </c>
      <c r="W55" s="13">
        <v>11</v>
      </c>
      <c r="X55" s="13">
        <v>11</v>
      </c>
      <c r="Y55" s="13" t="s">
        <v>10</v>
      </c>
      <c r="Z55" s="23">
        <v>11</v>
      </c>
      <c r="AA55" s="23">
        <v>11</v>
      </c>
      <c r="AB55" s="23">
        <v>11</v>
      </c>
      <c r="AC55" s="23">
        <v>11</v>
      </c>
      <c r="AD55" s="13">
        <v>11</v>
      </c>
      <c r="AE55" s="23">
        <v>11</v>
      </c>
      <c r="AF55" s="23">
        <v>11</v>
      </c>
      <c r="AG55" s="23">
        <v>11</v>
      </c>
      <c r="AH55" s="23">
        <v>11</v>
      </c>
      <c r="AI55" s="22">
        <f t="shared" si="2"/>
        <v>261</v>
      </c>
      <c r="AJ55" s="21"/>
      <c r="AK55" s="14">
        <f t="shared" si="3"/>
        <v>0</v>
      </c>
      <c r="AL55" s="2" t="s">
        <v>164</v>
      </c>
    </row>
    <row r="56" spans="1:38" ht="19.899999999999999" customHeight="1" x14ac:dyDescent="0.25">
      <c r="A56" s="2">
        <v>54</v>
      </c>
      <c r="B56" s="25" t="s">
        <v>93</v>
      </c>
      <c r="C56" s="4" t="s">
        <v>335</v>
      </c>
      <c r="D56" s="2" t="s">
        <v>130</v>
      </c>
      <c r="E56" s="23">
        <v>10</v>
      </c>
      <c r="F56" s="23">
        <v>10</v>
      </c>
      <c r="G56" s="13">
        <v>10</v>
      </c>
      <c r="H56" s="23">
        <v>10</v>
      </c>
      <c r="I56" s="13" t="s">
        <v>515</v>
      </c>
      <c r="J56" s="13">
        <v>10</v>
      </c>
      <c r="K56" s="13" t="s">
        <v>10</v>
      </c>
      <c r="L56" s="23">
        <v>10</v>
      </c>
      <c r="M56" s="23">
        <v>10</v>
      </c>
      <c r="N56" s="13">
        <v>10</v>
      </c>
      <c r="O56" s="23">
        <v>10</v>
      </c>
      <c r="P56" s="13">
        <v>10</v>
      </c>
      <c r="Q56" s="13">
        <v>10</v>
      </c>
      <c r="R56" s="13" t="s">
        <v>10</v>
      </c>
      <c r="S56" s="23">
        <v>10</v>
      </c>
      <c r="T56" s="23">
        <v>10</v>
      </c>
      <c r="U56" s="13">
        <v>10</v>
      </c>
      <c r="V56" s="23">
        <v>10</v>
      </c>
      <c r="W56" s="13">
        <v>10</v>
      </c>
      <c r="X56" s="13">
        <v>10</v>
      </c>
      <c r="Y56" s="13" t="s">
        <v>10</v>
      </c>
      <c r="Z56" s="23">
        <v>10</v>
      </c>
      <c r="AA56" s="23">
        <v>10</v>
      </c>
      <c r="AB56" s="23">
        <v>10</v>
      </c>
      <c r="AC56" s="23">
        <v>10</v>
      </c>
      <c r="AD56" s="13">
        <v>10</v>
      </c>
      <c r="AE56" s="23">
        <v>10</v>
      </c>
      <c r="AF56" s="23" t="s">
        <v>10</v>
      </c>
      <c r="AG56" s="23">
        <v>10</v>
      </c>
      <c r="AH56" s="23">
        <v>10</v>
      </c>
      <c r="AI56" s="22">
        <f t="shared" si="2"/>
        <v>250</v>
      </c>
      <c r="AJ56" s="21"/>
      <c r="AK56" s="14">
        <f t="shared" si="3"/>
        <v>0</v>
      </c>
      <c r="AL56" s="2" t="s">
        <v>442</v>
      </c>
    </row>
    <row r="57" spans="1:38" ht="19.899999999999999" customHeight="1" x14ac:dyDescent="0.25">
      <c r="A57" s="2">
        <v>55</v>
      </c>
      <c r="B57" s="28" t="s">
        <v>285</v>
      </c>
      <c r="C57" s="4" t="s">
        <v>350</v>
      </c>
      <c r="D57" s="2" t="s">
        <v>84</v>
      </c>
      <c r="E57" s="23">
        <v>10</v>
      </c>
      <c r="F57" s="23">
        <v>10</v>
      </c>
      <c r="G57" s="13">
        <v>10</v>
      </c>
      <c r="H57" s="23">
        <v>10</v>
      </c>
      <c r="I57" s="13">
        <v>10</v>
      </c>
      <c r="J57" s="13">
        <v>10</v>
      </c>
      <c r="K57" s="13">
        <v>14</v>
      </c>
      <c r="L57" s="23">
        <v>10</v>
      </c>
      <c r="M57" s="23">
        <v>10</v>
      </c>
      <c r="N57" s="13">
        <v>10</v>
      </c>
      <c r="O57" s="23">
        <v>10</v>
      </c>
      <c r="P57" s="13">
        <v>10</v>
      </c>
      <c r="Q57" s="13">
        <v>10</v>
      </c>
      <c r="R57" s="13" t="s">
        <v>10</v>
      </c>
      <c r="S57" s="23">
        <v>10</v>
      </c>
      <c r="T57" s="23">
        <v>10</v>
      </c>
      <c r="U57" s="13">
        <v>10</v>
      </c>
      <c r="V57" s="23">
        <v>12</v>
      </c>
      <c r="W57" s="13">
        <v>10</v>
      </c>
      <c r="X57" s="13">
        <v>10</v>
      </c>
      <c r="Y57" s="13" t="s">
        <v>10</v>
      </c>
      <c r="Z57" s="23">
        <v>10</v>
      </c>
      <c r="AA57" s="23">
        <v>10</v>
      </c>
      <c r="AB57" s="23">
        <v>10</v>
      </c>
      <c r="AC57" s="23">
        <v>12</v>
      </c>
      <c r="AD57" s="13">
        <v>10</v>
      </c>
      <c r="AE57" s="23">
        <v>10</v>
      </c>
      <c r="AF57" s="23" t="s">
        <v>10</v>
      </c>
      <c r="AG57" s="23">
        <v>10</v>
      </c>
      <c r="AH57" s="23">
        <v>10</v>
      </c>
      <c r="AI57" s="22">
        <f t="shared" si="2"/>
        <v>278</v>
      </c>
      <c r="AJ57" s="21"/>
      <c r="AK57" s="14">
        <f t="shared" si="3"/>
        <v>0</v>
      </c>
      <c r="AL57" s="2" t="s">
        <v>309</v>
      </c>
    </row>
    <row r="58" spans="1:38" ht="19.899999999999999" customHeight="1" x14ac:dyDescent="0.25">
      <c r="A58" s="2">
        <v>56</v>
      </c>
      <c r="B58" s="28" t="s">
        <v>286</v>
      </c>
      <c r="C58" s="4" t="s">
        <v>527</v>
      </c>
      <c r="D58" s="2" t="s">
        <v>523</v>
      </c>
      <c r="E58" s="23">
        <v>10.5</v>
      </c>
      <c r="F58" s="23">
        <v>10.5</v>
      </c>
      <c r="G58" s="13">
        <v>10.5</v>
      </c>
      <c r="H58" s="23">
        <v>10.5</v>
      </c>
      <c r="I58" s="13" t="s">
        <v>515</v>
      </c>
      <c r="J58" s="13">
        <v>10.5</v>
      </c>
      <c r="K58" s="13" t="s">
        <v>10</v>
      </c>
      <c r="L58" s="23">
        <v>10.5</v>
      </c>
      <c r="M58" s="23">
        <v>10.5</v>
      </c>
      <c r="N58" s="13">
        <v>10.5</v>
      </c>
      <c r="O58" s="23">
        <v>10.5</v>
      </c>
      <c r="P58" s="13">
        <v>10.5</v>
      </c>
      <c r="Q58" s="13">
        <v>10.5</v>
      </c>
      <c r="R58" s="13" t="s">
        <v>10</v>
      </c>
      <c r="S58" s="23">
        <v>10.5</v>
      </c>
      <c r="T58" s="23">
        <v>10.5</v>
      </c>
      <c r="U58" s="13">
        <v>10.5</v>
      </c>
      <c r="V58" s="23">
        <v>10.5</v>
      </c>
      <c r="W58" s="13">
        <v>10.5</v>
      </c>
      <c r="X58" s="13">
        <v>10.5</v>
      </c>
      <c r="Y58" s="13" t="s">
        <v>10</v>
      </c>
      <c r="Z58" s="23">
        <v>10.5</v>
      </c>
      <c r="AA58" s="23">
        <v>10.5</v>
      </c>
      <c r="AB58" s="23">
        <v>10.5</v>
      </c>
      <c r="AC58" s="23">
        <v>10.5</v>
      </c>
      <c r="AD58" s="13">
        <v>10.5</v>
      </c>
      <c r="AE58" s="23">
        <v>10.5</v>
      </c>
      <c r="AF58" s="23" t="s">
        <v>10</v>
      </c>
      <c r="AG58" s="23">
        <v>10.5</v>
      </c>
      <c r="AH58" s="23">
        <v>10.5</v>
      </c>
      <c r="AI58" s="22">
        <f t="shared" si="2"/>
        <v>262.5</v>
      </c>
      <c r="AJ58" s="21"/>
      <c r="AK58" s="14">
        <f t="shared" si="3"/>
        <v>0</v>
      </c>
      <c r="AL58" s="2" t="s">
        <v>94</v>
      </c>
    </row>
    <row r="59" spans="1:38" ht="19.899999999999999" customHeight="1" x14ac:dyDescent="0.25">
      <c r="A59" s="2">
        <v>57</v>
      </c>
      <c r="B59" s="28" t="s">
        <v>287</v>
      </c>
      <c r="C59" s="4" t="s">
        <v>528</v>
      </c>
      <c r="D59" s="2" t="s">
        <v>523</v>
      </c>
      <c r="E59" s="23">
        <v>10.5</v>
      </c>
      <c r="F59" s="23">
        <v>10.5</v>
      </c>
      <c r="G59" s="13">
        <v>10.5</v>
      </c>
      <c r="H59" s="23">
        <v>10.5</v>
      </c>
      <c r="I59" s="13" t="s">
        <v>515</v>
      </c>
      <c r="J59" s="13">
        <v>10.5</v>
      </c>
      <c r="K59" s="13" t="s">
        <v>10</v>
      </c>
      <c r="L59" s="23">
        <v>10.5</v>
      </c>
      <c r="M59" s="23">
        <v>10.5</v>
      </c>
      <c r="N59" s="13">
        <v>10.5</v>
      </c>
      <c r="O59" s="23">
        <v>10.5</v>
      </c>
      <c r="P59" s="13">
        <v>10.5</v>
      </c>
      <c r="Q59" s="13">
        <v>10.5</v>
      </c>
      <c r="R59" s="13" t="s">
        <v>10</v>
      </c>
      <c r="S59" s="23">
        <v>10.5</v>
      </c>
      <c r="T59" s="23">
        <v>10.5</v>
      </c>
      <c r="U59" s="13">
        <v>10.5</v>
      </c>
      <c r="V59" s="23">
        <v>10.5</v>
      </c>
      <c r="W59" s="13">
        <v>10.5</v>
      </c>
      <c r="X59" s="13">
        <v>10.5</v>
      </c>
      <c r="Y59" s="13" t="s">
        <v>10</v>
      </c>
      <c r="Z59" s="23">
        <v>10.5</v>
      </c>
      <c r="AA59" s="23">
        <v>10.5</v>
      </c>
      <c r="AB59" s="23">
        <v>10.5</v>
      </c>
      <c r="AC59" s="23">
        <v>10.5</v>
      </c>
      <c r="AD59" s="13">
        <v>10.5</v>
      </c>
      <c r="AE59" s="23">
        <v>10.5</v>
      </c>
      <c r="AF59" s="23" t="s">
        <v>10</v>
      </c>
      <c r="AG59" s="23">
        <v>10.5</v>
      </c>
      <c r="AH59" s="23">
        <v>10.5</v>
      </c>
      <c r="AI59" s="22">
        <f t="shared" si="2"/>
        <v>262.5</v>
      </c>
      <c r="AJ59" s="21"/>
      <c r="AK59" s="14">
        <f t="shared" si="3"/>
        <v>0</v>
      </c>
      <c r="AL59" s="2" t="s">
        <v>94</v>
      </c>
    </row>
    <row r="60" spans="1:38" ht="19.899999999999999" customHeight="1" x14ac:dyDescent="0.25">
      <c r="A60" s="2">
        <v>58</v>
      </c>
      <c r="B60" s="25" t="s">
        <v>288</v>
      </c>
      <c r="C60" s="4" t="s">
        <v>529</v>
      </c>
      <c r="D60" s="2" t="s">
        <v>530</v>
      </c>
      <c r="E60" s="23">
        <v>10.5</v>
      </c>
      <c r="F60" s="23">
        <v>10.5</v>
      </c>
      <c r="G60" s="13">
        <v>10.5</v>
      </c>
      <c r="H60" s="23">
        <v>8</v>
      </c>
      <c r="I60" s="13" t="s">
        <v>515</v>
      </c>
      <c r="J60" s="13">
        <v>8</v>
      </c>
      <c r="K60" s="13" t="s">
        <v>10</v>
      </c>
      <c r="L60" s="23">
        <v>9</v>
      </c>
      <c r="M60" s="23" t="s">
        <v>32</v>
      </c>
      <c r="N60" s="13" t="s">
        <v>32</v>
      </c>
      <c r="O60" s="23" t="s">
        <v>32</v>
      </c>
      <c r="P60" s="13" t="s">
        <v>32</v>
      </c>
      <c r="Q60" s="13">
        <v>10</v>
      </c>
      <c r="R60" s="13" t="s">
        <v>10</v>
      </c>
      <c r="S60" s="23">
        <v>10</v>
      </c>
      <c r="T60" s="23">
        <v>10</v>
      </c>
      <c r="U60" s="13">
        <v>10</v>
      </c>
      <c r="V60" s="23">
        <v>10</v>
      </c>
      <c r="W60" s="13">
        <v>10</v>
      </c>
      <c r="X60" s="13">
        <v>10</v>
      </c>
      <c r="Y60" s="13" t="s">
        <v>10</v>
      </c>
      <c r="Z60" s="23">
        <v>10</v>
      </c>
      <c r="AA60" s="23">
        <v>10</v>
      </c>
      <c r="AB60" s="23">
        <v>10</v>
      </c>
      <c r="AC60" s="23">
        <v>10</v>
      </c>
      <c r="AD60" s="13">
        <v>10</v>
      </c>
      <c r="AE60" s="23" t="s">
        <v>32</v>
      </c>
      <c r="AF60" s="23" t="s">
        <v>10</v>
      </c>
      <c r="AG60" s="23">
        <v>10</v>
      </c>
      <c r="AH60" s="23" t="s">
        <v>32</v>
      </c>
      <c r="AI60" s="22">
        <f t="shared" si="2"/>
        <v>186.5</v>
      </c>
      <c r="AJ60" s="21"/>
      <c r="AK60" s="14">
        <f t="shared" si="3"/>
        <v>0</v>
      </c>
      <c r="AL60" s="2" t="s">
        <v>552</v>
      </c>
    </row>
    <row r="61" spans="1:38" ht="19.899999999999999" customHeight="1" x14ac:dyDescent="0.25">
      <c r="A61" s="2">
        <v>59</v>
      </c>
      <c r="B61" s="28" t="s">
        <v>289</v>
      </c>
      <c r="C61" s="4" t="s">
        <v>531</v>
      </c>
      <c r="D61" s="2" t="s">
        <v>530</v>
      </c>
      <c r="E61" s="23">
        <v>10.5</v>
      </c>
      <c r="F61" s="23">
        <v>10.5</v>
      </c>
      <c r="G61" s="13">
        <v>10.5</v>
      </c>
      <c r="H61" s="23">
        <v>10.5</v>
      </c>
      <c r="I61" s="13" t="s">
        <v>515</v>
      </c>
      <c r="J61" s="13">
        <v>10.5</v>
      </c>
      <c r="K61" s="13" t="s">
        <v>10</v>
      </c>
      <c r="L61" s="23">
        <v>10.5</v>
      </c>
      <c r="M61" s="23">
        <v>10.5</v>
      </c>
      <c r="N61" s="13">
        <v>10.5</v>
      </c>
      <c r="O61" s="23">
        <v>10.5</v>
      </c>
      <c r="P61" s="13">
        <v>10.5</v>
      </c>
      <c r="Q61" s="13">
        <v>10.5</v>
      </c>
      <c r="R61" s="13" t="s">
        <v>10</v>
      </c>
      <c r="S61" s="23">
        <v>10.5</v>
      </c>
      <c r="T61" s="23">
        <v>10.5</v>
      </c>
      <c r="U61" s="13">
        <v>10.5</v>
      </c>
      <c r="V61" s="23">
        <v>10.5</v>
      </c>
      <c r="W61" s="13">
        <v>10.5</v>
      </c>
      <c r="X61" s="13">
        <v>10.5</v>
      </c>
      <c r="Y61" s="13" t="s">
        <v>10</v>
      </c>
      <c r="Z61" s="23">
        <v>10.5</v>
      </c>
      <c r="AA61" s="23">
        <v>10.5</v>
      </c>
      <c r="AB61" s="23">
        <v>10.5</v>
      </c>
      <c r="AC61" s="23">
        <v>10.5</v>
      </c>
      <c r="AD61" s="13">
        <v>10.5</v>
      </c>
      <c r="AE61" s="23">
        <v>10.5</v>
      </c>
      <c r="AF61" s="23" t="s">
        <v>10</v>
      </c>
      <c r="AG61" s="23">
        <v>10.5</v>
      </c>
      <c r="AH61" s="23">
        <v>10.5</v>
      </c>
      <c r="AI61" s="22">
        <f t="shared" si="2"/>
        <v>262.5</v>
      </c>
      <c r="AJ61" s="21"/>
      <c r="AK61" s="14">
        <f t="shared" si="3"/>
        <v>0</v>
      </c>
      <c r="AL61" s="2" t="s">
        <v>94</v>
      </c>
    </row>
    <row r="62" spans="1:38" ht="19.899999999999999" customHeight="1" x14ac:dyDescent="0.25">
      <c r="A62" s="2">
        <v>60</v>
      </c>
      <c r="B62" s="25" t="s">
        <v>290</v>
      </c>
      <c r="C62" s="4" t="s">
        <v>388</v>
      </c>
      <c r="D62" s="2" t="s">
        <v>84</v>
      </c>
      <c r="E62" s="23">
        <v>11</v>
      </c>
      <c r="F62" s="23">
        <v>11</v>
      </c>
      <c r="G62" s="13">
        <v>11</v>
      </c>
      <c r="H62" s="23">
        <v>11</v>
      </c>
      <c r="I62" s="13">
        <v>11</v>
      </c>
      <c r="J62" s="13">
        <v>11</v>
      </c>
      <c r="K62" s="13" t="s">
        <v>10</v>
      </c>
      <c r="L62" s="23">
        <v>11</v>
      </c>
      <c r="M62" s="23">
        <v>11</v>
      </c>
      <c r="N62" s="13">
        <v>11</v>
      </c>
      <c r="O62" s="23">
        <v>11</v>
      </c>
      <c r="P62" s="13">
        <v>11</v>
      </c>
      <c r="Q62" s="13">
        <v>11</v>
      </c>
      <c r="R62" s="13" t="s">
        <v>10</v>
      </c>
      <c r="S62" s="23">
        <v>11</v>
      </c>
      <c r="T62" s="23">
        <v>11</v>
      </c>
      <c r="U62" s="13">
        <v>11</v>
      </c>
      <c r="V62" s="23">
        <v>11</v>
      </c>
      <c r="W62" s="13">
        <v>11</v>
      </c>
      <c r="X62" s="13">
        <v>11</v>
      </c>
      <c r="Y62" s="13" t="s">
        <v>10</v>
      </c>
      <c r="Z62" s="23">
        <v>11</v>
      </c>
      <c r="AA62" s="23">
        <v>11</v>
      </c>
      <c r="AB62" s="23">
        <v>11</v>
      </c>
      <c r="AC62" s="23">
        <v>11</v>
      </c>
      <c r="AD62" s="13">
        <v>11</v>
      </c>
      <c r="AE62" s="23">
        <v>11</v>
      </c>
      <c r="AF62" s="23" t="s">
        <v>10</v>
      </c>
      <c r="AG62" s="23">
        <v>11</v>
      </c>
      <c r="AH62" s="23">
        <v>11</v>
      </c>
      <c r="AI62" s="22">
        <f t="shared" si="2"/>
        <v>286</v>
      </c>
      <c r="AJ62" s="21"/>
      <c r="AK62" s="14">
        <f t="shared" si="3"/>
        <v>0</v>
      </c>
      <c r="AL62" s="2" t="s">
        <v>344</v>
      </c>
    </row>
    <row r="63" spans="1:38" ht="19.899999999999999" customHeight="1" x14ac:dyDescent="0.25">
      <c r="A63" s="2">
        <v>61</v>
      </c>
      <c r="B63" s="25" t="s">
        <v>315</v>
      </c>
      <c r="C63" s="4" t="s">
        <v>440</v>
      </c>
      <c r="D63" s="2" t="s">
        <v>84</v>
      </c>
      <c r="E63" s="23">
        <v>11</v>
      </c>
      <c r="F63" s="23">
        <v>11</v>
      </c>
      <c r="G63" s="13">
        <v>11</v>
      </c>
      <c r="H63" s="23">
        <v>11</v>
      </c>
      <c r="I63" s="13">
        <v>11</v>
      </c>
      <c r="J63" s="13">
        <v>11</v>
      </c>
      <c r="K63" s="13" t="s">
        <v>10</v>
      </c>
      <c r="L63" s="23">
        <v>11</v>
      </c>
      <c r="M63" s="23">
        <v>11</v>
      </c>
      <c r="N63" s="13">
        <v>11</v>
      </c>
      <c r="O63" s="23">
        <v>11</v>
      </c>
      <c r="P63" s="13">
        <v>11</v>
      </c>
      <c r="Q63" s="13">
        <v>11</v>
      </c>
      <c r="R63" s="13" t="s">
        <v>10</v>
      </c>
      <c r="S63" s="23">
        <v>11</v>
      </c>
      <c r="T63" s="23">
        <v>11</v>
      </c>
      <c r="U63" s="13">
        <v>11</v>
      </c>
      <c r="V63" s="23">
        <v>11</v>
      </c>
      <c r="W63" s="13">
        <v>11</v>
      </c>
      <c r="X63" s="13">
        <v>11</v>
      </c>
      <c r="Y63" s="13">
        <v>11</v>
      </c>
      <c r="Z63" s="23">
        <v>11</v>
      </c>
      <c r="AA63" s="23">
        <v>11</v>
      </c>
      <c r="AB63" s="23">
        <v>11</v>
      </c>
      <c r="AC63" s="23">
        <v>11</v>
      </c>
      <c r="AD63" s="13">
        <v>11</v>
      </c>
      <c r="AE63" s="23">
        <v>11</v>
      </c>
      <c r="AF63" s="23" t="s">
        <v>10</v>
      </c>
      <c r="AG63" s="23">
        <v>11</v>
      </c>
      <c r="AH63" s="23">
        <v>11</v>
      </c>
      <c r="AI63" s="22">
        <f t="shared" si="2"/>
        <v>297</v>
      </c>
      <c r="AJ63" s="21"/>
      <c r="AK63" s="14">
        <f t="shared" si="3"/>
        <v>0</v>
      </c>
      <c r="AL63" s="2" t="s">
        <v>344</v>
      </c>
    </row>
    <row r="64" spans="1:38" ht="19.899999999999999" customHeight="1" x14ac:dyDescent="0.25">
      <c r="A64" s="2">
        <v>62</v>
      </c>
      <c r="B64" s="25" t="s">
        <v>316</v>
      </c>
      <c r="C64" s="4" t="s">
        <v>312</v>
      </c>
      <c r="D64" s="2" t="s">
        <v>84</v>
      </c>
      <c r="E64" s="23">
        <v>10</v>
      </c>
      <c r="F64" s="23">
        <v>10</v>
      </c>
      <c r="G64" s="13">
        <v>10</v>
      </c>
      <c r="H64" s="23">
        <v>5</v>
      </c>
      <c r="I64" s="13" t="s">
        <v>515</v>
      </c>
      <c r="J64" s="13">
        <v>10</v>
      </c>
      <c r="K64" s="13" t="s">
        <v>10</v>
      </c>
      <c r="L64" s="23">
        <v>10</v>
      </c>
      <c r="M64" s="23">
        <v>10</v>
      </c>
      <c r="N64" s="13">
        <v>10</v>
      </c>
      <c r="O64" s="23">
        <v>10</v>
      </c>
      <c r="P64" s="13">
        <v>10</v>
      </c>
      <c r="Q64" s="13">
        <v>10</v>
      </c>
      <c r="R64" s="13" t="s">
        <v>10</v>
      </c>
      <c r="S64" s="23">
        <v>10</v>
      </c>
      <c r="T64" s="23">
        <v>10</v>
      </c>
      <c r="U64" s="13">
        <v>10</v>
      </c>
      <c r="V64" s="23">
        <v>10</v>
      </c>
      <c r="W64" s="13">
        <v>10</v>
      </c>
      <c r="X64" s="13">
        <v>10</v>
      </c>
      <c r="Y64" s="13" t="s">
        <v>10</v>
      </c>
      <c r="Z64" s="23">
        <v>10</v>
      </c>
      <c r="AA64" s="23">
        <v>10</v>
      </c>
      <c r="AB64" s="23">
        <v>10</v>
      </c>
      <c r="AC64" s="23">
        <v>10</v>
      </c>
      <c r="AD64" s="13">
        <v>10</v>
      </c>
      <c r="AE64" s="23">
        <v>10</v>
      </c>
      <c r="AF64" s="23" t="s">
        <v>10</v>
      </c>
      <c r="AG64" s="23">
        <v>10</v>
      </c>
      <c r="AH64" s="23">
        <v>10</v>
      </c>
      <c r="AI64" s="22">
        <f t="shared" si="2"/>
        <v>245</v>
      </c>
      <c r="AJ64" s="21"/>
      <c r="AK64" s="14">
        <f t="shared" si="3"/>
        <v>0</v>
      </c>
      <c r="AL64" s="2" t="s">
        <v>309</v>
      </c>
    </row>
    <row r="65" spans="1:38" ht="19.899999999999999" customHeight="1" x14ac:dyDescent="0.25">
      <c r="A65" s="2">
        <v>63</v>
      </c>
      <c r="B65" s="25" t="s">
        <v>317</v>
      </c>
      <c r="C65" s="4" t="s">
        <v>313</v>
      </c>
      <c r="D65" s="2" t="s">
        <v>84</v>
      </c>
      <c r="E65" s="23">
        <v>11</v>
      </c>
      <c r="F65" s="23">
        <v>11</v>
      </c>
      <c r="G65" s="13">
        <v>11</v>
      </c>
      <c r="H65" s="23">
        <v>11</v>
      </c>
      <c r="I65" s="13" t="s">
        <v>515</v>
      </c>
      <c r="J65" s="13">
        <v>11</v>
      </c>
      <c r="K65" s="13" t="s">
        <v>10</v>
      </c>
      <c r="L65" s="23">
        <v>11</v>
      </c>
      <c r="M65" s="23">
        <v>11</v>
      </c>
      <c r="N65" s="13">
        <v>11</v>
      </c>
      <c r="O65" s="23">
        <v>11</v>
      </c>
      <c r="P65" s="13">
        <v>11</v>
      </c>
      <c r="Q65" s="13">
        <v>11</v>
      </c>
      <c r="R65" s="13" t="s">
        <v>10</v>
      </c>
      <c r="S65" s="23">
        <v>11</v>
      </c>
      <c r="T65" s="23">
        <v>11</v>
      </c>
      <c r="U65" s="13">
        <v>11</v>
      </c>
      <c r="V65" s="23">
        <v>11</v>
      </c>
      <c r="W65" s="13">
        <v>11</v>
      </c>
      <c r="X65" s="13">
        <v>11</v>
      </c>
      <c r="Y65" s="13" t="s">
        <v>10</v>
      </c>
      <c r="Z65" s="23">
        <v>11</v>
      </c>
      <c r="AA65" s="23">
        <v>11</v>
      </c>
      <c r="AB65" s="23">
        <v>11</v>
      </c>
      <c r="AC65" s="23">
        <v>11</v>
      </c>
      <c r="AD65" s="13">
        <v>11</v>
      </c>
      <c r="AE65" s="23">
        <v>11</v>
      </c>
      <c r="AF65" s="23">
        <v>11</v>
      </c>
      <c r="AG65" s="23">
        <v>11</v>
      </c>
      <c r="AH65" s="23">
        <v>11</v>
      </c>
      <c r="AI65" s="22">
        <f t="shared" si="2"/>
        <v>286</v>
      </c>
      <c r="AJ65" s="2"/>
      <c r="AK65" s="14">
        <f t="shared" si="3"/>
        <v>0</v>
      </c>
      <c r="AL65" s="2" t="s">
        <v>164</v>
      </c>
    </row>
    <row r="66" spans="1:38" ht="19.899999999999999" customHeight="1" x14ac:dyDescent="0.25">
      <c r="A66" s="2">
        <v>64</v>
      </c>
      <c r="B66" s="25" t="s">
        <v>318</v>
      </c>
      <c r="C66" s="4" t="s">
        <v>387</v>
      </c>
      <c r="D66" s="2" t="s">
        <v>84</v>
      </c>
      <c r="E66" s="23" t="s">
        <v>32</v>
      </c>
      <c r="F66" s="23">
        <v>11</v>
      </c>
      <c r="G66" s="13">
        <v>11</v>
      </c>
      <c r="H66" s="23">
        <v>11</v>
      </c>
      <c r="I66" s="13" t="s">
        <v>515</v>
      </c>
      <c r="J66" s="13">
        <v>11</v>
      </c>
      <c r="K66" s="13" t="s">
        <v>10</v>
      </c>
      <c r="L66" s="23">
        <v>11</v>
      </c>
      <c r="M66" s="23">
        <v>11</v>
      </c>
      <c r="N66" s="13">
        <v>11</v>
      </c>
      <c r="O66" s="23">
        <v>11</v>
      </c>
      <c r="P66" s="13">
        <v>11</v>
      </c>
      <c r="Q66" s="13">
        <v>11</v>
      </c>
      <c r="R66" s="13" t="s">
        <v>10</v>
      </c>
      <c r="S66" s="23">
        <v>11</v>
      </c>
      <c r="T66" s="23">
        <v>11</v>
      </c>
      <c r="U66" s="13">
        <v>11</v>
      </c>
      <c r="V66" s="23">
        <v>11</v>
      </c>
      <c r="W66" s="13">
        <v>11</v>
      </c>
      <c r="X66" s="13">
        <v>11</v>
      </c>
      <c r="Y66" s="13" t="s">
        <v>10</v>
      </c>
      <c r="Z66" s="23">
        <v>11</v>
      </c>
      <c r="AA66" s="23">
        <v>11</v>
      </c>
      <c r="AB66" s="23">
        <v>11</v>
      </c>
      <c r="AC66" s="23">
        <v>11</v>
      </c>
      <c r="AD66" s="13" t="s">
        <v>32</v>
      </c>
      <c r="AE66" s="23">
        <v>11</v>
      </c>
      <c r="AF66" s="23">
        <v>11</v>
      </c>
      <c r="AG66" s="23">
        <v>11</v>
      </c>
      <c r="AH66" s="23">
        <v>11</v>
      </c>
      <c r="AI66" s="22">
        <f t="shared" si="2"/>
        <v>264</v>
      </c>
      <c r="AJ66" s="21"/>
      <c r="AK66" s="14">
        <f t="shared" si="3"/>
        <v>0</v>
      </c>
      <c r="AL66" s="2" t="s">
        <v>164</v>
      </c>
    </row>
    <row r="67" spans="1:38" ht="19.899999999999999" customHeight="1" x14ac:dyDescent="0.25">
      <c r="A67" s="2">
        <v>65</v>
      </c>
      <c r="B67" s="28" t="s">
        <v>341</v>
      </c>
      <c r="C67" s="4" t="s">
        <v>342</v>
      </c>
      <c r="D67" s="2" t="s">
        <v>84</v>
      </c>
      <c r="E67" s="23">
        <v>10</v>
      </c>
      <c r="F67" s="23">
        <v>12</v>
      </c>
      <c r="G67" s="13">
        <v>10</v>
      </c>
      <c r="H67" s="23">
        <v>8</v>
      </c>
      <c r="I67" s="13" t="s">
        <v>515</v>
      </c>
      <c r="J67" s="13">
        <v>10</v>
      </c>
      <c r="K67" s="13" t="s">
        <v>10</v>
      </c>
      <c r="L67" s="23">
        <v>10</v>
      </c>
      <c r="M67" s="23">
        <v>10</v>
      </c>
      <c r="N67" s="13">
        <v>10</v>
      </c>
      <c r="O67" s="23">
        <v>10</v>
      </c>
      <c r="P67" s="13">
        <v>10</v>
      </c>
      <c r="Q67" s="13">
        <v>10</v>
      </c>
      <c r="R67" s="13">
        <v>11</v>
      </c>
      <c r="S67" s="23">
        <v>10</v>
      </c>
      <c r="T67" s="23">
        <v>10</v>
      </c>
      <c r="U67" s="13">
        <v>10</v>
      </c>
      <c r="V67" s="23">
        <v>10</v>
      </c>
      <c r="W67" s="13">
        <v>10</v>
      </c>
      <c r="X67" s="13">
        <v>10</v>
      </c>
      <c r="Y67" s="13" t="s">
        <v>10</v>
      </c>
      <c r="Z67" s="23">
        <v>10</v>
      </c>
      <c r="AA67" s="23">
        <v>10</v>
      </c>
      <c r="AB67" s="23">
        <v>10</v>
      </c>
      <c r="AC67" s="23">
        <v>10</v>
      </c>
      <c r="AD67" s="13">
        <v>10</v>
      </c>
      <c r="AE67" s="23">
        <v>10</v>
      </c>
      <c r="AF67" s="23" t="s">
        <v>10</v>
      </c>
      <c r="AG67" s="23">
        <v>10</v>
      </c>
      <c r="AH67" s="23">
        <v>10</v>
      </c>
      <c r="AI67" s="22">
        <f t="shared" ref="AI67:AI97" si="4">SUM(E67:AH67)</f>
        <v>261</v>
      </c>
      <c r="AJ67" s="21"/>
      <c r="AK67" s="14">
        <f t="shared" ref="AK67:AK97" si="5">AI67*AJ67</f>
        <v>0</v>
      </c>
      <c r="AL67" s="2" t="s">
        <v>309</v>
      </c>
    </row>
    <row r="68" spans="1:38" ht="19.899999999999999" customHeight="1" x14ac:dyDescent="0.25">
      <c r="A68" s="2">
        <v>66</v>
      </c>
      <c r="B68" s="25" t="s">
        <v>351</v>
      </c>
      <c r="C68" s="4" t="s">
        <v>336</v>
      </c>
      <c r="D68" s="2" t="s">
        <v>84</v>
      </c>
      <c r="E68" s="23">
        <v>11</v>
      </c>
      <c r="F68" s="23">
        <v>11</v>
      </c>
      <c r="G68" s="13">
        <v>11</v>
      </c>
      <c r="H68" s="23">
        <v>11</v>
      </c>
      <c r="I68" s="13" t="s">
        <v>515</v>
      </c>
      <c r="J68" s="13">
        <v>11</v>
      </c>
      <c r="K68" s="13" t="s">
        <v>10</v>
      </c>
      <c r="L68" s="23">
        <v>11</v>
      </c>
      <c r="M68" s="23">
        <v>11</v>
      </c>
      <c r="N68" s="13">
        <v>11</v>
      </c>
      <c r="O68" s="23">
        <v>11</v>
      </c>
      <c r="P68" s="13">
        <v>11</v>
      </c>
      <c r="Q68" s="13">
        <v>11</v>
      </c>
      <c r="R68" s="13" t="s">
        <v>10</v>
      </c>
      <c r="S68" s="23">
        <v>11</v>
      </c>
      <c r="T68" s="23">
        <v>11</v>
      </c>
      <c r="U68" s="13">
        <v>11</v>
      </c>
      <c r="V68" s="23">
        <v>11</v>
      </c>
      <c r="W68" s="13">
        <v>11</v>
      </c>
      <c r="X68" s="13">
        <v>11</v>
      </c>
      <c r="Y68" s="13" t="s">
        <v>10</v>
      </c>
      <c r="Z68" s="23">
        <v>11</v>
      </c>
      <c r="AA68" s="23">
        <v>11</v>
      </c>
      <c r="AB68" s="23">
        <v>11</v>
      </c>
      <c r="AC68" s="23">
        <v>11</v>
      </c>
      <c r="AD68" s="13">
        <v>11</v>
      </c>
      <c r="AE68" s="23">
        <v>11</v>
      </c>
      <c r="AF68" s="23">
        <v>11</v>
      </c>
      <c r="AG68" s="23">
        <v>11</v>
      </c>
      <c r="AH68" s="23">
        <v>11</v>
      </c>
      <c r="AI68" s="22">
        <f t="shared" si="4"/>
        <v>286</v>
      </c>
      <c r="AJ68" s="21"/>
      <c r="AK68" s="14">
        <f t="shared" si="5"/>
        <v>0</v>
      </c>
      <c r="AL68" s="2" t="s">
        <v>164</v>
      </c>
    </row>
    <row r="69" spans="1:38" ht="19.899999999999999" customHeight="1" x14ac:dyDescent="0.25">
      <c r="A69" s="2">
        <v>67</v>
      </c>
      <c r="B69" s="25" t="s">
        <v>352</v>
      </c>
      <c r="C69" s="4" t="s">
        <v>337</v>
      </c>
      <c r="D69" s="2" t="s">
        <v>84</v>
      </c>
      <c r="E69" s="23">
        <v>10</v>
      </c>
      <c r="F69" s="23">
        <v>10</v>
      </c>
      <c r="G69" s="13">
        <v>10</v>
      </c>
      <c r="H69" s="23">
        <v>10</v>
      </c>
      <c r="I69" s="13">
        <v>10</v>
      </c>
      <c r="J69" s="13">
        <v>10</v>
      </c>
      <c r="K69" s="13" t="s">
        <v>10</v>
      </c>
      <c r="L69" s="23">
        <v>10</v>
      </c>
      <c r="M69" s="23">
        <v>10</v>
      </c>
      <c r="N69" s="13">
        <v>10</v>
      </c>
      <c r="O69" s="23">
        <v>10</v>
      </c>
      <c r="P69" s="13">
        <v>10</v>
      </c>
      <c r="Q69" s="13">
        <v>10</v>
      </c>
      <c r="R69" s="13" t="s">
        <v>10</v>
      </c>
      <c r="S69" s="23">
        <v>10</v>
      </c>
      <c r="T69" s="23">
        <v>10</v>
      </c>
      <c r="U69" s="13">
        <v>10</v>
      </c>
      <c r="V69" s="23">
        <v>10</v>
      </c>
      <c r="W69" s="13">
        <v>10</v>
      </c>
      <c r="X69" s="13">
        <v>10</v>
      </c>
      <c r="Y69" s="13" t="s">
        <v>10</v>
      </c>
      <c r="Z69" s="23">
        <v>10</v>
      </c>
      <c r="AA69" s="23">
        <v>10</v>
      </c>
      <c r="AB69" s="23">
        <v>10</v>
      </c>
      <c r="AC69" s="23">
        <v>10</v>
      </c>
      <c r="AD69" s="13">
        <v>10</v>
      </c>
      <c r="AE69" s="23">
        <v>10</v>
      </c>
      <c r="AF69" s="23" t="s">
        <v>10</v>
      </c>
      <c r="AG69" s="23">
        <v>10</v>
      </c>
      <c r="AH69" s="23">
        <v>10</v>
      </c>
      <c r="AI69" s="22">
        <f t="shared" si="4"/>
        <v>260</v>
      </c>
      <c r="AJ69" s="2"/>
      <c r="AK69" s="14">
        <f t="shared" si="5"/>
        <v>0</v>
      </c>
      <c r="AL69" s="2" t="s">
        <v>164</v>
      </c>
    </row>
    <row r="70" spans="1:38" ht="19.899999999999999" customHeight="1" x14ac:dyDescent="0.25">
      <c r="A70" s="2">
        <v>68</v>
      </c>
      <c r="B70" s="25" t="s">
        <v>353</v>
      </c>
      <c r="C70" s="4" t="s">
        <v>112</v>
      </c>
      <c r="D70" s="2" t="s">
        <v>84</v>
      </c>
      <c r="E70" s="23" t="s">
        <v>32</v>
      </c>
      <c r="F70" s="23">
        <v>11</v>
      </c>
      <c r="G70" s="13">
        <v>11</v>
      </c>
      <c r="H70" s="23">
        <v>11</v>
      </c>
      <c r="I70" s="13" t="s">
        <v>515</v>
      </c>
      <c r="J70" s="13">
        <v>11</v>
      </c>
      <c r="K70" s="13" t="s">
        <v>10</v>
      </c>
      <c r="L70" s="23">
        <v>11</v>
      </c>
      <c r="M70" s="23">
        <v>11</v>
      </c>
      <c r="N70" s="13">
        <v>11</v>
      </c>
      <c r="O70" s="23">
        <v>11</v>
      </c>
      <c r="P70" s="13">
        <v>11</v>
      </c>
      <c r="Q70" s="13">
        <v>11</v>
      </c>
      <c r="R70" s="13" t="s">
        <v>10</v>
      </c>
      <c r="S70" s="23">
        <v>11</v>
      </c>
      <c r="T70" s="23">
        <v>11</v>
      </c>
      <c r="U70" s="13">
        <v>11</v>
      </c>
      <c r="V70" s="23">
        <v>11</v>
      </c>
      <c r="W70" s="13">
        <v>11</v>
      </c>
      <c r="X70" s="13">
        <v>11</v>
      </c>
      <c r="Y70" s="13" t="s">
        <v>10</v>
      </c>
      <c r="Z70" s="23">
        <v>11</v>
      </c>
      <c r="AA70" s="23">
        <v>11</v>
      </c>
      <c r="AB70" s="23">
        <v>11</v>
      </c>
      <c r="AC70" s="23">
        <v>11</v>
      </c>
      <c r="AD70" s="13">
        <v>11</v>
      </c>
      <c r="AE70" s="23">
        <v>11</v>
      </c>
      <c r="AF70" s="23">
        <v>11</v>
      </c>
      <c r="AG70" s="23">
        <v>11</v>
      </c>
      <c r="AH70" s="23">
        <v>11</v>
      </c>
      <c r="AI70" s="22">
        <f t="shared" si="4"/>
        <v>275</v>
      </c>
      <c r="AJ70" s="2"/>
      <c r="AK70" s="14">
        <f t="shared" si="5"/>
        <v>0</v>
      </c>
      <c r="AL70" s="2" t="s">
        <v>164</v>
      </c>
    </row>
    <row r="71" spans="1:38" ht="19.899999999999999" customHeight="1" x14ac:dyDescent="0.25">
      <c r="A71" s="2">
        <v>69</v>
      </c>
      <c r="B71" s="25" t="s">
        <v>354</v>
      </c>
      <c r="C71" s="4" t="s">
        <v>339</v>
      </c>
      <c r="D71" s="2" t="s">
        <v>84</v>
      </c>
      <c r="E71" s="23">
        <v>10</v>
      </c>
      <c r="F71" s="23">
        <v>10</v>
      </c>
      <c r="G71" s="13">
        <v>10</v>
      </c>
      <c r="H71" s="23">
        <v>10</v>
      </c>
      <c r="I71" s="13">
        <v>10</v>
      </c>
      <c r="J71" s="13">
        <v>10</v>
      </c>
      <c r="K71" s="13">
        <v>10</v>
      </c>
      <c r="L71" s="23">
        <v>10</v>
      </c>
      <c r="M71" s="23">
        <v>10</v>
      </c>
      <c r="N71" s="13">
        <v>10</v>
      </c>
      <c r="O71" s="23">
        <v>10</v>
      </c>
      <c r="P71" s="13">
        <v>10</v>
      </c>
      <c r="Q71" s="13">
        <v>10</v>
      </c>
      <c r="R71" s="13">
        <v>10</v>
      </c>
      <c r="S71" s="23">
        <v>10</v>
      </c>
      <c r="T71" s="23">
        <v>10</v>
      </c>
      <c r="U71" s="13">
        <v>10</v>
      </c>
      <c r="V71" s="23">
        <v>10</v>
      </c>
      <c r="W71" s="13">
        <v>10</v>
      </c>
      <c r="X71" s="13">
        <v>10</v>
      </c>
      <c r="Y71" s="13" t="s">
        <v>10</v>
      </c>
      <c r="Z71" s="23">
        <v>10</v>
      </c>
      <c r="AA71" s="23">
        <v>10</v>
      </c>
      <c r="AB71" s="23">
        <v>10</v>
      </c>
      <c r="AC71" s="23">
        <v>10</v>
      </c>
      <c r="AD71" s="13">
        <v>10</v>
      </c>
      <c r="AE71" s="23">
        <v>10</v>
      </c>
      <c r="AF71" s="23">
        <v>10</v>
      </c>
      <c r="AG71" s="23">
        <v>10</v>
      </c>
      <c r="AH71" s="23">
        <v>10</v>
      </c>
      <c r="AI71" s="22">
        <f t="shared" si="4"/>
        <v>290</v>
      </c>
      <c r="AJ71" s="21"/>
      <c r="AK71" s="14">
        <f t="shared" si="5"/>
        <v>0</v>
      </c>
      <c r="AL71" s="2" t="s">
        <v>164</v>
      </c>
    </row>
    <row r="72" spans="1:38" ht="19.899999999999999" customHeight="1" x14ac:dyDescent="0.25">
      <c r="A72" s="2">
        <v>70</v>
      </c>
      <c r="B72" s="28" t="s">
        <v>355</v>
      </c>
      <c r="C72" s="4" t="s">
        <v>343</v>
      </c>
      <c r="D72" s="2" t="s">
        <v>84</v>
      </c>
      <c r="E72" s="23">
        <v>10</v>
      </c>
      <c r="F72" s="23">
        <v>8</v>
      </c>
      <c r="G72" s="13">
        <v>10</v>
      </c>
      <c r="H72" s="23">
        <v>10</v>
      </c>
      <c r="I72" s="13" t="s">
        <v>515</v>
      </c>
      <c r="J72" s="13">
        <v>10</v>
      </c>
      <c r="K72" s="13" t="s">
        <v>10</v>
      </c>
      <c r="L72" s="23">
        <v>10</v>
      </c>
      <c r="M72" s="23">
        <v>10</v>
      </c>
      <c r="N72" s="13">
        <v>10</v>
      </c>
      <c r="O72" s="23">
        <v>10</v>
      </c>
      <c r="P72" s="13">
        <v>10</v>
      </c>
      <c r="Q72" s="13">
        <v>10</v>
      </c>
      <c r="R72" s="13" t="s">
        <v>10</v>
      </c>
      <c r="S72" s="23">
        <v>10</v>
      </c>
      <c r="T72" s="23">
        <v>10</v>
      </c>
      <c r="U72" s="13">
        <v>10</v>
      </c>
      <c r="V72" s="23">
        <v>10</v>
      </c>
      <c r="W72" s="13">
        <v>10</v>
      </c>
      <c r="X72" s="13">
        <v>10</v>
      </c>
      <c r="Y72" s="13" t="s">
        <v>10</v>
      </c>
      <c r="Z72" s="23">
        <v>11</v>
      </c>
      <c r="AA72" s="23">
        <v>11</v>
      </c>
      <c r="AB72" s="23">
        <v>11</v>
      </c>
      <c r="AC72" s="23">
        <v>11</v>
      </c>
      <c r="AD72" s="13">
        <v>11</v>
      </c>
      <c r="AE72" s="23">
        <v>11</v>
      </c>
      <c r="AF72" s="23" t="s">
        <v>10</v>
      </c>
      <c r="AG72" s="23">
        <v>11</v>
      </c>
      <c r="AH72" s="23">
        <v>11</v>
      </c>
      <c r="AI72" s="22">
        <f t="shared" si="4"/>
        <v>256</v>
      </c>
      <c r="AJ72" s="21"/>
      <c r="AK72" s="14">
        <f t="shared" si="5"/>
        <v>0</v>
      </c>
      <c r="AL72" s="2" t="s">
        <v>431</v>
      </c>
    </row>
    <row r="73" spans="1:38" ht="19.899999999999999" customHeight="1" x14ac:dyDescent="0.25">
      <c r="A73" s="2">
        <v>71</v>
      </c>
      <c r="B73" s="25" t="s">
        <v>356</v>
      </c>
      <c r="C73" s="4" t="s">
        <v>338</v>
      </c>
      <c r="D73" s="2" t="s">
        <v>84</v>
      </c>
      <c r="E73" s="23">
        <v>10</v>
      </c>
      <c r="F73" s="23">
        <v>10</v>
      </c>
      <c r="G73" s="13">
        <v>10</v>
      </c>
      <c r="H73" s="23">
        <v>10</v>
      </c>
      <c r="I73" s="13">
        <v>10</v>
      </c>
      <c r="J73" s="13">
        <v>10</v>
      </c>
      <c r="K73" s="13" t="s">
        <v>10</v>
      </c>
      <c r="L73" s="23">
        <v>10</v>
      </c>
      <c r="M73" s="23">
        <v>10</v>
      </c>
      <c r="N73" s="13">
        <v>10</v>
      </c>
      <c r="O73" s="23">
        <v>10</v>
      </c>
      <c r="P73" s="13">
        <v>10</v>
      </c>
      <c r="Q73" s="13">
        <v>10</v>
      </c>
      <c r="R73" s="13" t="s">
        <v>10</v>
      </c>
      <c r="S73" s="23">
        <v>10</v>
      </c>
      <c r="T73" s="23">
        <v>10</v>
      </c>
      <c r="U73" s="13">
        <v>10</v>
      </c>
      <c r="V73" s="23">
        <v>10</v>
      </c>
      <c r="W73" s="13">
        <v>10</v>
      </c>
      <c r="X73" s="13">
        <v>10</v>
      </c>
      <c r="Y73" s="13" t="s">
        <v>10</v>
      </c>
      <c r="Z73" s="23">
        <v>10</v>
      </c>
      <c r="AA73" s="23">
        <v>10</v>
      </c>
      <c r="AB73" s="23">
        <v>10</v>
      </c>
      <c r="AC73" s="23">
        <v>10</v>
      </c>
      <c r="AD73" s="13">
        <v>10</v>
      </c>
      <c r="AE73" s="23">
        <v>10</v>
      </c>
      <c r="AF73" s="23" t="s">
        <v>10</v>
      </c>
      <c r="AG73" s="23">
        <v>10</v>
      </c>
      <c r="AH73" s="23">
        <v>10</v>
      </c>
      <c r="AI73" s="22">
        <f t="shared" si="4"/>
        <v>260</v>
      </c>
      <c r="AJ73" s="2"/>
      <c r="AK73" s="14">
        <f t="shared" si="5"/>
        <v>0</v>
      </c>
      <c r="AL73" s="2" t="s">
        <v>164</v>
      </c>
    </row>
    <row r="74" spans="1:38" ht="19.899999999999999" customHeight="1" x14ac:dyDescent="0.25">
      <c r="A74" s="2">
        <v>72</v>
      </c>
      <c r="B74" s="25" t="s">
        <v>357</v>
      </c>
      <c r="C74" s="4" t="s">
        <v>345</v>
      </c>
      <c r="D74" s="2" t="s">
        <v>84</v>
      </c>
      <c r="E74" s="23">
        <v>11</v>
      </c>
      <c r="F74" s="23">
        <v>11</v>
      </c>
      <c r="G74" s="13">
        <v>11</v>
      </c>
      <c r="H74" s="23">
        <v>11</v>
      </c>
      <c r="I74" s="13">
        <v>11</v>
      </c>
      <c r="J74" s="13">
        <v>11</v>
      </c>
      <c r="K74" s="13" t="s">
        <v>10</v>
      </c>
      <c r="L74" s="23">
        <v>11</v>
      </c>
      <c r="M74" s="23">
        <v>11</v>
      </c>
      <c r="N74" s="13">
        <v>11</v>
      </c>
      <c r="O74" s="23">
        <v>11</v>
      </c>
      <c r="P74" s="13">
        <v>11</v>
      </c>
      <c r="Q74" s="13">
        <v>11</v>
      </c>
      <c r="R74" s="13">
        <v>11</v>
      </c>
      <c r="S74" s="23">
        <v>11</v>
      </c>
      <c r="T74" s="23">
        <v>11</v>
      </c>
      <c r="U74" s="13">
        <v>11</v>
      </c>
      <c r="V74" s="23">
        <v>11</v>
      </c>
      <c r="W74" s="13">
        <v>11</v>
      </c>
      <c r="X74" s="13">
        <v>11</v>
      </c>
      <c r="Y74" s="13" t="s">
        <v>10</v>
      </c>
      <c r="Z74" s="23">
        <v>11</v>
      </c>
      <c r="AA74" s="23">
        <v>11</v>
      </c>
      <c r="AB74" s="23">
        <v>11</v>
      </c>
      <c r="AC74" s="23">
        <v>11</v>
      </c>
      <c r="AD74" s="13">
        <v>11</v>
      </c>
      <c r="AE74" s="23">
        <v>11</v>
      </c>
      <c r="AF74" s="23" t="s">
        <v>10</v>
      </c>
      <c r="AG74" s="23">
        <v>11</v>
      </c>
      <c r="AH74" s="23">
        <v>11</v>
      </c>
      <c r="AI74" s="22">
        <f t="shared" si="4"/>
        <v>297</v>
      </c>
      <c r="AJ74" s="21"/>
      <c r="AK74" s="14">
        <f t="shared" si="5"/>
        <v>0</v>
      </c>
      <c r="AL74" s="2" t="s">
        <v>344</v>
      </c>
    </row>
    <row r="75" spans="1:38" ht="19.899999999999999" customHeight="1" x14ac:dyDescent="0.25">
      <c r="A75" s="2">
        <v>73</v>
      </c>
      <c r="B75" s="25" t="s">
        <v>358</v>
      </c>
      <c r="C75" s="4" t="s">
        <v>346</v>
      </c>
      <c r="D75" s="2" t="s">
        <v>84</v>
      </c>
      <c r="E75" s="23">
        <v>13</v>
      </c>
      <c r="F75" s="23">
        <v>11</v>
      </c>
      <c r="G75" s="13">
        <v>13</v>
      </c>
      <c r="H75" s="23">
        <v>13</v>
      </c>
      <c r="I75" s="13">
        <v>11</v>
      </c>
      <c r="J75" s="13">
        <v>11</v>
      </c>
      <c r="K75" s="13" t="s">
        <v>10</v>
      </c>
      <c r="L75" s="23">
        <v>11</v>
      </c>
      <c r="M75" s="23">
        <v>13</v>
      </c>
      <c r="N75" s="13">
        <v>11</v>
      </c>
      <c r="O75" s="23">
        <v>11</v>
      </c>
      <c r="P75" s="13">
        <v>11</v>
      </c>
      <c r="Q75" s="13">
        <v>11</v>
      </c>
      <c r="R75" s="13">
        <v>11</v>
      </c>
      <c r="S75" s="23">
        <v>11</v>
      </c>
      <c r="T75" s="23">
        <v>11</v>
      </c>
      <c r="U75" s="13">
        <v>11</v>
      </c>
      <c r="V75" s="23">
        <v>11</v>
      </c>
      <c r="W75" s="13">
        <v>11</v>
      </c>
      <c r="X75" s="13">
        <v>11</v>
      </c>
      <c r="Y75" s="13" t="s">
        <v>10</v>
      </c>
      <c r="Z75" s="23">
        <v>11</v>
      </c>
      <c r="AA75" s="23">
        <v>11</v>
      </c>
      <c r="AB75" s="23">
        <v>11</v>
      </c>
      <c r="AC75" s="23">
        <v>11</v>
      </c>
      <c r="AD75" s="13">
        <v>11</v>
      </c>
      <c r="AE75" s="23">
        <v>11</v>
      </c>
      <c r="AF75" s="23">
        <v>11</v>
      </c>
      <c r="AG75" s="23">
        <v>11</v>
      </c>
      <c r="AH75" s="23">
        <v>13</v>
      </c>
      <c r="AI75" s="22">
        <f t="shared" si="4"/>
        <v>318</v>
      </c>
      <c r="AJ75" s="21"/>
      <c r="AK75" s="14">
        <f t="shared" si="5"/>
        <v>0</v>
      </c>
      <c r="AL75" s="2" t="s">
        <v>344</v>
      </c>
    </row>
    <row r="76" spans="1:38" ht="19.899999999999999" customHeight="1" x14ac:dyDescent="0.25">
      <c r="A76" s="2">
        <v>74</v>
      </c>
      <c r="B76" s="25" t="s">
        <v>359</v>
      </c>
      <c r="C76" s="4" t="s">
        <v>347</v>
      </c>
      <c r="D76" s="2" t="s">
        <v>84</v>
      </c>
      <c r="E76" s="23">
        <v>11</v>
      </c>
      <c r="F76" s="23">
        <v>11</v>
      </c>
      <c r="G76" s="13">
        <v>11</v>
      </c>
      <c r="H76" s="23">
        <v>11</v>
      </c>
      <c r="I76" s="13">
        <v>11</v>
      </c>
      <c r="J76" s="13">
        <v>11</v>
      </c>
      <c r="K76" s="13" t="s">
        <v>10</v>
      </c>
      <c r="L76" s="23">
        <v>11</v>
      </c>
      <c r="M76" s="23">
        <v>11</v>
      </c>
      <c r="N76" s="13">
        <v>11</v>
      </c>
      <c r="O76" s="23">
        <v>11</v>
      </c>
      <c r="P76" s="13">
        <v>11</v>
      </c>
      <c r="Q76" s="13">
        <v>11</v>
      </c>
      <c r="R76" s="13">
        <v>11</v>
      </c>
      <c r="S76" s="23">
        <v>11</v>
      </c>
      <c r="T76" s="23">
        <v>11</v>
      </c>
      <c r="U76" s="13">
        <v>11</v>
      </c>
      <c r="V76" s="23">
        <v>11</v>
      </c>
      <c r="W76" s="13">
        <v>11</v>
      </c>
      <c r="X76" s="13">
        <v>11</v>
      </c>
      <c r="Y76" s="13">
        <v>11</v>
      </c>
      <c r="Z76" s="23">
        <v>11</v>
      </c>
      <c r="AA76" s="23">
        <v>11</v>
      </c>
      <c r="AB76" s="23">
        <v>11</v>
      </c>
      <c r="AC76" s="23">
        <v>11</v>
      </c>
      <c r="AD76" s="13">
        <v>11</v>
      </c>
      <c r="AE76" s="23">
        <v>11</v>
      </c>
      <c r="AF76" s="23" t="s">
        <v>10</v>
      </c>
      <c r="AG76" s="23">
        <v>11</v>
      </c>
      <c r="AH76" s="23">
        <v>11</v>
      </c>
      <c r="AI76" s="22">
        <f t="shared" si="4"/>
        <v>308</v>
      </c>
      <c r="AJ76" s="21"/>
      <c r="AK76" s="14">
        <f t="shared" si="5"/>
        <v>0</v>
      </c>
      <c r="AL76" s="2" t="s">
        <v>344</v>
      </c>
    </row>
    <row r="77" spans="1:38" ht="19.899999999999999" customHeight="1" x14ac:dyDescent="0.25">
      <c r="A77" s="2">
        <v>75</v>
      </c>
      <c r="B77" s="25" t="s">
        <v>360</v>
      </c>
      <c r="C77" s="4" t="s">
        <v>348</v>
      </c>
      <c r="D77" s="2" t="s">
        <v>84</v>
      </c>
      <c r="E77" s="23">
        <v>11</v>
      </c>
      <c r="F77" s="23">
        <v>11</v>
      </c>
      <c r="G77" s="13">
        <v>11</v>
      </c>
      <c r="H77" s="23">
        <v>11</v>
      </c>
      <c r="I77" s="13">
        <v>11</v>
      </c>
      <c r="J77" s="13">
        <v>11</v>
      </c>
      <c r="K77" s="13" t="s">
        <v>10</v>
      </c>
      <c r="L77" s="23">
        <v>11</v>
      </c>
      <c r="M77" s="23">
        <v>11</v>
      </c>
      <c r="N77" s="13">
        <v>11</v>
      </c>
      <c r="O77" s="23">
        <v>11</v>
      </c>
      <c r="P77" s="13">
        <v>11</v>
      </c>
      <c r="Q77" s="13">
        <v>11</v>
      </c>
      <c r="R77" s="13">
        <v>11</v>
      </c>
      <c r="S77" s="23">
        <v>11</v>
      </c>
      <c r="T77" s="23">
        <v>11</v>
      </c>
      <c r="U77" s="13">
        <v>11</v>
      </c>
      <c r="V77" s="23">
        <v>11</v>
      </c>
      <c r="W77" s="13">
        <v>11</v>
      </c>
      <c r="X77" s="13">
        <v>11</v>
      </c>
      <c r="Y77" s="13">
        <v>11</v>
      </c>
      <c r="Z77" s="23">
        <v>11</v>
      </c>
      <c r="AA77" s="23">
        <v>11</v>
      </c>
      <c r="AB77" s="23">
        <v>11</v>
      </c>
      <c r="AC77" s="23">
        <v>11</v>
      </c>
      <c r="AD77" s="13">
        <v>11</v>
      </c>
      <c r="AE77" s="23">
        <v>11</v>
      </c>
      <c r="AF77" s="23">
        <v>11</v>
      </c>
      <c r="AG77" s="23">
        <v>11</v>
      </c>
      <c r="AH77" s="23">
        <v>11</v>
      </c>
      <c r="AI77" s="22">
        <f t="shared" si="4"/>
        <v>319</v>
      </c>
      <c r="AJ77" s="21"/>
      <c r="AK77" s="14">
        <f t="shared" si="5"/>
        <v>0</v>
      </c>
      <c r="AL77" s="2" t="s">
        <v>344</v>
      </c>
    </row>
    <row r="78" spans="1:38" ht="19.899999999999999" customHeight="1" x14ac:dyDescent="0.25">
      <c r="A78" s="2">
        <v>76</v>
      </c>
      <c r="B78" s="25" t="s">
        <v>391</v>
      </c>
      <c r="C78" s="4" t="s">
        <v>389</v>
      </c>
      <c r="D78" s="2" t="s">
        <v>84</v>
      </c>
      <c r="E78" s="23">
        <v>11</v>
      </c>
      <c r="F78" s="23">
        <v>11</v>
      </c>
      <c r="G78" s="13">
        <v>11</v>
      </c>
      <c r="H78" s="23">
        <v>11</v>
      </c>
      <c r="I78" s="13">
        <v>11</v>
      </c>
      <c r="J78" s="13">
        <v>11</v>
      </c>
      <c r="K78" s="13" t="s">
        <v>10</v>
      </c>
      <c r="L78" s="23">
        <v>11</v>
      </c>
      <c r="M78" s="23">
        <v>11</v>
      </c>
      <c r="N78" s="13">
        <v>11</v>
      </c>
      <c r="O78" s="23">
        <v>11</v>
      </c>
      <c r="P78" s="13">
        <v>11</v>
      </c>
      <c r="Q78" s="13">
        <v>11</v>
      </c>
      <c r="R78" s="13">
        <v>11</v>
      </c>
      <c r="S78" s="23">
        <v>11</v>
      </c>
      <c r="T78" s="23">
        <v>11</v>
      </c>
      <c r="U78" s="13">
        <v>11</v>
      </c>
      <c r="V78" s="23">
        <v>11</v>
      </c>
      <c r="W78" s="13">
        <v>11</v>
      </c>
      <c r="X78" s="13">
        <v>11</v>
      </c>
      <c r="Y78" s="13">
        <v>11</v>
      </c>
      <c r="Z78" s="23">
        <v>11</v>
      </c>
      <c r="AA78" s="23">
        <v>11</v>
      </c>
      <c r="AB78" s="23">
        <v>11</v>
      </c>
      <c r="AC78" s="23">
        <v>11</v>
      </c>
      <c r="AD78" s="13">
        <v>11</v>
      </c>
      <c r="AE78" s="23">
        <v>11</v>
      </c>
      <c r="AF78" s="23" t="s">
        <v>10</v>
      </c>
      <c r="AG78" s="23">
        <v>11</v>
      </c>
      <c r="AH78" s="23">
        <v>11</v>
      </c>
      <c r="AI78" s="22">
        <f t="shared" si="4"/>
        <v>308</v>
      </c>
      <c r="AJ78" s="21"/>
      <c r="AK78" s="14">
        <f t="shared" si="5"/>
        <v>0</v>
      </c>
      <c r="AL78" s="2" t="s">
        <v>344</v>
      </c>
    </row>
    <row r="79" spans="1:38" ht="19.899999999999999" customHeight="1" x14ac:dyDescent="0.25">
      <c r="A79" s="2">
        <v>77</v>
      </c>
      <c r="B79" s="25" t="s">
        <v>392</v>
      </c>
      <c r="C79" s="4" t="s">
        <v>390</v>
      </c>
      <c r="D79" s="2" t="s">
        <v>84</v>
      </c>
      <c r="E79" s="23">
        <v>11</v>
      </c>
      <c r="F79" s="23">
        <v>11</v>
      </c>
      <c r="G79" s="13">
        <v>11</v>
      </c>
      <c r="H79" s="23">
        <v>11</v>
      </c>
      <c r="I79" s="13">
        <v>11</v>
      </c>
      <c r="J79" s="13">
        <v>11</v>
      </c>
      <c r="K79" s="13" t="s">
        <v>10</v>
      </c>
      <c r="L79" s="23">
        <v>11</v>
      </c>
      <c r="M79" s="23">
        <v>11</v>
      </c>
      <c r="N79" s="13">
        <v>11</v>
      </c>
      <c r="O79" s="23">
        <v>11</v>
      </c>
      <c r="P79" s="13">
        <v>11</v>
      </c>
      <c r="Q79" s="13">
        <v>11</v>
      </c>
      <c r="R79" s="13" t="s">
        <v>10</v>
      </c>
      <c r="S79" s="23">
        <v>11</v>
      </c>
      <c r="T79" s="23">
        <v>11</v>
      </c>
      <c r="U79" s="13">
        <v>11</v>
      </c>
      <c r="V79" s="23">
        <v>11</v>
      </c>
      <c r="W79" s="13">
        <v>11</v>
      </c>
      <c r="X79" s="13">
        <v>11</v>
      </c>
      <c r="Y79" s="13">
        <v>11</v>
      </c>
      <c r="Z79" s="23">
        <v>11</v>
      </c>
      <c r="AA79" s="23">
        <v>11</v>
      </c>
      <c r="AB79" s="23">
        <v>11</v>
      </c>
      <c r="AC79" s="23">
        <v>11</v>
      </c>
      <c r="AD79" s="13">
        <v>11</v>
      </c>
      <c r="AE79" s="23">
        <v>11</v>
      </c>
      <c r="AF79" s="23" t="s">
        <v>10</v>
      </c>
      <c r="AG79" s="23">
        <v>11</v>
      </c>
      <c r="AH79" s="23">
        <v>11</v>
      </c>
      <c r="AI79" s="22">
        <f t="shared" si="4"/>
        <v>297</v>
      </c>
      <c r="AJ79" s="21"/>
      <c r="AK79" s="14">
        <f t="shared" si="5"/>
        <v>0</v>
      </c>
      <c r="AL79" s="2" t="s">
        <v>344</v>
      </c>
    </row>
    <row r="80" spans="1:38" ht="19.899999999999999" customHeight="1" x14ac:dyDescent="0.25">
      <c r="A80" s="2">
        <v>78</v>
      </c>
      <c r="B80" s="30" t="s">
        <v>393</v>
      </c>
      <c r="C80" s="4" t="s">
        <v>428</v>
      </c>
      <c r="D80" s="2" t="s">
        <v>84</v>
      </c>
      <c r="E80" s="23">
        <v>10</v>
      </c>
      <c r="F80" s="23">
        <v>8</v>
      </c>
      <c r="G80" s="13">
        <v>10</v>
      </c>
      <c r="H80" s="23">
        <v>10</v>
      </c>
      <c r="I80" s="13" t="s">
        <v>515</v>
      </c>
      <c r="J80" s="13">
        <v>10</v>
      </c>
      <c r="K80" s="13" t="s">
        <v>10</v>
      </c>
      <c r="L80" s="23">
        <v>10</v>
      </c>
      <c r="M80" s="23">
        <v>10</v>
      </c>
      <c r="N80" s="13">
        <v>10</v>
      </c>
      <c r="O80" s="23">
        <v>10</v>
      </c>
      <c r="P80" s="13">
        <v>10</v>
      </c>
      <c r="Q80" s="13">
        <v>10</v>
      </c>
      <c r="R80" s="13" t="s">
        <v>10</v>
      </c>
      <c r="S80" s="23">
        <v>10</v>
      </c>
      <c r="T80" s="23">
        <v>10</v>
      </c>
      <c r="U80" s="13">
        <v>10</v>
      </c>
      <c r="V80" s="23">
        <v>10</v>
      </c>
      <c r="W80" s="13">
        <v>10</v>
      </c>
      <c r="X80" s="13" t="s">
        <v>32</v>
      </c>
      <c r="Y80" s="13" t="s">
        <v>10</v>
      </c>
      <c r="Z80" s="23">
        <v>11</v>
      </c>
      <c r="AA80" s="23">
        <v>11</v>
      </c>
      <c r="AB80" s="23">
        <v>11</v>
      </c>
      <c r="AC80" s="23">
        <v>11</v>
      </c>
      <c r="AD80" s="13">
        <v>11</v>
      </c>
      <c r="AE80" s="23">
        <v>11</v>
      </c>
      <c r="AF80" s="23" t="s">
        <v>10</v>
      </c>
      <c r="AG80" s="23">
        <v>11</v>
      </c>
      <c r="AH80" s="23">
        <v>11</v>
      </c>
      <c r="AI80" s="22">
        <f t="shared" si="4"/>
        <v>246</v>
      </c>
      <c r="AJ80" s="21"/>
      <c r="AK80" s="14">
        <f t="shared" si="5"/>
        <v>0</v>
      </c>
      <c r="AL80" s="2" t="s">
        <v>431</v>
      </c>
    </row>
    <row r="81" spans="1:38" ht="19.899999999999999" customHeight="1" x14ac:dyDescent="0.25">
      <c r="A81" s="2">
        <v>79</v>
      </c>
      <c r="B81" s="25" t="s">
        <v>443</v>
      </c>
      <c r="C81" s="4" t="s">
        <v>432</v>
      </c>
      <c r="D81" s="2" t="s">
        <v>483</v>
      </c>
      <c r="E81" s="23">
        <v>10</v>
      </c>
      <c r="F81" s="23">
        <v>10</v>
      </c>
      <c r="G81" s="13">
        <v>10</v>
      </c>
      <c r="H81" s="23">
        <v>10</v>
      </c>
      <c r="I81" s="13">
        <v>10</v>
      </c>
      <c r="J81" s="13">
        <v>10</v>
      </c>
      <c r="K81" s="13" t="s">
        <v>10</v>
      </c>
      <c r="L81" s="23">
        <v>10</v>
      </c>
      <c r="M81" s="23">
        <v>10</v>
      </c>
      <c r="N81" s="13">
        <v>10</v>
      </c>
      <c r="O81" s="23">
        <v>10</v>
      </c>
      <c r="P81" s="13">
        <v>10</v>
      </c>
      <c r="Q81" s="13">
        <v>10</v>
      </c>
      <c r="R81" s="13">
        <v>10</v>
      </c>
      <c r="S81" s="23">
        <v>10</v>
      </c>
      <c r="T81" s="23" t="s">
        <v>32</v>
      </c>
      <c r="U81" s="13">
        <v>10</v>
      </c>
      <c r="V81" s="23">
        <v>10</v>
      </c>
      <c r="W81" s="13">
        <v>10</v>
      </c>
      <c r="X81" s="13">
        <v>10</v>
      </c>
      <c r="Y81" s="13" t="s">
        <v>10</v>
      </c>
      <c r="Z81" s="23">
        <v>10</v>
      </c>
      <c r="AA81" s="23">
        <v>10</v>
      </c>
      <c r="AB81" s="23">
        <v>10</v>
      </c>
      <c r="AC81" s="23">
        <v>10</v>
      </c>
      <c r="AD81" s="13">
        <v>10</v>
      </c>
      <c r="AE81" s="23">
        <v>10</v>
      </c>
      <c r="AF81" s="23" t="s">
        <v>10</v>
      </c>
      <c r="AG81" s="23">
        <v>10</v>
      </c>
      <c r="AH81" s="23">
        <v>10</v>
      </c>
      <c r="AI81" s="22">
        <f t="shared" si="4"/>
        <v>260</v>
      </c>
      <c r="AJ81" s="21"/>
      <c r="AK81" s="14">
        <f t="shared" si="5"/>
        <v>0</v>
      </c>
      <c r="AL81" s="2" t="s">
        <v>309</v>
      </c>
    </row>
    <row r="82" spans="1:38" ht="19.899999999999999" customHeight="1" x14ac:dyDescent="0.25">
      <c r="A82" s="2">
        <v>80</v>
      </c>
      <c r="B82" s="25" t="s">
        <v>444</v>
      </c>
      <c r="C82" s="4" t="s">
        <v>433</v>
      </c>
      <c r="D82" s="2" t="s">
        <v>84</v>
      </c>
      <c r="E82" s="23" t="s">
        <v>32</v>
      </c>
      <c r="F82" s="23">
        <v>11</v>
      </c>
      <c r="G82" s="13">
        <v>11</v>
      </c>
      <c r="H82" s="23">
        <v>8</v>
      </c>
      <c r="I82" s="13">
        <v>11</v>
      </c>
      <c r="J82" s="13">
        <v>11</v>
      </c>
      <c r="K82" s="13" t="s">
        <v>10</v>
      </c>
      <c r="L82" s="23">
        <v>11</v>
      </c>
      <c r="M82" s="23">
        <v>11</v>
      </c>
      <c r="N82" s="13">
        <v>11</v>
      </c>
      <c r="O82" s="23">
        <v>11</v>
      </c>
      <c r="P82" s="13">
        <v>11</v>
      </c>
      <c r="Q82" s="13">
        <v>11</v>
      </c>
      <c r="R82" s="13" t="s">
        <v>10</v>
      </c>
      <c r="S82" s="23">
        <v>11</v>
      </c>
      <c r="T82" s="23">
        <v>11</v>
      </c>
      <c r="U82" s="13">
        <v>11</v>
      </c>
      <c r="V82" s="23">
        <v>11</v>
      </c>
      <c r="W82" s="13">
        <v>11</v>
      </c>
      <c r="X82" s="13">
        <v>11</v>
      </c>
      <c r="Y82" s="13">
        <v>11</v>
      </c>
      <c r="Z82" s="23">
        <v>11</v>
      </c>
      <c r="AA82" s="23">
        <v>11</v>
      </c>
      <c r="AB82" s="23">
        <v>11</v>
      </c>
      <c r="AC82" s="23">
        <v>11</v>
      </c>
      <c r="AD82" s="13">
        <v>11</v>
      </c>
      <c r="AE82" s="23">
        <v>11</v>
      </c>
      <c r="AF82" s="23">
        <v>11</v>
      </c>
      <c r="AG82" s="23">
        <v>11</v>
      </c>
      <c r="AH82" s="23">
        <v>11</v>
      </c>
      <c r="AI82" s="22">
        <f t="shared" si="4"/>
        <v>294</v>
      </c>
      <c r="AJ82" s="21"/>
      <c r="AK82" s="14">
        <f t="shared" si="5"/>
        <v>0</v>
      </c>
      <c r="AL82" s="2" t="s">
        <v>344</v>
      </c>
    </row>
    <row r="83" spans="1:38" ht="19.899999999999999" customHeight="1" x14ac:dyDescent="0.25">
      <c r="A83" s="2">
        <v>81</v>
      </c>
      <c r="B83" s="25" t="s">
        <v>445</v>
      </c>
      <c r="C83" s="4" t="s">
        <v>429</v>
      </c>
      <c r="D83" s="2" t="s">
        <v>84</v>
      </c>
      <c r="E83" s="23">
        <v>10</v>
      </c>
      <c r="F83" s="23">
        <v>8</v>
      </c>
      <c r="G83" s="13">
        <v>10</v>
      </c>
      <c r="H83" s="23">
        <v>10</v>
      </c>
      <c r="I83" s="13" t="s">
        <v>515</v>
      </c>
      <c r="J83" s="13">
        <v>10</v>
      </c>
      <c r="K83" s="13" t="s">
        <v>10</v>
      </c>
      <c r="L83" s="23">
        <v>10</v>
      </c>
      <c r="M83" s="23">
        <v>10</v>
      </c>
      <c r="N83" s="13">
        <v>10</v>
      </c>
      <c r="O83" s="23">
        <v>10</v>
      </c>
      <c r="P83" s="13">
        <v>10</v>
      </c>
      <c r="Q83" s="13">
        <v>10</v>
      </c>
      <c r="R83" s="13" t="s">
        <v>10</v>
      </c>
      <c r="S83" s="23">
        <v>10</v>
      </c>
      <c r="T83" s="23">
        <v>10</v>
      </c>
      <c r="U83" s="13" t="s">
        <v>32</v>
      </c>
      <c r="V83" s="23">
        <v>10</v>
      </c>
      <c r="W83" s="13">
        <v>10</v>
      </c>
      <c r="X83" s="13">
        <v>10</v>
      </c>
      <c r="Y83" s="13" t="s">
        <v>10</v>
      </c>
      <c r="Z83" s="23">
        <v>11</v>
      </c>
      <c r="AA83" s="23">
        <v>11</v>
      </c>
      <c r="AB83" s="23">
        <v>11</v>
      </c>
      <c r="AC83" s="23">
        <v>11</v>
      </c>
      <c r="AD83" s="13">
        <v>11</v>
      </c>
      <c r="AE83" s="23">
        <v>11</v>
      </c>
      <c r="AF83" s="23" t="s">
        <v>10</v>
      </c>
      <c r="AG83" s="23">
        <v>11</v>
      </c>
      <c r="AH83" s="23">
        <v>11</v>
      </c>
      <c r="AI83" s="22">
        <f t="shared" si="4"/>
        <v>246</v>
      </c>
      <c r="AJ83" s="21"/>
      <c r="AK83" s="14">
        <f t="shared" si="5"/>
        <v>0</v>
      </c>
      <c r="AL83" s="2" t="s">
        <v>431</v>
      </c>
    </row>
    <row r="84" spans="1:38" ht="19.899999999999999" customHeight="1" x14ac:dyDescent="0.25">
      <c r="A84" s="2">
        <v>82</v>
      </c>
      <c r="B84" s="28" t="s">
        <v>446</v>
      </c>
      <c r="C84" s="4" t="s">
        <v>430</v>
      </c>
      <c r="D84" s="2" t="s">
        <v>84</v>
      </c>
      <c r="E84" s="23">
        <v>10</v>
      </c>
      <c r="F84" s="23">
        <v>8</v>
      </c>
      <c r="G84" s="13">
        <v>10</v>
      </c>
      <c r="H84" s="23">
        <v>10</v>
      </c>
      <c r="I84" s="13" t="s">
        <v>515</v>
      </c>
      <c r="J84" s="13">
        <v>10</v>
      </c>
      <c r="K84" s="13" t="s">
        <v>10</v>
      </c>
      <c r="L84" s="23">
        <v>10</v>
      </c>
      <c r="M84" s="23">
        <v>10</v>
      </c>
      <c r="N84" s="13">
        <v>10</v>
      </c>
      <c r="O84" s="23">
        <v>10</v>
      </c>
      <c r="P84" s="13">
        <v>10</v>
      </c>
      <c r="Q84" s="13">
        <v>10</v>
      </c>
      <c r="R84" s="13" t="s">
        <v>10</v>
      </c>
      <c r="S84" s="23">
        <v>10</v>
      </c>
      <c r="T84" s="23">
        <v>10</v>
      </c>
      <c r="U84" s="13" t="s">
        <v>32</v>
      </c>
      <c r="V84" s="23">
        <v>10</v>
      </c>
      <c r="W84" s="13">
        <v>10</v>
      </c>
      <c r="X84" s="13">
        <v>10</v>
      </c>
      <c r="Y84" s="13" t="s">
        <v>10</v>
      </c>
      <c r="Z84" s="23">
        <v>11</v>
      </c>
      <c r="AA84" s="23">
        <v>11</v>
      </c>
      <c r="AB84" s="23">
        <v>11</v>
      </c>
      <c r="AC84" s="23">
        <v>11</v>
      </c>
      <c r="AD84" s="13">
        <v>11</v>
      </c>
      <c r="AE84" s="23">
        <v>11</v>
      </c>
      <c r="AF84" s="23" t="s">
        <v>10</v>
      </c>
      <c r="AG84" s="23">
        <v>11</v>
      </c>
      <c r="AH84" s="23">
        <v>11</v>
      </c>
      <c r="AI84" s="22">
        <f t="shared" si="4"/>
        <v>246</v>
      </c>
      <c r="AJ84" s="21"/>
      <c r="AK84" s="14">
        <f t="shared" si="5"/>
        <v>0</v>
      </c>
      <c r="AL84" s="2" t="s">
        <v>431</v>
      </c>
    </row>
    <row r="85" spans="1:38" ht="19.899999999999999" customHeight="1" x14ac:dyDescent="0.25">
      <c r="A85" s="2">
        <v>83</v>
      </c>
      <c r="B85" s="25" t="s">
        <v>447</v>
      </c>
      <c r="C85" s="4" t="s">
        <v>441</v>
      </c>
      <c r="D85" s="2" t="s">
        <v>84</v>
      </c>
      <c r="E85" s="23">
        <v>11</v>
      </c>
      <c r="F85" s="23">
        <v>11</v>
      </c>
      <c r="G85" s="13">
        <v>11</v>
      </c>
      <c r="H85" s="23">
        <v>11</v>
      </c>
      <c r="I85" s="13">
        <v>11</v>
      </c>
      <c r="J85" s="13">
        <v>11</v>
      </c>
      <c r="K85" s="13" t="s">
        <v>10</v>
      </c>
      <c r="L85" s="23">
        <v>11</v>
      </c>
      <c r="M85" s="23">
        <v>11</v>
      </c>
      <c r="N85" s="13">
        <v>11</v>
      </c>
      <c r="O85" s="23">
        <v>11</v>
      </c>
      <c r="P85" s="13">
        <v>11</v>
      </c>
      <c r="Q85" s="13" t="s">
        <v>32</v>
      </c>
      <c r="R85" s="13" t="s">
        <v>10</v>
      </c>
      <c r="S85" s="23">
        <v>11</v>
      </c>
      <c r="T85" s="23">
        <v>11</v>
      </c>
      <c r="U85" s="13">
        <v>11</v>
      </c>
      <c r="V85" s="23">
        <v>11</v>
      </c>
      <c r="W85" s="13">
        <v>11</v>
      </c>
      <c r="X85" s="13">
        <v>11</v>
      </c>
      <c r="Y85" s="13" t="s">
        <v>10</v>
      </c>
      <c r="Z85" s="23">
        <v>11</v>
      </c>
      <c r="AA85" s="23">
        <v>11</v>
      </c>
      <c r="AB85" s="23">
        <v>11</v>
      </c>
      <c r="AC85" s="23">
        <v>11</v>
      </c>
      <c r="AD85" s="13">
        <v>11</v>
      </c>
      <c r="AE85" s="23">
        <v>11</v>
      </c>
      <c r="AF85" s="23" t="s">
        <v>10</v>
      </c>
      <c r="AG85" s="23">
        <v>11</v>
      </c>
      <c r="AH85" s="23">
        <v>11</v>
      </c>
      <c r="AI85" s="22">
        <f t="shared" si="4"/>
        <v>275</v>
      </c>
      <c r="AJ85" s="21"/>
      <c r="AK85" s="14">
        <f t="shared" si="5"/>
        <v>0</v>
      </c>
      <c r="AL85" s="2" t="s">
        <v>344</v>
      </c>
    </row>
    <row r="86" spans="1:38" ht="19.899999999999999" customHeight="1" x14ac:dyDescent="0.25">
      <c r="A86" s="2">
        <v>84</v>
      </c>
      <c r="B86" s="28" t="s">
        <v>434</v>
      </c>
      <c r="C86" s="4" t="s">
        <v>435</v>
      </c>
      <c r="D86" s="2" t="s">
        <v>483</v>
      </c>
      <c r="E86" s="23">
        <v>10</v>
      </c>
      <c r="F86" s="23">
        <v>10</v>
      </c>
      <c r="G86" s="13">
        <v>10</v>
      </c>
      <c r="H86" s="23">
        <v>10</v>
      </c>
      <c r="I86" s="13">
        <v>10</v>
      </c>
      <c r="J86" s="13">
        <v>11</v>
      </c>
      <c r="K86" s="13" t="s">
        <v>10</v>
      </c>
      <c r="L86" s="23">
        <v>10</v>
      </c>
      <c r="M86" s="23">
        <v>10</v>
      </c>
      <c r="N86" s="13">
        <v>10</v>
      </c>
      <c r="O86" s="23">
        <v>10</v>
      </c>
      <c r="P86" s="13">
        <v>11</v>
      </c>
      <c r="Q86" s="13">
        <v>10</v>
      </c>
      <c r="R86" s="13">
        <v>10</v>
      </c>
      <c r="S86" s="23">
        <v>11</v>
      </c>
      <c r="T86" s="23">
        <v>10</v>
      </c>
      <c r="U86" s="13">
        <v>10</v>
      </c>
      <c r="V86" s="23">
        <v>11</v>
      </c>
      <c r="W86" s="13">
        <v>10</v>
      </c>
      <c r="X86" s="13">
        <v>10</v>
      </c>
      <c r="Y86" s="13" t="s">
        <v>10</v>
      </c>
      <c r="Z86" s="23">
        <v>10</v>
      </c>
      <c r="AA86" s="23">
        <v>10</v>
      </c>
      <c r="AB86" s="23">
        <v>10</v>
      </c>
      <c r="AC86" s="23">
        <v>10</v>
      </c>
      <c r="AD86" s="13">
        <v>10</v>
      </c>
      <c r="AE86" s="23">
        <v>10</v>
      </c>
      <c r="AF86" s="23" t="s">
        <v>10</v>
      </c>
      <c r="AG86" s="23">
        <v>10</v>
      </c>
      <c r="AH86" s="23">
        <v>10</v>
      </c>
      <c r="AI86" s="22">
        <f t="shared" si="4"/>
        <v>274</v>
      </c>
      <c r="AJ86" s="21"/>
      <c r="AK86" s="14">
        <f t="shared" si="5"/>
        <v>0</v>
      </c>
      <c r="AL86" s="2" t="s">
        <v>309</v>
      </c>
    </row>
    <row r="87" spans="1:38" ht="19.899999999999999" customHeight="1" x14ac:dyDescent="0.25">
      <c r="A87" s="2">
        <v>85</v>
      </c>
      <c r="B87" s="25" t="s">
        <v>448</v>
      </c>
      <c r="C87" s="4" t="s">
        <v>438</v>
      </c>
      <c r="D87" s="2" t="s">
        <v>84</v>
      </c>
      <c r="E87" s="23" t="s">
        <v>32</v>
      </c>
      <c r="F87" s="23">
        <v>10</v>
      </c>
      <c r="G87" s="13">
        <v>10</v>
      </c>
      <c r="H87" s="23">
        <v>10</v>
      </c>
      <c r="I87" s="13">
        <v>10</v>
      </c>
      <c r="J87" s="13">
        <v>10</v>
      </c>
      <c r="K87" s="13" t="s">
        <v>10</v>
      </c>
      <c r="L87" s="23">
        <v>10</v>
      </c>
      <c r="M87" s="23">
        <v>10</v>
      </c>
      <c r="N87" s="13">
        <v>10</v>
      </c>
      <c r="O87" s="23">
        <v>10</v>
      </c>
      <c r="P87" s="13">
        <v>10</v>
      </c>
      <c r="Q87" s="13">
        <v>10</v>
      </c>
      <c r="R87" s="13" t="s">
        <v>10</v>
      </c>
      <c r="S87" s="23">
        <v>10</v>
      </c>
      <c r="T87" s="23">
        <v>10</v>
      </c>
      <c r="U87" s="13">
        <v>10</v>
      </c>
      <c r="V87" s="23">
        <v>10</v>
      </c>
      <c r="W87" s="13">
        <v>10</v>
      </c>
      <c r="X87" s="13">
        <v>10</v>
      </c>
      <c r="Y87" s="13" t="s">
        <v>10</v>
      </c>
      <c r="Z87" s="23">
        <v>10</v>
      </c>
      <c r="AA87" s="23">
        <v>10</v>
      </c>
      <c r="AB87" s="23">
        <v>10</v>
      </c>
      <c r="AC87" s="23">
        <v>10</v>
      </c>
      <c r="AD87" s="13">
        <v>10</v>
      </c>
      <c r="AE87" s="23">
        <v>10</v>
      </c>
      <c r="AF87" s="23" t="s">
        <v>10</v>
      </c>
      <c r="AG87" s="23">
        <v>10</v>
      </c>
      <c r="AH87" s="23">
        <v>10</v>
      </c>
      <c r="AI87" s="22">
        <f t="shared" si="4"/>
        <v>250</v>
      </c>
      <c r="AJ87" s="2"/>
      <c r="AK87" s="14">
        <f t="shared" si="5"/>
        <v>0</v>
      </c>
      <c r="AL87" s="2" t="s">
        <v>164</v>
      </c>
    </row>
    <row r="88" spans="1:38" ht="19.899999999999999" customHeight="1" x14ac:dyDescent="0.25">
      <c r="A88" s="2">
        <v>86</v>
      </c>
      <c r="B88" s="25" t="s">
        <v>449</v>
      </c>
      <c r="C88" s="4" t="s">
        <v>439</v>
      </c>
      <c r="D88" s="2" t="s">
        <v>84</v>
      </c>
      <c r="E88" s="23">
        <v>10</v>
      </c>
      <c r="F88" s="23">
        <v>10</v>
      </c>
      <c r="G88" s="13">
        <v>10</v>
      </c>
      <c r="H88" s="23">
        <v>10</v>
      </c>
      <c r="I88" s="13">
        <v>10</v>
      </c>
      <c r="J88" s="13">
        <v>10</v>
      </c>
      <c r="K88" s="13">
        <v>10</v>
      </c>
      <c r="L88" s="23">
        <v>10</v>
      </c>
      <c r="M88" s="23">
        <v>10</v>
      </c>
      <c r="N88" s="13">
        <v>10</v>
      </c>
      <c r="O88" s="23">
        <v>10</v>
      </c>
      <c r="P88" s="13">
        <v>10</v>
      </c>
      <c r="Q88" s="13">
        <v>10</v>
      </c>
      <c r="R88" s="13">
        <v>10</v>
      </c>
      <c r="S88" s="23">
        <v>10</v>
      </c>
      <c r="T88" s="23">
        <v>10</v>
      </c>
      <c r="U88" s="13">
        <v>10</v>
      </c>
      <c r="V88" s="23">
        <v>10</v>
      </c>
      <c r="W88" s="13">
        <v>10</v>
      </c>
      <c r="X88" s="13">
        <v>10</v>
      </c>
      <c r="Y88" s="13" t="s">
        <v>10</v>
      </c>
      <c r="Z88" s="23">
        <v>10</v>
      </c>
      <c r="AA88" s="23">
        <v>10</v>
      </c>
      <c r="AB88" s="23">
        <v>10</v>
      </c>
      <c r="AC88" s="23">
        <v>10</v>
      </c>
      <c r="AD88" s="13">
        <v>10</v>
      </c>
      <c r="AE88" s="23">
        <v>10</v>
      </c>
      <c r="AF88" s="23">
        <v>10</v>
      </c>
      <c r="AG88" s="23">
        <v>10</v>
      </c>
      <c r="AH88" s="23">
        <v>10</v>
      </c>
      <c r="AI88" s="22">
        <f t="shared" si="4"/>
        <v>290</v>
      </c>
      <c r="AJ88" s="21"/>
      <c r="AK88" s="14">
        <f t="shared" si="5"/>
        <v>0</v>
      </c>
      <c r="AL88" s="2" t="s">
        <v>164</v>
      </c>
    </row>
    <row r="89" spans="1:38" ht="19.899999999999999" customHeight="1" x14ac:dyDescent="0.25">
      <c r="A89" s="2">
        <v>87</v>
      </c>
      <c r="B89" s="28" t="s">
        <v>490</v>
      </c>
      <c r="C89" s="4" t="s">
        <v>481</v>
      </c>
      <c r="D89" s="2" t="s">
        <v>84</v>
      </c>
      <c r="E89" s="23">
        <v>10</v>
      </c>
      <c r="F89" s="23">
        <v>10</v>
      </c>
      <c r="G89" s="13">
        <v>10</v>
      </c>
      <c r="H89" s="23">
        <v>10</v>
      </c>
      <c r="I89" s="13">
        <v>10</v>
      </c>
      <c r="J89" s="13">
        <v>10</v>
      </c>
      <c r="K89" s="13">
        <v>14</v>
      </c>
      <c r="L89" s="23">
        <v>10</v>
      </c>
      <c r="M89" s="23">
        <v>10</v>
      </c>
      <c r="N89" s="13">
        <v>10</v>
      </c>
      <c r="O89" s="23">
        <v>10</v>
      </c>
      <c r="P89" s="13">
        <v>10</v>
      </c>
      <c r="Q89" s="13">
        <v>10</v>
      </c>
      <c r="R89" s="13">
        <v>14</v>
      </c>
      <c r="S89" s="23">
        <v>10</v>
      </c>
      <c r="T89" s="23">
        <v>10</v>
      </c>
      <c r="U89" s="13">
        <v>10</v>
      </c>
      <c r="V89" s="23">
        <v>10</v>
      </c>
      <c r="W89" s="13">
        <v>10</v>
      </c>
      <c r="X89" s="13">
        <v>10</v>
      </c>
      <c r="Y89" s="13" t="s">
        <v>10</v>
      </c>
      <c r="Z89" s="23">
        <v>10</v>
      </c>
      <c r="AA89" s="23">
        <v>10</v>
      </c>
      <c r="AB89" s="23">
        <v>10</v>
      </c>
      <c r="AC89" s="23">
        <v>10</v>
      </c>
      <c r="AD89" s="13">
        <v>10</v>
      </c>
      <c r="AE89" s="23">
        <v>10</v>
      </c>
      <c r="AF89" s="23" t="s">
        <v>10</v>
      </c>
      <c r="AG89" s="23">
        <v>10</v>
      </c>
      <c r="AH89" s="23">
        <v>10</v>
      </c>
      <c r="AI89" s="22">
        <f t="shared" si="4"/>
        <v>288</v>
      </c>
      <c r="AJ89" s="21"/>
      <c r="AK89" s="14">
        <f t="shared" si="5"/>
        <v>0</v>
      </c>
      <c r="AL89" s="2" t="s">
        <v>309</v>
      </c>
    </row>
    <row r="90" spans="1:38" ht="19.899999999999999" customHeight="1" x14ac:dyDescent="0.25">
      <c r="A90" s="2">
        <v>88</v>
      </c>
      <c r="B90" s="28" t="s">
        <v>491</v>
      </c>
      <c r="C90" s="4" t="s">
        <v>479</v>
      </c>
      <c r="D90" s="2" t="s">
        <v>84</v>
      </c>
      <c r="E90" s="23">
        <v>10</v>
      </c>
      <c r="F90" s="23">
        <v>8</v>
      </c>
      <c r="G90" s="13">
        <v>10</v>
      </c>
      <c r="H90" s="23">
        <v>8</v>
      </c>
      <c r="I90" s="13" t="s">
        <v>515</v>
      </c>
      <c r="J90" s="13">
        <v>8</v>
      </c>
      <c r="K90" s="13" t="s">
        <v>10</v>
      </c>
      <c r="L90" s="23">
        <v>9</v>
      </c>
      <c r="M90" s="23">
        <v>10</v>
      </c>
      <c r="N90" s="13">
        <v>10</v>
      </c>
      <c r="O90" s="23">
        <v>10</v>
      </c>
      <c r="P90" s="13">
        <v>10</v>
      </c>
      <c r="Q90" s="13">
        <v>10</v>
      </c>
      <c r="R90" s="13" t="s">
        <v>10</v>
      </c>
      <c r="S90" s="23">
        <v>10</v>
      </c>
      <c r="T90" s="23">
        <v>10</v>
      </c>
      <c r="U90" s="13">
        <v>10</v>
      </c>
      <c r="V90" s="23">
        <v>10</v>
      </c>
      <c r="W90" s="13">
        <v>10</v>
      </c>
      <c r="X90" s="13">
        <v>10</v>
      </c>
      <c r="Y90" s="13" t="s">
        <v>10</v>
      </c>
      <c r="Z90" s="23">
        <v>10</v>
      </c>
      <c r="AA90" s="23">
        <v>10</v>
      </c>
      <c r="AB90" s="23">
        <v>10</v>
      </c>
      <c r="AC90" s="23">
        <v>10</v>
      </c>
      <c r="AD90" s="13">
        <v>10</v>
      </c>
      <c r="AE90" s="23">
        <v>10</v>
      </c>
      <c r="AF90" s="23" t="s">
        <v>10</v>
      </c>
      <c r="AG90" s="23">
        <v>10</v>
      </c>
      <c r="AH90" s="23">
        <v>10</v>
      </c>
      <c r="AI90" s="22">
        <f t="shared" si="4"/>
        <v>243</v>
      </c>
      <c r="AJ90" s="21"/>
      <c r="AK90" s="14">
        <f t="shared" si="5"/>
        <v>0</v>
      </c>
      <c r="AL90" s="2" t="s">
        <v>550</v>
      </c>
    </row>
    <row r="91" spans="1:38" ht="19.899999999999999" customHeight="1" x14ac:dyDescent="0.25">
      <c r="A91" s="2">
        <v>89</v>
      </c>
      <c r="B91" s="25" t="s">
        <v>484</v>
      </c>
      <c r="C91" s="4" t="s">
        <v>485</v>
      </c>
      <c r="D91" s="2" t="s">
        <v>84</v>
      </c>
      <c r="E91" s="23">
        <v>10</v>
      </c>
      <c r="F91" s="23">
        <v>10</v>
      </c>
      <c r="G91" s="13">
        <v>10</v>
      </c>
      <c r="H91" s="23">
        <v>10</v>
      </c>
      <c r="I91" s="13" t="s">
        <v>515</v>
      </c>
      <c r="J91" s="13">
        <v>10</v>
      </c>
      <c r="K91" s="13" t="s">
        <v>10</v>
      </c>
      <c r="L91" s="23">
        <v>10</v>
      </c>
      <c r="M91" s="23">
        <v>10</v>
      </c>
      <c r="N91" s="13">
        <v>10</v>
      </c>
      <c r="O91" s="23">
        <v>10</v>
      </c>
      <c r="P91" s="13">
        <v>10</v>
      </c>
      <c r="Q91" s="13">
        <v>10</v>
      </c>
      <c r="R91" s="13">
        <v>11</v>
      </c>
      <c r="S91" s="23">
        <v>10</v>
      </c>
      <c r="T91" s="23">
        <v>10</v>
      </c>
      <c r="U91" s="13">
        <v>10</v>
      </c>
      <c r="V91" s="23">
        <v>10</v>
      </c>
      <c r="W91" s="13">
        <v>10</v>
      </c>
      <c r="X91" s="13">
        <v>10</v>
      </c>
      <c r="Y91" s="13" t="s">
        <v>10</v>
      </c>
      <c r="Z91" s="23">
        <v>10</v>
      </c>
      <c r="AA91" s="23">
        <v>10</v>
      </c>
      <c r="AB91" s="23">
        <v>10</v>
      </c>
      <c r="AC91" s="23" t="s">
        <v>32</v>
      </c>
      <c r="AD91" s="13">
        <v>10</v>
      </c>
      <c r="AE91" s="23">
        <v>10</v>
      </c>
      <c r="AF91" s="23" t="s">
        <v>10</v>
      </c>
      <c r="AG91" s="23">
        <v>10</v>
      </c>
      <c r="AH91" s="23">
        <v>10</v>
      </c>
      <c r="AI91" s="22">
        <f t="shared" si="4"/>
        <v>251</v>
      </c>
      <c r="AJ91" s="21"/>
      <c r="AK91" s="14">
        <f t="shared" si="5"/>
        <v>0</v>
      </c>
      <c r="AL91" s="2" t="s">
        <v>309</v>
      </c>
    </row>
    <row r="92" spans="1:38" ht="19.899999999999999" customHeight="1" x14ac:dyDescent="0.25">
      <c r="A92" s="2">
        <v>90</v>
      </c>
      <c r="B92" s="28" t="s">
        <v>486</v>
      </c>
      <c r="C92" s="4" t="s">
        <v>487</v>
      </c>
      <c r="D92" s="2" t="s">
        <v>482</v>
      </c>
      <c r="E92" s="23">
        <v>10</v>
      </c>
      <c r="F92" s="23">
        <v>12</v>
      </c>
      <c r="G92" s="13">
        <v>10</v>
      </c>
      <c r="H92" s="23">
        <v>10</v>
      </c>
      <c r="I92" s="13" t="s">
        <v>515</v>
      </c>
      <c r="J92" s="13">
        <v>10</v>
      </c>
      <c r="K92" s="13" t="s">
        <v>10</v>
      </c>
      <c r="L92" s="23">
        <v>10</v>
      </c>
      <c r="M92" s="23">
        <v>10</v>
      </c>
      <c r="N92" s="13">
        <v>10</v>
      </c>
      <c r="O92" s="23">
        <v>10</v>
      </c>
      <c r="P92" s="13">
        <v>10</v>
      </c>
      <c r="Q92" s="13">
        <v>10</v>
      </c>
      <c r="R92" s="13">
        <v>11</v>
      </c>
      <c r="S92" s="23">
        <v>10</v>
      </c>
      <c r="T92" s="23">
        <v>10</v>
      </c>
      <c r="U92" s="13">
        <v>10</v>
      </c>
      <c r="V92" s="23">
        <v>10</v>
      </c>
      <c r="W92" s="13">
        <v>10</v>
      </c>
      <c r="X92" s="13">
        <v>10</v>
      </c>
      <c r="Y92" s="13" t="s">
        <v>10</v>
      </c>
      <c r="Z92" s="23">
        <v>10</v>
      </c>
      <c r="AA92" s="23">
        <v>10</v>
      </c>
      <c r="AB92" s="23">
        <v>10</v>
      </c>
      <c r="AC92" s="23">
        <v>10</v>
      </c>
      <c r="AD92" s="13">
        <v>10</v>
      </c>
      <c r="AE92" s="23">
        <v>10</v>
      </c>
      <c r="AF92" s="23" t="s">
        <v>10</v>
      </c>
      <c r="AG92" s="23">
        <v>10</v>
      </c>
      <c r="AH92" s="23">
        <v>10</v>
      </c>
      <c r="AI92" s="22">
        <f t="shared" si="4"/>
        <v>263</v>
      </c>
      <c r="AJ92" s="21"/>
      <c r="AK92" s="14">
        <f t="shared" si="5"/>
        <v>0</v>
      </c>
      <c r="AL92" s="2" t="s">
        <v>309</v>
      </c>
    </row>
    <row r="93" spans="1:38" ht="19.899999999999999" customHeight="1" x14ac:dyDescent="0.25">
      <c r="A93" s="2">
        <v>91</v>
      </c>
      <c r="B93" s="28" t="s">
        <v>488</v>
      </c>
      <c r="C93" s="4" t="s">
        <v>489</v>
      </c>
      <c r="D93" s="2" t="s">
        <v>482</v>
      </c>
      <c r="E93" s="23">
        <v>10</v>
      </c>
      <c r="F93" s="23">
        <v>10</v>
      </c>
      <c r="G93" s="13">
        <v>10</v>
      </c>
      <c r="H93" s="23" t="s">
        <v>32</v>
      </c>
      <c r="I93" s="13" t="s">
        <v>515</v>
      </c>
      <c r="J93" s="13">
        <v>10</v>
      </c>
      <c r="K93" s="13" t="s">
        <v>10</v>
      </c>
      <c r="L93" s="23">
        <v>10</v>
      </c>
      <c r="M93" s="23">
        <v>10</v>
      </c>
      <c r="N93" s="13">
        <v>10</v>
      </c>
      <c r="O93" s="23">
        <v>10</v>
      </c>
      <c r="P93" s="13">
        <v>10</v>
      </c>
      <c r="Q93" s="13">
        <v>10</v>
      </c>
      <c r="R93" s="13" t="s">
        <v>10</v>
      </c>
      <c r="S93" s="23">
        <v>10</v>
      </c>
      <c r="T93" s="23">
        <v>10</v>
      </c>
      <c r="U93" s="13">
        <v>10</v>
      </c>
      <c r="V93" s="23">
        <v>10</v>
      </c>
      <c r="W93" s="13">
        <v>10</v>
      </c>
      <c r="X93" s="13">
        <v>10</v>
      </c>
      <c r="Y93" s="13" t="s">
        <v>10</v>
      </c>
      <c r="Z93" s="23">
        <v>10</v>
      </c>
      <c r="AA93" s="23">
        <v>10</v>
      </c>
      <c r="AB93" s="23">
        <v>10</v>
      </c>
      <c r="AC93" s="23">
        <v>10</v>
      </c>
      <c r="AD93" s="13">
        <v>10</v>
      </c>
      <c r="AE93" s="23">
        <v>10</v>
      </c>
      <c r="AF93" s="23" t="s">
        <v>10</v>
      </c>
      <c r="AG93" s="23">
        <v>10</v>
      </c>
      <c r="AH93" s="23">
        <v>10</v>
      </c>
      <c r="AI93" s="22">
        <f t="shared" si="4"/>
        <v>240</v>
      </c>
      <c r="AJ93" s="21"/>
      <c r="AK93" s="14">
        <f t="shared" si="5"/>
        <v>0</v>
      </c>
      <c r="AL93" s="2" t="s">
        <v>309</v>
      </c>
    </row>
    <row r="94" spans="1:38" ht="19.899999999999999" customHeight="1" x14ac:dyDescent="0.25">
      <c r="A94" s="2">
        <v>92</v>
      </c>
      <c r="B94" s="25" t="s">
        <v>547</v>
      </c>
      <c r="C94" s="4" t="s">
        <v>538</v>
      </c>
      <c r="D94" s="2" t="s">
        <v>84</v>
      </c>
      <c r="E94" s="23"/>
      <c r="F94" s="23"/>
      <c r="G94" s="13"/>
      <c r="H94" s="23"/>
      <c r="I94" s="13"/>
      <c r="J94" s="13"/>
      <c r="K94" s="13"/>
      <c r="L94" s="23"/>
      <c r="M94" s="23"/>
      <c r="N94" s="13"/>
      <c r="O94" s="23">
        <v>10</v>
      </c>
      <c r="P94" s="13">
        <v>10</v>
      </c>
      <c r="Q94" s="13">
        <v>10</v>
      </c>
      <c r="R94" s="13" t="s">
        <v>10</v>
      </c>
      <c r="S94" s="23" t="s">
        <v>32</v>
      </c>
      <c r="T94" s="23">
        <v>10</v>
      </c>
      <c r="U94" s="13">
        <v>10</v>
      </c>
      <c r="V94" s="23">
        <v>10</v>
      </c>
      <c r="W94" s="13">
        <v>10</v>
      </c>
      <c r="X94" s="13">
        <v>10</v>
      </c>
      <c r="Y94" s="13" t="s">
        <v>10</v>
      </c>
      <c r="Z94" s="23">
        <v>11</v>
      </c>
      <c r="AA94" s="23">
        <v>11</v>
      </c>
      <c r="AB94" s="23">
        <v>11</v>
      </c>
      <c r="AC94" s="23">
        <v>11</v>
      </c>
      <c r="AD94" s="13">
        <v>11</v>
      </c>
      <c r="AE94" s="23">
        <v>11</v>
      </c>
      <c r="AF94" s="23" t="s">
        <v>10</v>
      </c>
      <c r="AG94" s="23">
        <v>11</v>
      </c>
      <c r="AH94" s="23">
        <v>11</v>
      </c>
      <c r="AI94" s="22">
        <f t="shared" si="4"/>
        <v>168</v>
      </c>
      <c r="AJ94" s="21"/>
      <c r="AK94" s="14">
        <f t="shared" si="5"/>
        <v>0</v>
      </c>
      <c r="AL94" s="2" t="s">
        <v>431</v>
      </c>
    </row>
    <row r="95" spans="1:38" ht="19.899999999999999" customHeight="1" x14ac:dyDescent="0.25">
      <c r="A95" s="2">
        <v>93</v>
      </c>
      <c r="B95" s="25" t="s">
        <v>548</v>
      </c>
      <c r="C95" s="4" t="s">
        <v>539</v>
      </c>
      <c r="D95" s="2" t="s">
        <v>84</v>
      </c>
      <c r="E95" s="23"/>
      <c r="F95" s="23"/>
      <c r="G95" s="13"/>
      <c r="H95" s="23"/>
      <c r="I95" s="13"/>
      <c r="J95" s="13"/>
      <c r="K95" s="13"/>
      <c r="L95" s="23"/>
      <c r="M95" s="23"/>
      <c r="N95" s="13"/>
      <c r="O95" s="23"/>
      <c r="P95" s="13"/>
      <c r="Q95" s="13"/>
      <c r="R95" s="13"/>
      <c r="S95" s="23"/>
      <c r="T95" s="23"/>
      <c r="U95" s="13"/>
      <c r="V95" s="23"/>
      <c r="W95" s="13"/>
      <c r="X95" s="13"/>
      <c r="Y95" s="13"/>
      <c r="Z95" s="23"/>
      <c r="AA95" s="23"/>
      <c r="AB95" s="23"/>
      <c r="AC95" s="23"/>
      <c r="AD95" s="13"/>
      <c r="AE95" s="23">
        <v>11</v>
      </c>
      <c r="AF95" s="23" t="s">
        <v>10</v>
      </c>
      <c r="AG95" s="23">
        <v>11</v>
      </c>
      <c r="AH95" s="23">
        <v>11</v>
      </c>
      <c r="AI95" s="22">
        <f t="shared" si="4"/>
        <v>33</v>
      </c>
      <c r="AJ95" s="2"/>
      <c r="AK95" s="14">
        <f t="shared" si="5"/>
        <v>0</v>
      </c>
      <c r="AL95" s="2" t="s">
        <v>431</v>
      </c>
    </row>
    <row r="96" spans="1:38" ht="19.899999999999999" customHeight="1" x14ac:dyDescent="0.25">
      <c r="A96" s="2">
        <v>94</v>
      </c>
      <c r="B96" s="25" t="s">
        <v>549</v>
      </c>
      <c r="C96" s="4" t="s">
        <v>540</v>
      </c>
      <c r="D96" s="2" t="s">
        <v>84</v>
      </c>
      <c r="E96" s="23"/>
      <c r="F96" s="23"/>
      <c r="G96" s="13"/>
      <c r="H96" s="23"/>
      <c r="I96" s="13"/>
      <c r="J96" s="13"/>
      <c r="K96" s="13"/>
      <c r="L96" s="23"/>
      <c r="M96" s="23"/>
      <c r="N96" s="13"/>
      <c r="O96" s="23"/>
      <c r="P96" s="13"/>
      <c r="Q96" s="13"/>
      <c r="R96" s="13"/>
      <c r="S96" s="23"/>
      <c r="T96" s="23"/>
      <c r="U96" s="13"/>
      <c r="V96" s="23"/>
      <c r="W96" s="13"/>
      <c r="X96" s="13"/>
      <c r="Y96" s="13"/>
      <c r="Z96" s="23"/>
      <c r="AA96" s="23"/>
      <c r="AB96" s="23"/>
      <c r="AC96" s="23"/>
      <c r="AD96" s="13"/>
      <c r="AE96" s="23">
        <v>11</v>
      </c>
      <c r="AF96" s="23" t="s">
        <v>10</v>
      </c>
      <c r="AG96" s="23">
        <v>11</v>
      </c>
      <c r="AH96" s="23">
        <v>11</v>
      </c>
      <c r="AI96" s="22">
        <f t="shared" si="4"/>
        <v>33</v>
      </c>
      <c r="AJ96" s="21"/>
      <c r="AK96" s="14">
        <f t="shared" si="5"/>
        <v>0</v>
      </c>
      <c r="AL96" s="2" t="s">
        <v>431</v>
      </c>
    </row>
    <row r="97" spans="1:38" ht="19.899999999999999" customHeight="1" x14ac:dyDescent="0.25">
      <c r="A97" s="26">
        <v>95</v>
      </c>
      <c r="B97" s="38" t="s">
        <v>534</v>
      </c>
      <c r="C97" s="27" t="s">
        <v>535</v>
      </c>
      <c r="D97" s="26" t="s">
        <v>536</v>
      </c>
      <c r="E97" s="23">
        <v>10</v>
      </c>
      <c r="F97" s="23">
        <v>8</v>
      </c>
      <c r="G97" s="13">
        <v>10</v>
      </c>
      <c r="H97" s="23">
        <v>10</v>
      </c>
      <c r="I97" s="13" t="s">
        <v>515</v>
      </c>
      <c r="J97" s="13">
        <v>10</v>
      </c>
      <c r="K97" s="13" t="s">
        <v>10</v>
      </c>
      <c r="L97" s="23">
        <v>10</v>
      </c>
      <c r="M97" s="23">
        <v>10</v>
      </c>
      <c r="N97" s="13">
        <v>10</v>
      </c>
      <c r="O97" s="23">
        <v>10</v>
      </c>
      <c r="P97" s="13">
        <v>10</v>
      </c>
      <c r="Q97" s="13">
        <v>10</v>
      </c>
      <c r="R97" s="13" t="s">
        <v>10</v>
      </c>
      <c r="S97" s="23">
        <v>10</v>
      </c>
      <c r="T97" s="23">
        <v>10</v>
      </c>
      <c r="U97" s="13">
        <v>10</v>
      </c>
      <c r="V97" s="23">
        <v>10</v>
      </c>
      <c r="W97" s="13">
        <v>10</v>
      </c>
      <c r="X97" s="13">
        <v>10</v>
      </c>
      <c r="Y97" s="13" t="s">
        <v>10</v>
      </c>
      <c r="Z97" s="23">
        <v>11</v>
      </c>
      <c r="AA97" s="23">
        <v>11</v>
      </c>
      <c r="AB97" s="23" t="s">
        <v>32</v>
      </c>
      <c r="AC97" s="23">
        <v>11</v>
      </c>
      <c r="AD97" s="13">
        <v>11</v>
      </c>
      <c r="AE97" s="23">
        <v>11</v>
      </c>
      <c r="AF97" s="23" t="s">
        <v>10</v>
      </c>
      <c r="AG97" s="23">
        <v>11</v>
      </c>
      <c r="AH97" s="23">
        <v>11</v>
      </c>
      <c r="AI97" s="22">
        <f t="shared" si="4"/>
        <v>245</v>
      </c>
      <c r="AJ97" s="21"/>
      <c r="AK97" s="14">
        <f t="shared" si="5"/>
        <v>0</v>
      </c>
      <c r="AL97" s="2" t="s">
        <v>431</v>
      </c>
    </row>
    <row r="98" spans="1:38" ht="19.899999999999999" customHeight="1" x14ac:dyDescent="0.25">
      <c r="A98" s="2"/>
      <c r="B98" s="28"/>
      <c r="C98" s="4"/>
      <c r="D98" s="2"/>
      <c r="E98" s="23"/>
      <c r="F98" s="23"/>
      <c r="G98" s="13"/>
      <c r="H98" s="23"/>
      <c r="I98" s="13"/>
      <c r="J98" s="13"/>
      <c r="K98" s="13"/>
      <c r="L98" s="23"/>
      <c r="M98" s="23"/>
      <c r="N98" s="13"/>
      <c r="O98" s="23"/>
      <c r="P98" s="13"/>
      <c r="Q98" s="13"/>
      <c r="R98" s="13"/>
      <c r="S98" s="23"/>
      <c r="T98" s="23"/>
      <c r="U98" s="13"/>
      <c r="V98" s="23"/>
      <c r="W98" s="13"/>
      <c r="X98" s="13"/>
      <c r="Y98" s="13"/>
      <c r="Z98" s="23"/>
      <c r="AA98" s="23"/>
      <c r="AB98" s="23"/>
      <c r="AC98" s="23"/>
      <c r="AD98" s="13"/>
      <c r="AE98" s="23"/>
      <c r="AF98" s="13"/>
      <c r="AG98" s="13"/>
      <c r="AH98" s="23"/>
      <c r="AI98" s="5"/>
      <c r="AJ98" s="2"/>
      <c r="AK98" s="2"/>
      <c r="AL98" s="2"/>
    </row>
    <row r="99" spans="1:38" ht="18" customHeight="1" x14ac:dyDescent="0.25">
      <c r="AI99" s="10">
        <f>SUM(AI3:AI98)</f>
        <v>24713</v>
      </c>
      <c r="AK99" s="12">
        <f>SUM(AK3:AK98)</f>
        <v>0</v>
      </c>
    </row>
    <row r="100" spans="1:38" ht="18" customHeight="1" thickBot="1" x14ac:dyDescent="0.3">
      <c r="AK100" s="16"/>
    </row>
    <row r="101" spans="1:38" ht="18" customHeight="1" thickTop="1" thickBot="1" x14ac:dyDescent="0.3">
      <c r="AK101" s="19">
        <f>SUM(AK99:AK100)</f>
        <v>0</v>
      </c>
    </row>
    <row r="102" spans="1:38" ht="18" customHeight="1" thickTop="1" x14ac:dyDescent="0.25">
      <c r="C102" s="6"/>
    </row>
    <row r="103" spans="1:38" ht="18" customHeight="1" x14ac:dyDescent="0.25">
      <c r="C103" s="6"/>
      <c r="AK103" s="15"/>
    </row>
    <row r="104" spans="1:38" ht="18" customHeight="1" x14ac:dyDescent="0.25">
      <c r="C104" s="6"/>
    </row>
    <row r="105" spans="1:38" ht="18" customHeight="1" x14ac:dyDescent="0.25">
      <c r="C105" s="6"/>
    </row>
    <row r="106" spans="1:38" ht="18" customHeight="1" x14ac:dyDescent="0.25">
      <c r="C106" s="6"/>
    </row>
    <row r="107" spans="1:38" ht="18" customHeight="1" x14ac:dyDescent="0.25">
      <c r="C107" s="6"/>
    </row>
    <row r="108" spans="1:38" ht="18" customHeight="1" x14ac:dyDescent="0.25">
      <c r="C108" s="6"/>
    </row>
    <row r="109" spans="1:38" ht="18" customHeight="1" x14ac:dyDescent="0.25">
      <c r="C109" s="6"/>
    </row>
    <row r="110" spans="1:38" ht="18" customHeight="1" x14ac:dyDescent="0.25">
      <c r="C110" s="6"/>
    </row>
    <row r="111" spans="1:38" ht="18" customHeight="1" x14ac:dyDescent="0.25">
      <c r="C111" s="6"/>
    </row>
    <row r="112" spans="1:38" ht="18" customHeight="1" x14ac:dyDescent="0.25">
      <c r="C112" s="6"/>
    </row>
    <row r="113" spans="3:3" ht="18" customHeight="1" x14ac:dyDescent="0.25">
      <c r="C113" s="6"/>
    </row>
    <row r="114" spans="3:3" ht="18" customHeight="1" x14ac:dyDescent="0.25">
      <c r="C114" s="6"/>
    </row>
    <row r="115" spans="3:3" ht="18" customHeight="1" x14ac:dyDescent="0.25">
      <c r="C115" s="6"/>
    </row>
    <row r="116" spans="3:3" ht="18" customHeight="1" x14ac:dyDescent="0.25">
      <c r="C116" s="6"/>
    </row>
    <row r="117" spans="3:3" ht="18" customHeight="1" x14ac:dyDescent="0.25">
      <c r="C117" s="6"/>
    </row>
    <row r="118" spans="3:3" ht="18" customHeight="1" x14ac:dyDescent="0.25">
      <c r="C118" s="6"/>
    </row>
    <row r="119" spans="3:3" ht="18" customHeight="1" x14ac:dyDescent="0.25">
      <c r="C119" s="6"/>
    </row>
    <row r="120" spans="3:3" ht="18" customHeight="1" x14ac:dyDescent="0.25">
      <c r="C120" s="6"/>
    </row>
    <row r="121" spans="3:3" ht="18" customHeight="1" x14ac:dyDescent="0.25">
      <c r="C121" s="6"/>
    </row>
    <row r="122" spans="3:3" ht="18" customHeight="1" x14ac:dyDescent="0.25">
      <c r="C122" s="6"/>
    </row>
    <row r="123" spans="3:3" ht="18" customHeight="1" x14ac:dyDescent="0.25">
      <c r="C123" s="6"/>
    </row>
    <row r="124" spans="3:3" ht="18" customHeight="1" x14ac:dyDescent="0.25">
      <c r="C124" s="6"/>
    </row>
    <row r="125" spans="3:3" ht="18" customHeight="1" x14ac:dyDescent="0.25">
      <c r="C125" s="6"/>
    </row>
    <row r="126" spans="3:3" ht="18" customHeight="1" x14ac:dyDescent="0.25">
      <c r="C126" s="6"/>
    </row>
    <row r="127" spans="3:3" ht="18" customHeight="1" x14ac:dyDescent="0.25">
      <c r="C127" s="6"/>
    </row>
    <row r="128" spans="3:3" ht="18" customHeight="1" x14ac:dyDescent="0.25">
      <c r="C128" s="6"/>
    </row>
    <row r="129" spans="3:3" ht="18" customHeight="1" x14ac:dyDescent="0.25">
      <c r="C129" s="6"/>
    </row>
    <row r="130" spans="3:3" ht="18" customHeight="1" x14ac:dyDescent="0.25">
      <c r="C130" s="6"/>
    </row>
    <row r="131" spans="3:3" ht="18" customHeight="1" x14ac:dyDescent="0.25">
      <c r="C131" s="6"/>
    </row>
    <row r="132" spans="3:3" ht="18" customHeight="1" x14ac:dyDescent="0.25">
      <c r="C132" s="6"/>
    </row>
    <row r="133" spans="3:3" ht="18" customHeight="1" x14ac:dyDescent="0.25">
      <c r="C133" s="6"/>
    </row>
    <row r="134" spans="3:3" ht="18" customHeight="1" x14ac:dyDescent="0.25">
      <c r="C134" s="6"/>
    </row>
    <row r="135" spans="3:3" ht="18" customHeight="1" x14ac:dyDescent="0.25">
      <c r="C135" s="6"/>
    </row>
    <row r="136" spans="3:3" ht="18" customHeight="1" x14ac:dyDescent="0.25">
      <c r="C136" s="6"/>
    </row>
    <row r="137" spans="3:3" ht="18" customHeight="1" x14ac:dyDescent="0.25">
      <c r="C137" s="6"/>
    </row>
    <row r="138" spans="3:3" ht="18" customHeight="1" x14ac:dyDescent="0.25">
      <c r="C138" s="6"/>
    </row>
    <row r="139" spans="3:3" ht="18" customHeight="1" x14ac:dyDescent="0.25">
      <c r="C139" s="6"/>
    </row>
    <row r="140" spans="3:3" ht="18" customHeight="1" x14ac:dyDescent="0.25">
      <c r="C140" s="6"/>
    </row>
    <row r="141" spans="3:3" ht="18" customHeight="1" x14ac:dyDescent="0.25">
      <c r="C141" s="6"/>
    </row>
    <row r="142" spans="3:3" ht="18" customHeight="1" x14ac:dyDescent="0.25">
      <c r="C142" s="6"/>
    </row>
    <row r="143" spans="3:3" ht="18" customHeight="1" x14ac:dyDescent="0.25">
      <c r="C143" s="6"/>
    </row>
    <row r="144" spans="3:3" ht="18" customHeight="1" x14ac:dyDescent="0.25">
      <c r="C144" s="6"/>
    </row>
    <row r="145" spans="3:3" ht="18" customHeight="1" x14ac:dyDescent="0.25">
      <c r="C145" s="6"/>
    </row>
    <row r="146" spans="3:3" ht="18" customHeight="1" x14ac:dyDescent="0.25">
      <c r="C146" s="6"/>
    </row>
    <row r="147" spans="3:3" ht="18" customHeight="1" x14ac:dyDescent="0.25">
      <c r="C147" s="6"/>
    </row>
    <row r="148" spans="3:3" ht="18" customHeight="1" x14ac:dyDescent="0.25">
      <c r="C148" s="6"/>
    </row>
    <row r="149" spans="3:3" ht="18" customHeight="1" x14ac:dyDescent="0.25">
      <c r="C149" s="6"/>
    </row>
    <row r="150" spans="3:3" ht="18" customHeight="1" x14ac:dyDescent="0.25">
      <c r="C150" s="6"/>
    </row>
    <row r="151" spans="3:3" ht="18" customHeight="1" x14ac:dyDescent="0.25">
      <c r="C151" s="6"/>
    </row>
    <row r="152" spans="3:3" ht="18" customHeight="1" x14ac:dyDescent="0.25">
      <c r="C152" s="6"/>
    </row>
    <row r="153" spans="3:3" ht="18" customHeight="1" x14ac:dyDescent="0.25">
      <c r="C153" s="6"/>
    </row>
    <row r="154" spans="3:3" ht="18" customHeight="1" x14ac:dyDescent="0.25">
      <c r="C154" s="6"/>
    </row>
    <row r="155" spans="3:3" ht="18" customHeight="1" x14ac:dyDescent="0.25">
      <c r="C155" s="6"/>
    </row>
    <row r="156" spans="3:3" ht="18" customHeight="1" x14ac:dyDescent="0.25">
      <c r="C156" s="6"/>
    </row>
    <row r="157" spans="3:3" ht="18" customHeight="1" x14ac:dyDescent="0.25">
      <c r="C157" s="6"/>
    </row>
    <row r="158" spans="3:3" ht="18" customHeight="1" x14ac:dyDescent="0.25">
      <c r="C158" s="6"/>
    </row>
    <row r="159" spans="3:3" ht="18" customHeight="1" x14ac:dyDescent="0.25">
      <c r="C159" s="6"/>
    </row>
    <row r="160" spans="3:3" ht="18" customHeight="1" x14ac:dyDescent="0.25">
      <c r="C160" s="6"/>
    </row>
  </sheetData>
  <mergeCells count="1">
    <mergeCell ref="A1:AL1"/>
  </mergeCells>
  <conditionalFormatting sqref="B1:B2">
    <cfRule type="duplicateValues" dxfId="1404" priority="61"/>
  </conditionalFormatting>
  <conditionalFormatting sqref="B1:B1048576">
    <cfRule type="duplicateValues" dxfId="1403" priority="3"/>
  </conditionalFormatting>
  <conditionalFormatting sqref="B2">
    <cfRule type="duplicateValues" dxfId="1402" priority="71"/>
    <cfRule type="duplicateValues" dxfId="1401" priority="62"/>
    <cfRule type="duplicateValues" dxfId="1400" priority="63"/>
    <cfRule type="duplicateValues" dxfId="1399" priority="64"/>
    <cfRule type="duplicateValues" dxfId="1398" priority="65"/>
    <cfRule type="duplicateValues" dxfId="1397" priority="66"/>
    <cfRule type="duplicateValues" dxfId="1396" priority="67"/>
    <cfRule type="duplicateValues" dxfId="1395" priority="68"/>
    <cfRule type="duplicateValues" dxfId="1394" priority="69"/>
    <cfRule type="duplicateValues" dxfId="1393" priority="70"/>
    <cfRule type="duplicateValues" dxfId="1392" priority="72"/>
    <cfRule type="duplicateValues" dxfId="1391" priority="73"/>
    <cfRule type="duplicateValues" dxfId="1390" priority="74"/>
  </conditionalFormatting>
  <conditionalFormatting sqref="B3">
    <cfRule type="duplicateValues" dxfId="1389" priority="176"/>
    <cfRule type="duplicateValues" dxfId="1388" priority="174"/>
    <cfRule type="duplicateValues" dxfId="1387" priority="177"/>
    <cfRule type="duplicateValues" dxfId="1386" priority="175"/>
  </conditionalFormatting>
  <conditionalFormatting sqref="B3:B1048576">
    <cfRule type="duplicateValues" dxfId="1385" priority="158"/>
  </conditionalFormatting>
  <conditionalFormatting sqref="B11">
    <cfRule type="duplicateValues" dxfId="1384" priority="173"/>
  </conditionalFormatting>
  <conditionalFormatting sqref="B16">
    <cfRule type="duplicateValues" dxfId="1383" priority="26837"/>
    <cfRule type="duplicateValues" dxfId="1382" priority="26836"/>
    <cfRule type="duplicateValues" dxfId="1381" priority="26844"/>
    <cfRule type="duplicateValues" dxfId="1380" priority="26843"/>
    <cfRule type="duplicateValues" dxfId="1379" priority="26842"/>
    <cfRule type="duplicateValues" dxfId="1378" priority="26841"/>
    <cfRule type="duplicateValues" dxfId="1377" priority="26840"/>
    <cfRule type="duplicateValues" dxfId="1376" priority="26834"/>
    <cfRule type="duplicateValues" dxfId="1375" priority="26848"/>
    <cfRule type="duplicateValues" dxfId="1374" priority="26839"/>
    <cfRule type="duplicateValues" dxfId="1373" priority="26852"/>
    <cfRule type="duplicateValues" dxfId="1372" priority="26851"/>
    <cfRule type="duplicateValues" dxfId="1371" priority="26850"/>
    <cfRule type="duplicateValues" dxfId="1370" priority="26849"/>
    <cfRule type="duplicateValues" dxfId="1369" priority="26835"/>
    <cfRule type="duplicateValues" dxfId="1368" priority="26847"/>
    <cfRule type="duplicateValues" dxfId="1367" priority="26838"/>
    <cfRule type="duplicateValues" dxfId="1366" priority="26846"/>
    <cfRule type="duplicateValues" dxfId="1365" priority="26845"/>
  </conditionalFormatting>
  <conditionalFormatting sqref="B19">
    <cfRule type="duplicateValues" dxfId="1364" priority="26988"/>
    <cfRule type="duplicateValues" dxfId="1363" priority="26995"/>
    <cfRule type="duplicateValues" dxfId="1362" priority="26983"/>
    <cfRule type="duplicateValues" dxfId="1361" priority="26982"/>
    <cfRule type="duplicateValues" dxfId="1360" priority="26980"/>
    <cfRule type="duplicateValues" dxfId="1359" priority="26981"/>
    <cfRule type="duplicateValues" dxfId="1358" priority="26984"/>
    <cfRule type="duplicateValues" dxfId="1357" priority="26978"/>
    <cfRule type="duplicateValues" dxfId="1356" priority="26987"/>
    <cfRule type="duplicateValues" dxfId="1355" priority="26986"/>
    <cfRule type="duplicateValues" dxfId="1354" priority="26985"/>
    <cfRule type="duplicateValues" dxfId="1353" priority="26979"/>
    <cfRule type="duplicateValues" dxfId="1352" priority="26989"/>
    <cfRule type="duplicateValues" dxfId="1351" priority="26990"/>
    <cfRule type="duplicateValues" dxfId="1350" priority="26991"/>
    <cfRule type="duplicateValues" dxfId="1349" priority="26992"/>
    <cfRule type="duplicateValues" dxfId="1348" priority="26993"/>
    <cfRule type="duplicateValues" dxfId="1347" priority="26994"/>
    <cfRule type="duplicateValues" dxfId="1346" priority="26996"/>
  </conditionalFormatting>
  <conditionalFormatting sqref="B21">
    <cfRule type="duplicateValues" dxfId="1345" priority="27126"/>
    <cfRule type="duplicateValues" dxfId="1344" priority="27140"/>
    <cfRule type="duplicateValues" dxfId="1343" priority="27122"/>
    <cfRule type="duplicateValues" dxfId="1342" priority="27123"/>
    <cfRule type="duplicateValues" dxfId="1341" priority="27124"/>
    <cfRule type="duplicateValues" dxfId="1340" priority="27125"/>
    <cfRule type="duplicateValues" dxfId="1339" priority="27127"/>
    <cfRule type="duplicateValues" dxfId="1338" priority="27128"/>
    <cfRule type="duplicateValues" dxfId="1337" priority="27129"/>
    <cfRule type="duplicateValues" dxfId="1336" priority="27130"/>
    <cfRule type="duplicateValues" dxfId="1335" priority="27131"/>
    <cfRule type="duplicateValues" dxfId="1334" priority="27132"/>
    <cfRule type="duplicateValues" dxfId="1333" priority="27133"/>
    <cfRule type="duplicateValues" dxfId="1332" priority="27134"/>
    <cfRule type="duplicateValues" dxfId="1331" priority="27135"/>
    <cfRule type="duplicateValues" dxfId="1330" priority="27136"/>
    <cfRule type="duplicateValues" dxfId="1329" priority="27137"/>
    <cfRule type="duplicateValues" dxfId="1328" priority="27138"/>
    <cfRule type="duplicateValues" dxfId="1327" priority="27139"/>
  </conditionalFormatting>
  <conditionalFormatting sqref="B24:B25">
    <cfRule type="duplicateValues" dxfId="1326" priority="136"/>
    <cfRule type="duplicateValues" dxfId="1325" priority="137"/>
    <cfRule type="duplicateValues" dxfId="1324" priority="152"/>
    <cfRule type="duplicateValues" dxfId="1323" priority="151"/>
    <cfRule type="duplicateValues" dxfId="1322" priority="150"/>
    <cfRule type="duplicateValues" dxfId="1321" priority="149"/>
    <cfRule type="duplicateValues" dxfId="1320" priority="147"/>
    <cfRule type="duplicateValues" dxfId="1319" priority="148"/>
    <cfRule type="duplicateValues" dxfId="1318" priority="146"/>
    <cfRule type="duplicateValues" dxfId="1317" priority="145"/>
    <cfRule type="duplicateValues" dxfId="1316" priority="144"/>
    <cfRule type="duplicateValues" dxfId="1315" priority="143"/>
    <cfRule type="duplicateValues" dxfId="1314" priority="142"/>
    <cfRule type="duplicateValues" dxfId="1313" priority="141"/>
    <cfRule type="duplicateValues" dxfId="1312" priority="140"/>
    <cfRule type="duplicateValues" dxfId="1311" priority="139"/>
    <cfRule type="duplicateValues" dxfId="1310" priority="138"/>
    <cfRule type="duplicateValues" dxfId="1309" priority="134"/>
    <cfRule type="duplicateValues" dxfId="1308" priority="135"/>
  </conditionalFormatting>
  <conditionalFormatting sqref="B31 B4:B9 B14">
    <cfRule type="duplicateValues" dxfId="1307" priority="235"/>
    <cfRule type="duplicateValues" dxfId="1306" priority="236"/>
    <cfRule type="duplicateValues" dxfId="1305" priority="237"/>
    <cfRule type="duplicateValues" dxfId="1304" priority="234"/>
    <cfRule type="duplicateValues" dxfId="1303" priority="238"/>
  </conditionalFormatting>
  <conditionalFormatting sqref="B32:B33">
    <cfRule type="duplicateValues" dxfId="1302" priority="163"/>
    <cfRule type="duplicateValues" dxfId="1301" priority="162"/>
    <cfRule type="duplicateValues" dxfId="1300" priority="161"/>
    <cfRule type="duplicateValues" dxfId="1299" priority="160"/>
    <cfRule type="duplicateValues" dxfId="1298" priority="159"/>
  </conditionalFormatting>
  <conditionalFormatting sqref="B34:B35 B11">
    <cfRule type="duplicateValues" dxfId="1297" priority="167"/>
    <cfRule type="duplicateValues" dxfId="1296" priority="164"/>
    <cfRule type="duplicateValues" dxfId="1295" priority="165"/>
    <cfRule type="duplicateValues" dxfId="1294" priority="166"/>
  </conditionalFormatting>
  <conditionalFormatting sqref="B70:B75">
    <cfRule type="duplicateValues" dxfId="1293" priority="191"/>
    <cfRule type="duplicateValues" dxfId="1292" priority="186"/>
    <cfRule type="duplicateValues" dxfId="1291" priority="187"/>
    <cfRule type="duplicateValues" dxfId="1290" priority="188"/>
    <cfRule type="duplicateValues" dxfId="1289" priority="189"/>
    <cfRule type="duplicateValues" dxfId="1288" priority="190"/>
    <cfRule type="duplicateValues" dxfId="1287" priority="192"/>
    <cfRule type="duplicateValues" dxfId="1286" priority="193"/>
    <cfRule type="duplicateValues" dxfId="1285" priority="194"/>
    <cfRule type="duplicateValues" dxfId="1284" priority="195"/>
    <cfRule type="duplicateValues" dxfId="1283" priority="196"/>
    <cfRule type="duplicateValues" dxfId="1282" priority="204"/>
    <cfRule type="duplicateValues" dxfId="1281" priority="198"/>
    <cfRule type="duplicateValues" dxfId="1280" priority="201"/>
    <cfRule type="duplicateValues" dxfId="1279" priority="200"/>
    <cfRule type="duplicateValues" dxfId="1278" priority="199"/>
    <cfRule type="duplicateValues" dxfId="1277" priority="197"/>
    <cfRule type="duplicateValues" dxfId="1276" priority="202"/>
    <cfRule type="duplicateValues" dxfId="1275" priority="203"/>
  </conditionalFormatting>
  <conditionalFormatting sqref="B76 B44:B49">
    <cfRule type="duplicateValues" dxfId="1274" priority="206"/>
    <cfRule type="duplicateValues" dxfId="1273" priority="207"/>
    <cfRule type="duplicateValues" dxfId="1272" priority="208"/>
    <cfRule type="duplicateValues" dxfId="1271" priority="213"/>
    <cfRule type="duplicateValues" dxfId="1270" priority="214"/>
    <cfRule type="duplicateValues" dxfId="1269" priority="210"/>
    <cfRule type="duplicateValues" dxfId="1268" priority="209"/>
    <cfRule type="duplicateValues" dxfId="1267" priority="205"/>
    <cfRule type="duplicateValues" dxfId="1266" priority="211"/>
    <cfRule type="duplicateValues" dxfId="1265" priority="212"/>
  </conditionalFormatting>
  <conditionalFormatting sqref="B77">
    <cfRule type="duplicateValues" dxfId="1264" priority="121"/>
    <cfRule type="duplicateValues" dxfId="1263" priority="105"/>
    <cfRule type="duplicateValues" dxfId="1262" priority="119"/>
    <cfRule type="duplicateValues" dxfId="1261" priority="120"/>
    <cfRule type="duplicateValues" dxfId="1260" priority="108"/>
    <cfRule type="duplicateValues" dxfId="1259" priority="107"/>
    <cfRule type="duplicateValues" dxfId="1258" priority="118"/>
    <cfRule type="duplicateValues" dxfId="1257" priority="123"/>
    <cfRule type="duplicateValues" dxfId="1256" priority="117"/>
    <cfRule type="duplicateValues" dxfId="1255" priority="116"/>
    <cfRule type="duplicateValues" dxfId="1254" priority="115"/>
    <cfRule type="duplicateValues" dxfId="1253" priority="114"/>
    <cfRule type="duplicateValues" dxfId="1252" priority="113"/>
    <cfRule type="duplicateValues" dxfId="1251" priority="112"/>
    <cfRule type="duplicateValues" dxfId="1250" priority="122"/>
    <cfRule type="duplicateValues" dxfId="1249" priority="106"/>
    <cfRule type="duplicateValues" dxfId="1248" priority="111"/>
    <cfRule type="duplicateValues" dxfId="1247" priority="110"/>
    <cfRule type="duplicateValues" dxfId="1246" priority="109"/>
  </conditionalFormatting>
  <conditionalFormatting sqref="B84:B85">
    <cfRule type="duplicateValues" dxfId="1245" priority="90"/>
    <cfRule type="duplicateValues" dxfId="1244" priority="91"/>
    <cfRule type="duplicateValues" dxfId="1243" priority="92"/>
    <cfRule type="duplicateValues" dxfId="1242" priority="93"/>
    <cfRule type="duplicateValues" dxfId="1241" priority="94"/>
    <cfRule type="duplicateValues" dxfId="1240" priority="89"/>
    <cfRule type="duplicateValues" dxfId="1239" priority="76"/>
    <cfRule type="duplicateValues" dxfId="1238" priority="77"/>
    <cfRule type="duplicateValues" dxfId="1237" priority="78"/>
    <cfRule type="duplicateValues" dxfId="1236" priority="79"/>
    <cfRule type="duplicateValues" dxfId="1235" priority="80"/>
    <cfRule type="duplicateValues" dxfId="1234" priority="81"/>
    <cfRule type="duplicateValues" dxfId="1233" priority="82"/>
    <cfRule type="duplicateValues" dxfId="1232" priority="83"/>
    <cfRule type="duplicateValues" dxfId="1231" priority="84"/>
    <cfRule type="duplicateValues" dxfId="1230" priority="85"/>
    <cfRule type="duplicateValues" dxfId="1229" priority="86"/>
    <cfRule type="duplicateValues" dxfId="1228" priority="87"/>
    <cfRule type="duplicateValues" dxfId="1227" priority="88"/>
  </conditionalFormatting>
  <conditionalFormatting sqref="B86:B90 B92 B78:B83">
    <cfRule type="duplicateValues" dxfId="1226" priority="131"/>
    <cfRule type="duplicateValues" dxfId="1225" priority="132"/>
    <cfRule type="duplicateValues" dxfId="1224" priority="133"/>
    <cfRule type="duplicateValues" dxfId="1223" priority="124"/>
    <cfRule type="duplicateValues" dxfId="1222" priority="126"/>
    <cfRule type="duplicateValues" dxfId="1221" priority="125"/>
    <cfRule type="duplicateValues" dxfId="1220" priority="127"/>
    <cfRule type="duplicateValues" dxfId="1219" priority="128"/>
    <cfRule type="duplicateValues" dxfId="1218" priority="129"/>
    <cfRule type="duplicateValues" dxfId="1217" priority="130"/>
  </conditionalFormatting>
  <conditionalFormatting sqref="B91">
    <cfRule type="duplicateValues" dxfId="1216" priority="100"/>
    <cfRule type="duplicateValues" dxfId="1215" priority="99"/>
    <cfRule type="duplicateValues" dxfId="1214" priority="98"/>
    <cfRule type="duplicateValues" dxfId="1213" priority="101"/>
    <cfRule type="duplicateValues" dxfId="1212" priority="102"/>
    <cfRule type="duplicateValues" dxfId="1211" priority="103"/>
    <cfRule type="duplicateValues" dxfId="1210" priority="95"/>
    <cfRule type="duplicateValues" dxfId="1209" priority="104"/>
    <cfRule type="duplicateValues" dxfId="1208" priority="97"/>
    <cfRule type="duplicateValues" dxfId="1207" priority="96"/>
  </conditionalFormatting>
  <conditionalFormatting sqref="B93 B50">
    <cfRule type="duplicateValues" dxfId="1206" priority="217"/>
    <cfRule type="duplicateValues" dxfId="1205" priority="218"/>
    <cfRule type="duplicateValues" dxfId="1204" priority="219"/>
    <cfRule type="duplicateValues" dxfId="1203" priority="220"/>
    <cfRule type="duplicateValues" dxfId="1202" priority="221"/>
    <cfRule type="duplicateValues" dxfId="1201" priority="222"/>
    <cfRule type="duplicateValues" dxfId="1200" priority="223"/>
    <cfRule type="duplicateValues" dxfId="1199" priority="224"/>
    <cfRule type="duplicateValues" dxfId="1198" priority="225"/>
    <cfRule type="duplicateValues" dxfId="1197" priority="226"/>
    <cfRule type="duplicateValues" dxfId="1196" priority="227"/>
    <cfRule type="duplicateValues" dxfId="1195" priority="228"/>
    <cfRule type="duplicateValues" dxfId="1194" priority="229"/>
    <cfRule type="duplicateValues" dxfId="1193" priority="230"/>
    <cfRule type="duplicateValues" dxfId="1192" priority="231"/>
    <cfRule type="duplicateValues" dxfId="1191" priority="232"/>
    <cfRule type="duplicateValues" dxfId="1190" priority="233"/>
    <cfRule type="duplicateValues" dxfId="1189" priority="215"/>
    <cfRule type="duplicateValues" dxfId="1188" priority="216"/>
  </conditionalFormatting>
  <conditionalFormatting sqref="B94:B97 B26 B22:B23 B20 B17:B18 B15">
    <cfRule type="duplicateValues" dxfId="1187" priority="247"/>
    <cfRule type="duplicateValues" dxfId="1186" priority="243"/>
    <cfRule type="duplicateValues" dxfId="1185" priority="244"/>
    <cfRule type="duplicateValues" dxfId="1184" priority="246"/>
    <cfRule type="duplicateValues" dxfId="1183" priority="248"/>
    <cfRule type="duplicateValues" dxfId="1182" priority="249"/>
    <cfRule type="duplicateValues" dxfId="1181" priority="250"/>
    <cfRule type="duplicateValues" dxfId="1180" priority="251"/>
    <cfRule type="duplicateValues" dxfId="1179" priority="252"/>
    <cfRule type="duplicateValues" dxfId="1178" priority="245"/>
  </conditionalFormatting>
  <conditionalFormatting sqref="B98 B13 B27:B30 B40:B43 B51:B69">
    <cfRule type="duplicateValues" dxfId="1177" priority="184"/>
    <cfRule type="duplicateValues" dxfId="1176" priority="185"/>
    <cfRule type="duplicateValues" dxfId="1175" priority="183"/>
    <cfRule type="duplicateValues" dxfId="1174" priority="180"/>
    <cfRule type="duplicateValues" dxfId="1173" priority="181"/>
    <cfRule type="duplicateValues" dxfId="1172" priority="182"/>
  </conditionalFormatting>
  <conditionalFormatting sqref="B98:B1048576 B3:B14 B27:B43 B51:B69">
    <cfRule type="duplicateValues" dxfId="1171" priority="242"/>
    <cfRule type="duplicateValues" dxfId="1170" priority="239"/>
    <cfRule type="duplicateValues" dxfId="1169" priority="240"/>
    <cfRule type="duplicateValues" dxfId="1168" priority="241"/>
  </conditionalFormatting>
  <conditionalFormatting sqref="B99:B1048576 B12 B10 B36:B39">
    <cfRule type="duplicateValues" dxfId="1167" priority="169"/>
    <cfRule type="duplicateValues" dxfId="1166" priority="170"/>
    <cfRule type="duplicateValues" dxfId="1165" priority="172"/>
    <cfRule type="duplicateValues" dxfId="1164" priority="171"/>
  </conditionalFormatting>
  <conditionalFormatting sqref="B99:B1048576 B12 B31 B36:B39 B3:B10 B14">
    <cfRule type="duplicateValues" dxfId="1163" priority="168"/>
  </conditionalFormatting>
  <conditionalFormatting sqref="B99:B1048576 B31:B39 B3:B12 B14">
    <cfRule type="duplicateValues" dxfId="1162" priority="178"/>
    <cfRule type="duplicateValues" dxfId="1161" priority="179"/>
  </conditionalFormatting>
  <conditionalFormatting sqref="E3:AH97">
    <cfRule type="containsText" dxfId="1160" priority="1" operator="containsText" text="EL">
      <formula>NOT(ISERROR(SEARCH("EL",E3)))</formula>
    </cfRule>
    <cfRule type="containsBlanks" dxfId="1159" priority="2">
      <formula>LEN(TRIM(E3))=0</formula>
    </cfRule>
  </conditionalFormatting>
  <conditionalFormatting sqref="E3:AH98">
    <cfRule type="containsText" dxfId="1158" priority="153" operator="containsText" text="OT">
      <formula>NOT(ISERROR(SEARCH("OT",E3)))</formula>
    </cfRule>
    <cfRule type="containsText" dxfId="1157" priority="154" operator="containsText" text="PH">
      <formula>NOT(ISERROR(SEARCH("PH",E3)))</formula>
    </cfRule>
    <cfRule type="containsText" dxfId="1156" priority="155" operator="containsText" text="S">
      <formula>NOT(ISERROR(SEARCH("S",E3)))</formula>
    </cfRule>
    <cfRule type="containsText" dxfId="1155" priority="156" operator="containsText" text="S">
      <formula>NOT(ISERROR(SEARCH("S",E3)))</formula>
    </cfRule>
    <cfRule type="containsText" dxfId="1154" priority="157" operator="containsText" text="A">
      <formula>NOT(ISERROR(SEARCH("A",E3)))</formula>
    </cfRule>
  </conditionalFormatting>
  <conditionalFormatting sqref="Z13:AD13 AF13:AH26 Y14:AD26">
    <cfRule type="containsText" dxfId="1153" priority="75" operator="containsText" text="FAR">
      <formula>NOT(ISERROR(SEARCH("FAR",Y13)))</formula>
    </cfRule>
  </conditionalFormatting>
  <pageMargins left="0.7" right="0.7" top="0.75" bottom="0.75" header="0.3" footer="0.3"/>
  <pageSetup paperSize="9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15ED-1B57-4FB6-9BCA-CB1799293683}">
  <sheetPr>
    <pageSetUpPr fitToPage="1"/>
  </sheetPr>
  <dimension ref="A1:AL99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3" sqref="C3"/>
    </sheetView>
  </sheetViews>
  <sheetFormatPr defaultColWidth="6.7109375" defaultRowHeight="18" customHeight="1" x14ac:dyDescent="0.25"/>
  <cols>
    <col min="1" max="2" width="6.28515625" style="6" customWidth="1"/>
    <col min="3" max="3" width="24.5703125" style="9" bestFit="1" customWidth="1"/>
    <col min="4" max="4" width="17" style="6" customWidth="1"/>
    <col min="5" max="34" width="5.28515625" style="6" customWidth="1"/>
    <col min="35" max="35" width="10.85546875" style="6" customWidth="1"/>
    <col min="36" max="36" width="8.7109375" style="6" customWidth="1"/>
    <col min="37" max="37" width="12.7109375" style="6" customWidth="1"/>
    <col min="38" max="38" width="31" style="6" bestFit="1" customWidth="1"/>
    <col min="39" max="16384" width="6.7109375" style="6"/>
  </cols>
  <sheetData>
    <row r="1" spans="1:38" ht="39.75" customHeight="1" x14ac:dyDescent="0.25">
      <c r="A1" s="40" t="s">
        <v>514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pans="1:38" ht="40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1</v>
      </c>
      <c r="F2" s="1">
        <v>2</v>
      </c>
      <c r="G2" s="1">
        <v>3</v>
      </c>
      <c r="H2" s="1">
        <v>4</v>
      </c>
      <c r="I2" s="34">
        <v>5</v>
      </c>
      <c r="J2" s="1">
        <v>6</v>
      </c>
      <c r="K2" s="29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29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29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29">
        <v>28</v>
      </c>
      <c r="AG2" s="1">
        <v>29</v>
      </c>
      <c r="AH2" s="1">
        <v>30</v>
      </c>
      <c r="AI2" s="20" t="s">
        <v>5</v>
      </c>
      <c r="AJ2" s="20" t="s">
        <v>81</v>
      </c>
      <c r="AK2" s="1" t="s">
        <v>6</v>
      </c>
      <c r="AL2" s="1" t="s">
        <v>4</v>
      </c>
    </row>
    <row r="3" spans="1:38" ht="19.899999999999999" customHeight="1" x14ac:dyDescent="0.25">
      <c r="A3" s="2">
        <v>1</v>
      </c>
      <c r="B3" s="7" t="s">
        <v>12</v>
      </c>
      <c r="C3" s="4" t="s">
        <v>13</v>
      </c>
      <c r="D3" s="2" t="s">
        <v>9</v>
      </c>
      <c r="E3" s="23" t="s">
        <v>11</v>
      </c>
      <c r="F3" s="23" t="s">
        <v>11</v>
      </c>
      <c r="G3" s="13" t="s">
        <v>11</v>
      </c>
      <c r="H3" s="23" t="s">
        <v>11</v>
      </c>
      <c r="I3" s="13" t="s">
        <v>515</v>
      </c>
      <c r="J3" s="23" t="s">
        <v>11</v>
      </c>
      <c r="K3" s="23" t="s">
        <v>10</v>
      </c>
      <c r="L3" s="23" t="s">
        <v>11</v>
      </c>
      <c r="M3" s="23" t="s">
        <v>11</v>
      </c>
      <c r="N3" s="13" t="s">
        <v>11</v>
      </c>
      <c r="O3" s="23" t="s">
        <v>11</v>
      </c>
      <c r="P3" s="23" t="s">
        <v>11</v>
      </c>
      <c r="Q3" s="23" t="s">
        <v>11</v>
      </c>
      <c r="R3" s="23" t="s">
        <v>10</v>
      </c>
      <c r="S3" s="23" t="s">
        <v>11</v>
      </c>
      <c r="T3" s="23" t="s">
        <v>11</v>
      </c>
      <c r="U3" s="13" t="s">
        <v>11</v>
      </c>
      <c r="V3" s="23" t="s">
        <v>11</v>
      </c>
      <c r="W3" s="23" t="s">
        <v>11</v>
      </c>
      <c r="X3" s="23" t="s">
        <v>11</v>
      </c>
      <c r="Y3" s="23" t="s">
        <v>10</v>
      </c>
      <c r="Z3" s="23" t="s">
        <v>11</v>
      </c>
      <c r="AA3" s="23" t="s">
        <v>11</v>
      </c>
      <c r="AB3" s="13" t="s">
        <v>11</v>
      </c>
      <c r="AC3" s="23" t="s">
        <v>11</v>
      </c>
      <c r="AD3" s="23" t="s">
        <v>11</v>
      </c>
      <c r="AE3" s="23" t="s">
        <v>11</v>
      </c>
      <c r="AF3" s="13" t="s">
        <v>10</v>
      </c>
      <c r="AG3" s="13" t="s">
        <v>11</v>
      </c>
      <c r="AH3" s="13" t="s">
        <v>11</v>
      </c>
      <c r="AI3" s="5">
        <f t="shared" ref="AI3:AI38" si="0">COUNTIF(E3:AH3, "P")+COUNTIF(E3:AH3, "OT")</f>
        <v>25</v>
      </c>
      <c r="AJ3" s="21"/>
      <c r="AK3" s="14">
        <f t="shared" ref="AK3:AK38" si="1">AI3*AJ3</f>
        <v>0</v>
      </c>
      <c r="AL3" s="2" t="s">
        <v>77</v>
      </c>
    </row>
    <row r="4" spans="1:38" ht="19.899999999999999" customHeight="1" x14ac:dyDescent="0.25">
      <c r="A4" s="2">
        <v>2</v>
      </c>
      <c r="B4" s="2" t="s">
        <v>42</v>
      </c>
      <c r="C4" s="4" t="s">
        <v>477</v>
      </c>
      <c r="D4" s="2" t="s">
        <v>9</v>
      </c>
      <c r="E4" s="23" t="s">
        <v>11</v>
      </c>
      <c r="F4" s="23" t="s">
        <v>11</v>
      </c>
      <c r="G4" s="13" t="s">
        <v>11</v>
      </c>
      <c r="H4" s="23" t="s">
        <v>11</v>
      </c>
      <c r="I4" s="13" t="s">
        <v>515</v>
      </c>
      <c r="J4" s="23" t="s">
        <v>11</v>
      </c>
      <c r="K4" s="23" t="s">
        <v>10</v>
      </c>
      <c r="L4" s="23" t="s">
        <v>11</v>
      </c>
      <c r="M4" s="23" t="s">
        <v>11</v>
      </c>
      <c r="N4" s="13" t="s">
        <v>11</v>
      </c>
      <c r="O4" s="23" t="s">
        <v>11</v>
      </c>
      <c r="P4" s="23" t="s">
        <v>11</v>
      </c>
      <c r="Q4" s="23" t="s">
        <v>11</v>
      </c>
      <c r="R4" s="23" t="s">
        <v>10</v>
      </c>
      <c r="S4" s="23" t="s">
        <v>11</v>
      </c>
      <c r="T4" s="23" t="s">
        <v>11</v>
      </c>
      <c r="U4" s="13" t="s">
        <v>11</v>
      </c>
      <c r="V4" s="23" t="s">
        <v>11</v>
      </c>
      <c r="W4" s="23" t="s">
        <v>11</v>
      </c>
      <c r="X4" s="23" t="s">
        <v>11</v>
      </c>
      <c r="Y4" s="23" t="s">
        <v>10</v>
      </c>
      <c r="Z4" s="23" t="s">
        <v>11</v>
      </c>
      <c r="AA4" s="23" t="s">
        <v>11</v>
      </c>
      <c r="AB4" s="13" t="s">
        <v>11</v>
      </c>
      <c r="AC4" s="23" t="s">
        <v>11</v>
      </c>
      <c r="AD4" s="23" t="s">
        <v>11</v>
      </c>
      <c r="AE4" s="23" t="s">
        <v>11</v>
      </c>
      <c r="AF4" s="13" t="s">
        <v>10</v>
      </c>
      <c r="AG4" s="13" t="s">
        <v>11</v>
      </c>
      <c r="AH4" s="13" t="s">
        <v>11</v>
      </c>
      <c r="AI4" s="5">
        <f t="shared" si="0"/>
        <v>25</v>
      </c>
      <c r="AJ4" s="21"/>
      <c r="AK4" s="14">
        <f t="shared" si="1"/>
        <v>0</v>
      </c>
      <c r="AL4" s="2" t="s">
        <v>80</v>
      </c>
    </row>
    <row r="5" spans="1:38" ht="19.899999999999999" customHeight="1" x14ac:dyDescent="0.25">
      <c r="A5" s="2">
        <v>3</v>
      </c>
      <c r="B5" s="7" t="s">
        <v>47</v>
      </c>
      <c r="C5" s="4" t="s">
        <v>48</v>
      </c>
      <c r="D5" s="2" t="s">
        <v>9</v>
      </c>
      <c r="E5" s="23" t="s">
        <v>11</v>
      </c>
      <c r="F5" s="23" t="s">
        <v>11</v>
      </c>
      <c r="G5" s="13" t="s">
        <v>11</v>
      </c>
      <c r="H5" s="23" t="s">
        <v>11</v>
      </c>
      <c r="I5" s="13" t="s">
        <v>515</v>
      </c>
      <c r="J5" s="23" t="s">
        <v>11</v>
      </c>
      <c r="K5" s="23" t="s">
        <v>10</v>
      </c>
      <c r="L5" s="23" t="s">
        <v>11</v>
      </c>
      <c r="M5" s="23" t="s">
        <v>11</v>
      </c>
      <c r="N5" s="13" t="s">
        <v>11</v>
      </c>
      <c r="O5" s="23" t="s">
        <v>11</v>
      </c>
      <c r="P5" s="23" t="s">
        <v>11</v>
      </c>
      <c r="Q5" s="23" t="s">
        <v>11</v>
      </c>
      <c r="R5" s="23" t="s">
        <v>10</v>
      </c>
      <c r="S5" s="23" t="s">
        <v>11</v>
      </c>
      <c r="T5" s="23" t="s">
        <v>11</v>
      </c>
      <c r="U5" s="13" t="s">
        <v>11</v>
      </c>
      <c r="V5" s="23" t="s">
        <v>11</v>
      </c>
      <c r="W5" s="23" t="s">
        <v>11</v>
      </c>
      <c r="X5" s="23" t="s">
        <v>11</v>
      </c>
      <c r="Y5" s="23" t="s">
        <v>10</v>
      </c>
      <c r="Z5" s="23" t="s">
        <v>11</v>
      </c>
      <c r="AA5" s="23" t="s">
        <v>11</v>
      </c>
      <c r="AB5" s="13" t="s">
        <v>11</v>
      </c>
      <c r="AC5" s="23" t="s">
        <v>11</v>
      </c>
      <c r="AD5" s="23" t="s">
        <v>11</v>
      </c>
      <c r="AE5" s="23" t="s">
        <v>11</v>
      </c>
      <c r="AF5" s="13" t="s">
        <v>10</v>
      </c>
      <c r="AG5" s="13" t="s">
        <v>11</v>
      </c>
      <c r="AH5" s="13" t="s">
        <v>11</v>
      </c>
      <c r="AI5" s="5">
        <f t="shared" si="0"/>
        <v>25</v>
      </c>
      <c r="AJ5" s="21"/>
      <c r="AK5" s="14">
        <f t="shared" si="1"/>
        <v>0</v>
      </c>
      <c r="AL5" s="2" t="s">
        <v>516</v>
      </c>
    </row>
    <row r="6" spans="1:38" ht="19.899999999999999" customHeight="1" x14ac:dyDescent="0.25">
      <c r="A6" s="2">
        <v>4</v>
      </c>
      <c r="B6" s="7" t="s">
        <v>14</v>
      </c>
      <c r="C6" s="4" t="s">
        <v>15</v>
      </c>
      <c r="D6" s="2" t="s">
        <v>9</v>
      </c>
      <c r="E6" s="23" t="s">
        <v>11</v>
      </c>
      <c r="F6" s="23" t="s">
        <v>11</v>
      </c>
      <c r="G6" s="13" t="s">
        <v>11</v>
      </c>
      <c r="H6" s="23" t="s">
        <v>11</v>
      </c>
      <c r="I6" s="13" t="s">
        <v>515</v>
      </c>
      <c r="J6" s="23" t="s">
        <v>11</v>
      </c>
      <c r="K6" s="23" t="s">
        <v>10</v>
      </c>
      <c r="L6" s="23" t="s">
        <v>11</v>
      </c>
      <c r="M6" s="23" t="s">
        <v>11</v>
      </c>
      <c r="N6" s="13" t="s">
        <v>11</v>
      </c>
      <c r="O6" s="23" t="s">
        <v>11</v>
      </c>
      <c r="P6" s="23" t="s">
        <v>11</v>
      </c>
      <c r="Q6" s="23" t="s">
        <v>11</v>
      </c>
      <c r="R6" s="23" t="s">
        <v>10</v>
      </c>
      <c r="S6" s="23" t="s">
        <v>11</v>
      </c>
      <c r="T6" s="23" t="s">
        <v>11</v>
      </c>
      <c r="U6" s="13" t="s">
        <v>11</v>
      </c>
      <c r="V6" s="23" t="s">
        <v>11</v>
      </c>
      <c r="W6" s="23" t="s">
        <v>11</v>
      </c>
      <c r="X6" s="23" t="s">
        <v>11</v>
      </c>
      <c r="Y6" s="23" t="s">
        <v>10</v>
      </c>
      <c r="Z6" s="23" t="s">
        <v>11</v>
      </c>
      <c r="AA6" s="23" t="s">
        <v>11</v>
      </c>
      <c r="AB6" s="13" t="s">
        <v>11</v>
      </c>
      <c r="AC6" s="23" t="s">
        <v>11</v>
      </c>
      <c r="AD6" s="23" t="s">
        <v>11</v>
      </c>
      <c r="AE6" s="23" t="s">
        <v>11</v>
      </c>
      <c r="AF6" s="13" t="s">
        <v>10</v>
      </c>
      <c r="AG6" s="13" t="s">
        <v>11</v>
      </c>
      <c r="AH6" s="13" t="s">
        <v>11</v>
      </c>
      <c r="AI6" s="5">
        <f t="shared" si="0"/>
        <v>25</v>
      </c>
      <c r="AJ6" s="21"/>
      <c r="AK6" s="14">
        <f t="shared" si="1"/>
        <v>0</v>
      </c>
      <c r="AL6" s="2" t="s">
        <v>77</v>
      </c>
    </row>
    <row r="7" spans="1:38" ht="19.899999999999999" customHeight="1" x14ac:dyDescent="0.25">
      <c r="A7" s="2">
        <v>5</v>
      </c>
      <c r="B7" s="3" t="s">
        <v>50</v>
      </c>
      <c r="C7" s="4" t="s">
        <v>51</v>
      </c>
      <c r="D7" s="2" t="s">
        <v>9</v>
      </c>
      <c r="E7" s="23" t="s">
        <v>32</v>
      </c>
      <c r="F7" s="23" t="s">
        <v>11</v>
      </c>
      <c r="G7" s="13" t="s">
        <v>11</v>
      </c>
      <c r="H7" s="23" t="s">
        <v>11</v>
      </c>
      <c r="I7" s="13" t="s">
        <v>515</v>
      </c>
      <c r="J7" s="23" t="s">
        <v>11</v>
      </c>
      <c r="K7" s="23" t="s">
        <v>10</v>
      </c>
      <c r="L7" s="23" t="s">
        <v>11</v>
      </c>
      <c r="M7" s="23" t="s">
        <v>11</v>
      </c>
      <c r="N7" s="13" t="s">
        <v>11</v>
      </c>
      <c r="O7" s="23" t="s">
        <v>11</v>
      </c>
      <c r="P7" s="23" t="s">
        <v>11</v>
      </c>
      <c r="Q7" s="23" t="s">
        <v>11</v>
      </c>
      <c r="R7" s="23" t="s">
        <v>10</v>
      </c>
      <c r="S7" s="23" t="s">
        <v>32</v>
      </c>
      <c r="T7" s="23" t="s">
        <v>32</v>
      </c>
      <c r="U7" s="13" t="s">
        <v>32</v>
      </c>
      <c r="V7" s="23" t="s">
        <v>32</v>
      </c>
      <c r="W7" s="23" t="s">
        <v>11</v>
      </c>
      <c r="X7" s="23" t="s">
        <v>32</v>
      </c>
      <c r="Y7" s="23" t="s">
        <v>10</v>
      </c>
      <c r="Z7" s="23" t="s">
        <v>11</v>
      </c>
      <c r="AA7" s="23" t="s">
        <v>11</v>
      </c>
      <c r="AB7" s="13" t="s">
        <v>11</v>
      </c>
      <c r="AC7" s="23" t="s">
        <v>11</v>
      </c>
      <c r="AD7" s="23" t="s">
        <v>11</v>
      </c>
      <c r="AE7" s="23" t="s">
        <v>11</v>
      </c>
      <c r="AF7" s="13" t="s">
        <v>10</v>
      </c>
      <c r="AG7" s="13" t="s">
        <v>11</v>
      </c>
      <c r="AH7" s="13" t="s">
        <v>11</v>
      </c>
      <c r="AI7" s="5">
        <f t="shared" si="0"/>
        <v>19</v>
      </c>
      <c r="AJ7" s="21"/>
      <c r="AK7" s="14">
        <f t="shared" si="1"/>
        <v>0</v>
      </c>
      <c r="AL7" s="2" t="s">
        <v>475</v>
      </c>
    </row>
    <row r="8" spans="1:38" ht="19.899999999999999" customHeight="1" x14ac:dyDescent="0.25">
      <c r="A8" s="2">
        <v>6</v>
      </c>
      <c r="B8" s="2" t="s">
        <v>52</v>
      </c>
      <c r="C8" s="4" t="s">
        <v>53</v>
      </c>
      <c r="D8" s="2" t="s">
        <v>9</v>
      </c>
      <c r="E8" s="23" t="s">
        <v>11</v>
      </c>
      <c r="F8" s="23" t="s">
        <v>11</v>
      </c>
      <c r="G8" s="13" t="s">
        <v>11</v>
      </c>
      <c r="H8" s="23" t="s">
        <v>11</v>
      </c>
      <c r="I8" s="13" t="s">
        <v>515</v>
      </c>
      <c r="J8" s="23" t="s">
        <v>11</v>
      </c>
      <c r="K8" s="23" t="s">
        <v>10</v>
      </c>
      <c r="L8" s="23" t="s">
        <v>11</v>
      </c>
      <c r="M8" s="23" t="s">
        <v>11</v>
      </c>
      <c r="N8" s="13" t="s">
        <v>11</v>
      </c>
      <c r="O8" s="23" t="s">
        <v>11</v>
      </c>
      <c r="P8" s="23" t="s">
        <v>11</v>
      </c>
      <c r="Q8" s="23" t="s">
        <v>11</v>
      </c>
      <c r="R8" s="23" t="s">
        <v>10</v>
      </c>
      <c r="S8" s="23" t="s">
        <v>11</v>
      </c>
      <c r="T8" s="23" t="s">
        <v>11</v>
      </c>
      <c r="U8" s="13" t="s">
        <v>11</v>
      </c>
      <c r="V8" s="23" t="s">
        <v>11</v>
      </c>
      <c r="W8" s="23" t="s">
        <v>11</v>
      </c>
      <c r="X8" s="23" t="s">
        <v>11</v>
      </c>
      <c r="Y8" s="23" t="s">
        <v>10</v>
      </c>
      <c r="Z8" s="23" t="s">
        <v>11</v>
      </c>
      <c r="AA8" s="23" t="s">
        <v>11</v>
      </c>
      <c r="AB8" s="13" t="s">
        <v>11</v>
      </c>
      <c r="AC8" s="23" t="s">
        <v>11</v>
      </c>
      <c r="AD8" s="23" t="s">
        <v>11</v>
      </c>
      <c r="AE8" s="23" t="s">
        <v>11</v>
      </c>
      <c r="AF8" s="13" t="s">
        <v>10</v>
      </c>
      <c r="AG8" s="13" t="s">
        <v>11</v>
      </c>
      <c r="AH8" s="13" t="s">
        <v>11</v>
      </c>
      <c r="AI8" s="5">
        <f t="shared" si="0"/>
        <v>25</v>
      </c>
      <c r="AJ8" s="21"/>
      <c r="AK8" s="14">
        <f t="shared" si="1"/>
        <v>0</v>
      </c>
      <c r="AL8" s="2" t="s">
        <v>478</v>
      </c>
    </row>
    <row r="9" spans="1:38" ht="19.899999999999999" customHeight="1" x14ac:dyDescent="0.25">
      <c r="A9" s="2">
        <v>7</v>
      </c>
      <c r="B9" s="7" t="s">
        <v>33</v>
      </c>
      <c r="C9" s="4" t="s">
        <v>378</v>
      </c>
      <c r="D9" s="2" t="s">
        <v>9</v>
      </c>
      <c r="E9" s="23" t="s">
        <v>11</v>
      </c>
      <c r="F9" s="23" t="s">
        <v>11</v>
      </c>
      <c r="G9" s="13" t="s">
        <v>11</v>
      </c>
      <c r="H9" s="23" t="s">
        <v>11</v>
      </c>
      <c r="I9" s="13" t="s">
        <v>515</v>
      </c>
      <c r="J9" s="23" t="s">
        <v>11</v>
      </c>
      <c r="K9" s="23" t="s">
        <v>10</v>
      </c>
      <c r="L9" s="23" t="s">
        <v>11</v>
      </c>
      <c r="M9" s="23" t="s">
        <v>11</v>
      </c>
      <c r="N9" s="13" t="s">
        <v>11</v>
      </c>
      <c r="O9" s="23" t="s">
        <v>11</v>
      </c>
      <c r="P9" s="23" t="s">
        <v>11</v>
      </c>
      <c r="Q9" s="23" t="s">
        <v>11</v>
      </c>
      <c r="R9" s="23" t="s">
        <v>10</v>
      </c>
      <c r="S9" s="23" t="s">
        <v>11</v>
      </c>
      <c r="T9" s="23" t="s">
        <v>11</v>
      </c>
      <c r="U9" s="13" t="s">
        <v>11</v>
      </c>
      <c r="V9" s="23" t="s">
        <v>11</v>
      </c>
      <c r="W9" s="23" t="s">
        <v>11</v>
      </c>
      <c r="X9" s="23" t="s">
        <v>11</v>
      </c>
      <c r="Y9" s="23" t="s">
        <v>10</v>
      </c>
      <c r="Z9" s="23" t="s">
        <v>11</v>
      </c>
      <c r="AA9" s="23" t="s">
        <v>11</v>
      </c>
      <c r="AB9" s="13" t="s">
        <v>11</v>
      </c>
      <c r="AC9" s="23" t="s">
        <v>11</v>
      </c>
      <c r="AD9" s="23" t="s">
        <v>11</v>
      </c>
      <c r="AE9" s="23" t="s">
        <v>11</v>
      </c>
      <c r="AF9" s="13" t="s">
        <v>10</v>
      </c>
      <c r="AG9" s="13" t="s">
        <v>11</v>
      </c>
      <c r="AH9" s="13" t="s">
        <v>11</v>
      </c>
      <c r="AI9" s="5">
        <f t="shared" si="0"/>
        <v>25</v>
      </c>
      <c r="AJ9" s="21"/>
      <c r="AK9" s="14">
        <f t="shared" si="1"/>
        <v>0</v>
      </c>
      <c r="AL9" s="2" t="s">
        <v>83</v>
      </c>
    </row>
    <row r="10" spans="1:38" ht="19.899999999999999" customHeight="1" x14ac:dyDescent="0.25">
      <c r="A10" s="2">
        <v>8</v>
      </c>
      <c r="B10" s="2" t="s">
        <v>30</v>
      </c>
      <c r="C10" s="4" t="s">
        <v>31</v>
      </c>
      <c r="D10" s="2" t="s">
        <v>9</v>
      </c>
      <c r="E10" s="23" t="s">
        <v>11</v>
      </c>
      <c r="F10" s="23" t="s">
        <v>11</v>
      </c>
      <c r="G10" s="13" t="s">
        <v>11</v>
      </c>
      <c r="H10" s="23" t="s">
        <v>11</v>
      </c>
      <c r="I10" s="13" t="s">
        <v>515</v>
      </c>
      <c r="J10" s="23" t="s">
        <v>11</v>
      </c>
      <c r="K10" s="23" t="s">
        <v>10</v>
      </c>
      <c r="L10" s="23" t="s">
        <v>11</v>
      </c>
      <c r="M10" s="23" t="s">
        <v>11</v>
      </c>
      <c r="N10" s="13" t="s">
        <v>11</v>
      </c>
      <c r="O10" s="23" t="s">
        <v>11</v>
      </c>
      <c r="P10" s="23" t="s">
        <v>11</v>
      </c>
      <c r="Q10" s="23" t="s">
        <v>11</v>
      </c>
      <c r="R10" s="23" t="s">
        <v>10</v>
      </c>
      <c r="S10" s="23" t="s">
        <v>11</v>
      </c>
      <c r="T10" s="23" t="s">
        <v>11</v>
      </c>
      <c r="U10" s="13" t="s">
        <v>11</v>
      </c>
      <c r="V10" s="23" t="s">
        <v>11</v>
      </c>
      <c r="W10" s="23" t="s">
        <v>11</v>
      </c>
      <c r="X10" s="23" t="s">
        <v>11</v>
      </c>
      <c r="Y10" s="23" t="s">
        <v>10</v>
      </c>
      <c r="Z10" s="23" t="s">
        <v>11</v>
      </c>
      <c r="AA10" s="23" t="s">
        <v>11</v>
      </c>
      <c r="AB10" s="13" t="s">
        <v>11</v>
      </c>
      <c r="AC10" s="23" t="s">
        <v>11</v>
      </c>
      <c r="AD10" s="23" t="s">
        <v>11</v>
      </c>
      <c r="AE10" s="23" t="s">
        <v>11</v>
      </c>
      <c r="AF10" s="13" t="s">
        <v>10</v>
      </c>
      <c r="AG10" s="13" t="s">
        <v>11</v>
      </c>
      <c r="AH10" s="13" t="s">
        <v>11</v>
      </c>
      <c r="AI10" s="5">
        <f t="shared" si="0"/>
        <v>25</v>
      </c>
      <c r="AJ10" s="21"/>
      <c r="AK10" s="14">
        <f t="shared" si="1"/>
        <v>0</v>
      </c>
      <c r="AL10" s="2" t="s">
        <v>78</v>
      </c>
    </row>
    <row r="11" spans="1:38" ht="19.899999999999999" customHeight="1" x14ac:dyDescent="0.25">
      <c r="A11" s="2">
        <v>9</v>
      </c>
      <c r="B11" s="7" t="s">
        <v>68</v>
      </c>
      <c r="C11" s="4" t="s">
        <v>69</v>
      </c>
      <c r="D11" s="2" t="s">
        <v>9</v>
      </c>
      <c r="E11" s="23" t="s">
        <v>11</v>
      </c>
      <c r="F11" s="23" t="s">
        <v>11</v>
      </c>
      <c r="G11" s="13" t="s">
        <v>11</v>
      </c>
      <c r="H11" s="23" t="s">
        <v>11</v>
      </c>
      <c r="I11" s="13" t="s">
        <v>515</v>
      </c>
      <c r="J11" s="23" t="s">
        <v>11</v>
      </c>
      <c r="K11" s="23" t="s">
        <v>10</v>
      </c>
      <c r="L11" s="23" t="s">
        <v>11</v>
      </c>
      <c r="M11" s="23" t="s">
        <v>11</v>
      </c>
      <c r="N11" s="13" t="s">
        <v>11</v>
      </c>
      <c r="O11" s="23" t="s">
        <v>11</v>
      </c>
      <c r="P11" s="23" t="s">
        <v>11</v>
      </c>
      <c r="Q11" s="23" t="s">
        <v>11</v>
      </c>
      <c r="R11" s="23" t="s">
        <v>10</v>
      </c>
      <c r="S11" s="23" t="s">
        <v>11</v>
      </c>
      <c r="T11" s="23" t="s">
        <v>11</v>
      </c>
      <c r="U11" s="13" t="s">
        <v>11</v>
      </c>
      <c r="V11" s="23" t="s">
        <v>11</v>
      </c>
      <c r="W11" s="23" t="s">
        <v>11</v>
      </c>
      <c r="X11" s="23" t="s">
        <v>11</v>
      </c>
      <c r="Y11" s="23" t="s">
        <v>10</v>
      </c>
      <c r="Z11" s="23" t="s">
        <v>11</v>
      </c>
      <c r="AA11" s="23" t="s">
        <v>11</v>
      </c>
      <c r="AB11" s="13" t="s">
        <v>11</v>
      </c>
      <c r="AC11" s="23" t="s">
        <v>11</v>
      </c>
      <c r="AD11" s="23" t="s">
        <v>11</v>
      </c>
      <c r="AE11" s="23" t="s">
        <v>11</v>
      </c>
      <c r="AF11" s="13" t="s">
        <v>10</v>
      </c>
      <c r="AG11" s="13" t="s">
        <v>11</v>
      </c>
      <c r="AH11" s="13" t="s">
        <v>11</v>
      </c>
      <c r="AI11" s="5">
        <f t="shared" si="0"/>
        <v>25</v>
      </c>
      <c r="AJ11" s="21"/>
      <c r="AK11" s="14">
        <f t="shared" si="1"/>
        <v>0</v>
      </c>
      <c r="AL11" s="2" t="s">
        <v>425</v>
      </c>
    </row>
    <row r="12" spans="1:38" ht="19.899999999999999" customHeight="1" x14ac:dyDescent="0.25">
      <c r="A12" s="2">
        <v>10</v>
      </c>
      <c r="B12" s="7" t="s">
        <v>74</v>
      </c>
      <c r="C12" s="4" t="s">
        <v>75</v>
      </c>
      <c r="D12" s="2" t="s">
        <v>9</v>
      </c>
      <c r="E12" s="23" t="s">
        <v>11</v>
      </c>
      <c r="F12" s="23" t="s">
        <v>11</v>
      </c>
      <c r="G12" s="13" t="s">
        <v>11</v>
      </c>
      <c r="H12" s="23" t="s">
        <v>11</v>
      </c>
      <c r="I12" s="13" t="s">
        <v>515</v>
      </c>
      <c r="J12" s="23" t="s">
        <v>11</v>
      </c>
      <c r="K12" s="23" t="s">
        <v>10</v>
      </c>
      <c r="L12" s="23" t="s">
        <v>11</v>
      </c>
      <c r="M12" s="23" t="s">
        <v>11</v>
      </c>
      <c r="N12" s="13" t="s">
        <v>11</v>
      </c>
      <c r="O12" s="23" t="s">
        <v>11</v>
      </c>
      <c r="P12" s="23" t="s">
        <v>11</v>
      </c>
      <c r="Q12" s="23" t="s">
        <v>11</v>
      </c>
      <c r="R12" s="23" t="s">
        <v>10</v>
      </c>
      <c r="S12" s="23" t="s">
        <v>11</v>
      </c>
      <c r="T12" s="23" t="s">
        <v>11</v>
      </c>
      <c r="U12" s="13" t="s">
        <v>11</v>
      </c>
      <c r="V12" s="23" t="s">
        <v>11</v>
      </c>
      <c r="W12" s="23" t="s">
        <v>11</v>
      </c>
      <c r="X12" s="23" t="s">
        <v>11</v>
      </c>
      <c r="Y12" s="23" t="s">
        <v>10</v>
      </c>
      <c r="Z12" s="23" t="s">
        <v>11</v>
      </c>
      <c r="AA12" s="23" t="s">
        <v>11</v>
      </c>
      <c r="AB12" s="13" t="s">
        <v>11</v>
      </c>
      <c r="AC12" s="23" t="s">
        <v>11</v>
      </c>
      <c r="AD12" s="23" t="s">
        <v>11</v>
      </c>
      <c r="AE12" s="23" t="s">
        <v>11</v>
      </c>
      <c r="AF12" s="13" t="s">
        <v>10</v>
      </c>
      <c r="AG12" s="13" t="s">
        <v>11</v>
      </c>
      <c r="AH12" s="13" t="s">
        <v>11</v>
      </c>
      <c r="AI12" s="5">
        <f t="shared" si="0"/>
        <v>25</v>
      </c>
      <c r="AJ12" s="21"/>
      <c r="AK12" s="14">
        <f t="shared" si="1"/>
        <v>0</v>
      </c>
      <c r="AL12" s="2" t="s">
        <v>76</v>
      </c>
    </row>
    <row r="13" spans="1:38" ht="19.899999999999999" customHeight="1" x14ac:dyDescent="0.25">
      <c r="A13" s="2">
        <v>11</v>
      </c>
      <c r="B13" s="2" t="s">
        <v>24</v>
      </c>
      <c r="C13" s="4" t="s">
        <v>25</v>
      </c>
      <c r="D13" s="2" t="s">
        <v>9</v>
      </c>
      <c r="E13" s="23" t="s">
        <v>11</v>
      </c>
      <c r="F13" s="23" t="s">
        <v>11</v>
      </c>
      <c r="G13" s="13" t="s">
        <v>11</v>
      </c>
      <c r="H13" s="23" t="s">
        <v>11</v>
      </c>
      <c r="I13" s="13" t="s">
        <v>515</v>
      </c>
      <c r="J13" s="23" t="s">
        <v>11</v>
      </c>
      <c r="K13" s="23" t="s">
        <v>10</v>
      </c>
      <c r="L13" s="23" t="s">
        <v>11</v>
      </c>
      <c r="M13" s="23" t="s">
        <v>11</v>
      </c>
      <c r="N13" s="13" t="s">
        <v>11</v>
      </c>
      <c r="O13" s="23" t="s">
        <v>11</v>
      </c>
      <c r="P13" s="23" t="s">
        <v>11</v>
      </c>
      <c r="Q13" s="23" t="s">
        <v>11</v>
      </c>
      <c r="R13" s="23" t="s">
        <v>10</v>
      </c>
      <c r="S13" s="23" t="s">
        <v>11</v>
      </c>
      <c r="T13" s="23" t="s">
        <v>11</v>
      </c>
      <c r="U13" s="13" t="s">
        <v>11</v>
      </c>
      <c r="V13" s="23" t="s">
        <v>11</v>
      </c>
      <c r="W13" s="23" t="s">
        <v>11</v>
      </c>
      <c r="X13" s="23" t="s">
        <v>11</v>
      </c>
      <c r="Y13" s="23" t="s">
        <v>10</v>
      </c>
      <c r="Z13" s="23" t="s">
        <v>11</v>
      </c>
      <c r="AA13" s="23" t="s">
        <v>11</v>
      </c>
      <c r="AB13" s="13" t="s">
        <v>11</v>
      </c>
      <c r="AC13" s="23" t="s">
        <v>11</v>
      </c>
      <c r="AD13" s="23" t="s">
        <v>11</v>
      </c>
      <c r="AE13" s="23" t="s">
        <v>11</v>
      </c>
      <c r="AF13" s="13" t="s">
        <v>10</v>
      </c>
      <c r="AG13" s="13" t="s">
        <v>11</v>
      </c>
      <c r="AH13" s="13" t="s">
        <v>11</v>
      </c>
      <c r="AI13" s="5">
        <f t="shared" si="0"/>
        <v>25</v>
      </c>
      <c r="AJ13" s="21"/>
      <c r="AK13" s="14">
        <f t="shared" si="1"/>
        <v>0</v>
      </c>
      <c r="AL13" s="2" t="s">
        <v>424</v>
      </c>
    </row>
    <row r="14" spans="1:38" ht="19.899999999999999" customHeight="1" x14ac:dyDescent="0.25">
      <c r="A14" s="2">
        <v>12</v>
      </c>
      <c r="B14" s="7" t="s">
        <v>22</v>
      </c>
      <c r="C14" s="4" t="s">
        <v>23</v>
      </c>
      <c r="D14" s="2" t="s">
        <v>9</v>
      </c>
      <c r="E14" s="23" t="s">
        <v>11</v>
      </c>
      <c r="F14" s="23" t="s">
        <v>11</v>
      </c>
      <c r="G14" s="13" t="s">
        <v>11</v>
      </c>
      <c r="H14" s="23" t="s">
        <v>11</v>
      </c>
      <c r="I14" s="13" t="s">
        <v>515</v>
      </c>
      <c r="J14" s="23" t="s">
        <v>11</v>
      </c>
      <c r="K14" s="23" t="s">
        <v>10</v>
      </c>
      <c r="L14" s="23" t="s">
        <v>11</v>
      </c>
      <c r="M14" s="23" t="s">
        <v>11</v>
      </c>
      <c r="N14" s="13" t="s">
        <v>11</v>
      </c>
      <c r="O14" s="23" t="s">
        <v>11</v>
      </c>
      <c r="P14" s="23" t="s">
        <v>11</v>
      </c>
      <c r="Q14" s="23" t="s">
        <v>11</v>
      </c>
      <c r="R14" s="23" t="s">
        <v>10</v>
      </c>
      <c r="S14" s="23" t="s">
        <v>11</v>
      </c>
      <c r="T14" s="23" t="s">
        <v>11</v>
      </c>
      <c r="U14" s="13" t="s">
        <v>11</v>
      </c>
      <c r="V14" s="23" t="s">
        <v>11</v>
      </c>
      <c r="W14" s="23" t="s">
        <v>11</v>
      </c>
      <c r="X14" s="23" t="s">
        <v>11</v>
      </c>
      <c r="Y14" s="23" t="s">
        <v>10</v>
      </c>
      <c r="Z14" s="23" t="s">
        <v>11</v>
      </c>
      <c r="AA14" s="23" t="s">
        <v>11</v>
      </c>
      <c r="AB14" s="13" t="s">
        <v>11</v>
      </c>
      <c r="AC14" s="23" t="s">
        <v>11</v>
      </c>
      <c r="AD14" s="23" t="s">
        <v>11</v>
      </c>
      <c r="AE14" s="23" t="s">
        <v>11</v>
      </c>
      <c r="AF14" s="13" t="s">
        <v>10</v>
      </c>
      <c r="AG14" s="13" t="s">
        <v>11</v>
      </c>
      <c r="AH14" s="13" t="s">
        <v>11</v>
      </c>
      <c r="AI14" s="5">
        <f t="shared" si="0"/>
        <v>25</v>
      </c>
      <c r="AJ14" s="21"/>
      <c r="AK14" s="14">
        <f t="shared" si="1"/>
        <v>0</v>
      </c>
      <c r="AL14" s="2" t="s">
        <v>519</v>
      </c>
    </row>
    <row r="15" spans="1:38" ht="19.899999999999999" customHeight="1" x14ac:dyDescent="0.25">
      <c r="A15" s="2">
        <v>13</v>
      </c>
      <c r="B15" s="7" t="s">
        <v>55</v>
      </c>
      <c r="C15" s="4" t="s">
        <v>56</v>
      </c>
      <c r="D15" s="2" t="s">
        <v>9</v>
      </c>
      <c r="E15" s="23" t="s">
        <v>11</v>
      </c>
      <c r="F15" s="23" t="s">
        <v>11</v>
      </c>
      <c r="G15" s="13" t="s">
        <v>11</v>
      </c>
      <c r="H15" s="23" t="s">
        <v>11</v>
      </c>
      <c r="I15" s="13" t="s">
        <v>515</v>
      </c>
      <c r="J15" s="23" t="s">
        <v>11</v>
      </c>
      <c r="K15" s="23" t="s">
        <v>10</v>
      </c>
      <c r="L15" s="23" t="s">
        <v>11</v>
      </c>
      <c r="M15" s="23" t="s">
        <v>11</v>
      </c>
      <c r="N15" s="13" t="s">
        <v>11</v>
      </c>
      <c r="O15" s="23" t="s">
        <v>11</v>
      </c>
      <c r="P15" s="23" t="s">
        <v>11</v>
      </c>
      <c r="Q15" s="23" t="s">
        <v>11</v>
      </c>
      <c r="R15" s="23" t="s">
        <v>10</v>
      </c>
      <c r="S15" s="23" t="s">
        <v>11</v>
      </c>
      <c r="T15" s="23" t="s">
        <v>11</v>
      </c>
      <c r="U15" s="13" t="s">
        <v>11</v>
      </c>
      <c r="V15" s="23" t="s">
        <v>11</v>
      </c>
      <c r="W15" s="23" t="s">
        <v>11</v>
      </c>
      <c r="X15" s="23" t="s">
        <v>11</v>
      </c>
      <c r="Y15" s="23" t="s">
        <v>10</v>
      </c>
      <c r="Z15" s="23" t="s">
        <v>11</v>
      </c>
      <c r="AA15" s="23" t="s">
        <v>11</v>
      </c>
      <c r="AB15" s="13" t="s">
        <v>11</v>
      </c>
      <c r="AC15" s="23" t="s">
        <v>11</v>
      </c>
      <c r="AD15" s="23" t="s">
        <v>11</v>
      </c>
      <c r="AE15" s="23" t="s">
        <v>11</v>
      </c>
      <c r="AF15" s="13" t="s">
        <v>10</v>
      </c>
      <c r="AG15" s="13" t="s">
        <v>11</v>
      </c>
      <c r="AH15" s="13" t="s">
        <v>11</v>
      </c>
      <c r="AI15" s="5">
        <f t="shared" si="0"/>
        <v>25</v>
      </c>
      <c r="AJ15" s="21"/>
      <c r="AK15" s="14">
        <f t="shared" si="1"/>
        <v>0</v>
      </c>
      <c r="AL15" s="2" t="s">
        <v>518</v>
      </c>
    </row>
    <row r="16" spans="1:38" ht="19.899999999999999" customHeight="1" x14ac:dyDescent="0.25">
      <c r="A16" s="2">
        <v>14</v>
      </c>
      <c r="B16" s="7" t="s">
        <v>57</v>
      </c>
      <c r="C16" s="4" t="s">
        <v>58</v>
      </c>
      <c r="D16" s="2" t="s">
        <v>9</v>
      </c>
      <c r="E16" s="23" t="s">
        <v>11</v>
      </c>
      <c r="F16" s="23" t="s">
        <v>11</v>
      </c>
      <c r="G16" s="13" t="s">
        <v>11</v>
      </c>
      <c r="H16" s="23" t="s">
        <v>11</v>
      </c>
      <c r="I16" s="13" t="s">
        <v>515</v>
      </c>
      <c r="J16" s="23" t="s">
        <v>11</v>
      </c>
      <c r="K16" s="23" t="s">
        <v>10</v>
      </c>
      <c r="L16" s="23" t="s">
        <v>11</v>
      </c>
      <c r="M16" s="23" t="s">
        <v>11</v>
      </c>
      <c r="N16" s="13" t="s">
        <v>11</v>
      </c>
      <c r="O16" s="23" t="s">
        <v>11</v>
      </c>
      <c r="P16" s="23" t="s">
        <v>11</v>
      </c>
      <c r="Q16" s="23" t="s">
        <v>11</v>
      </c>
      <c r="R16" s="23" t="s">
        <v>10</v>
      </c>
      <c r="S16" s="23" t="s">
        <v>11</v>
      </c>
      <c r="T16" s="23" t="s">
        <v>11</v>
      </c>
      <c r="U16" s="13" t="s">
        <v>11</v>
      </c>
      <c r="V16" s="23" t="s">
        <v>11</v>
      </c>
      <c r="W16" s="23" t="s">
        <v>11</v>
      </c>
      <c r="X16" s="23" t="s">
        <v>11</v>
      </c>
      <c r="Y16" s="23" t="s">
        <v>10</v>
      </c>
      <c r="Z16" s="23" t="s">
        <v>11</v>
      </c>
      <c r="AA16" s="23" t="s">
        <v>11</v>
      </c>
      <c r="AB16" s="13" t="s">
        <v>11</v>
      </c>
      <c r="AC16" s="23" t="s">
        <v>11</v>
      </c>
      <c r="AD16" s="23" t="s">
        <v>11</v>
      </c>
      <c r="AE16" s="23" t="s">
        <v>11</v>
      </c>
      <c r="AF16" s="13" t="s">
        <v>10</v>
      </c>
      <c r="AG16" s="13" t="s">
        <v>11</v>
      </c>
      <c r="AH16" s="13" t="s">
        <v>11</v>
      </c>
      <c r="AI16" s="5">
        <f t="shared" si="0"/>
        <v>25</v>
      </c>
      <c r="AJ16" s="21"/>
      <c r="AK16" s="14">
        <f t="shared" si="1"/>
        <v>0</v>
      </c>
      <c r="AL16" s="2" t="s">
        <v>476</v>
      </c>
    </row>
    <row r="17" spans="1:38" ht="19.899999999999999" customHeight="1" x14ac:dyDescent="0.25">
      <c r="A17" s="2">
        <v>15</v>
      </c>
      <c r="B17" s="7" t="s">
        <v>66</v>
      </c>
      <c r="C17" s="4" t="s">
        <v>67</v>
      </c>
      <c r="D17" s="2" t="s">
        <v>9</v>
      </c>
      <c r="E17" s="23" t="s">
        <v>11</v>
      </c>
      <c r="F17" s="23" t="s">
        <v>11</v>
      </c>
      <c r="G17" s="13" t="s">
        <v>11</v>
      </c>
      <c r="H17" s="23" t="s">
        <v>11</v>
      </c>
      <c r="I17" s="13" t="s">
        <v>515</v>
      </c>
      <c r="J17" s="23" t="s">
        <v>11</v>
      </c>
      <c r="K17" s="23" t="s">
        <v>10</v>
      </c>
      <c r="L17" s="23" t="s">
        <v>11</v>
      </c>
      <c r="M17" s="23" t="s">
        <v>11</v>
      </c>
      <c r="N17" s="13" t="s">
        <v>11</v>
      </c>
      <c r="O17" s="23" t="s">
        <v>11</v>
      </c>
      <c r="P17" s="23" t="s">
        <v>11</v>
      </c>
      <c r="Q17" s="23" t="s">
        <v>11</v>
      </c>
      <c r="R17" s="23" t="s">
        <v>10</v>
      </c>
      <c r="S17" s="23" t="s">
        <v>11</v>
      </c>
      <c r="T17" s="23" t="s">
        <v>11</v>
      </c>
      <c r="U17" s="13" t="s">
        <v>11</v>
      </c>
      <c r="V17" s="23" t="s">
        <v>11</v>
      </c>
      <c r="W17" s="23" t="s">
        <v>11</v>
      </c>
      <c r="X17" s="23" t="s">
        <v>11</v>
      </c>
      <c r="Y17" s="23" t="s">
        <v>10</v>
      </c>
      <c r="Z17" s="23" t="s">
        <v>11</v>
      </c>
      <c r="AA17" s="23" t="s">
        <v>11</v>
      </c>
      <c r="AB17" s="13" t="s">
        <v>11</v>
      </c>
      <c r="AC17" s="23" t="s">
        <v>11</v>
      </c>
      <c r="AD17" s="23" t="s">
        <v>11</v>
      </c>
      <c r="AE17" s="23" t="s">
        <v>11</v>
      </c>
      <c r="AF17" s="13" t="s">
        <v>10</v>
      </c>
      <c r="AG17" s="13" t="s">
        <v>11</v>
      </c>
      <c r="AH17" s="13" t="s">
        <v>11</v>
      </c>
      <c r="AI17" s="5">
        <f t="shared" si="0"/>
        <v>25</v>
      </c>
      <c r="AJ17" s="21"/>
      <c r="AK17" s="14">
        <f t="shared" si="1"/>
        <v>0</v>
      </c>
      <c r="AL17" s="2" t="s">
        <v>520</v>
      </c>
    </row>
    <row r="18" spans="1:38" ht="19.899999999999999" customHeight="1" x14ac:dyDescent="0.25">
      <c r="A18" s="2">
        <v>16</v>
      </c>
      <c r="B18" s="2" t="s">
        <v>20</v>
      </c>
      <c r="C18" s="4" t="s">
        <v>21</v>
      </c>
      <c r="D18" s="2" t="s">
        <v>9</v>
      </c>
      <c r="E18" s="23" t="s">
        <v>11</v>
      </c>
      <c r="F18" s="23" t="s">
        <v>11</v>
      </c>
      <c r="G18" s="13" t="s">
        <v>11</v>
      </c>
      <c r="H18" s="23" t="s">
        <v>11</v>
      </c>
      <c r="I18" s="13" t="s">
        <v>515</v>
      </c>
      <c r="J18" s="23" t="s">
        <v>11</v>
      </c>
      <c r="K18" s="23" t="s">
        <v>10</v>
      </c>
      <c r="L18" s="23" t="s">
        <v>11</v>
      </c>
      <c r="M18" s="23" t="s">
        <v>11</v>
      </c>
      <c r="N18" s="13" t="s">
        <v>11</v>
      </c>
      <c r="O18" s="23" t="s">
        <v>11</v>
      </c>
      <c r="P18" s="23" t="s">
        <v>11</v>
      </c>
      <c r="Q18" s="23" t="s">
        <v>11</v>
      </c>
      <c r="R18" s="23" t="s">
        <v>10</v>
      </c>
      <c r="S18" s="23" t="s">
        <v>11</v>
      </c>
      <c r="T18" s="23" t="s">
        <v>11</v>
      </c>
      <c r="U18" s="13" t="s">
        <v>11</v>
      </c>
      <c r="V18" s="23" t="s">
        <v>11</v>
      </c>
      <c r="W18" s="23" t="s">
        <v>11</v>
      </c>
      <c r="X18" s="23" t="s">
        <v>11</v>
      </c>
      <c r="Y18" s="23" t="s">
        <v>10</v>
      </c>
      <c r="Z18" s="23" t="s">
        <v>11</v>
      </c>
      <c r="AA18" s="23" t="s">
        <v>11</v>
      </c>
      <c r="AB18" s="13" t="s">
        <v>11</v>
      </c>
      <c r="AC18" s="23" t="s">
        <v>11</v>
      </c>
      <c r="AD18" s="23" t="s">
        <v>11</v>
      </c>
      <c r="AE18" s="23" t="s">
        <v>11</v>
      </c>
      <c r="AF18" s="13" t="s">
        <v>10</v>
      </c>
      <c r="AG18" s="13" t="s">
        <v>11</v>
      </c>
      <c r="AH18" s="13" t="s">
        <v>11</v>
      </c>
      <c r="AI18" s="5">
        <f t="shared" si="0"/>
        <v>25</v>
      </c>
      <c r="AJ18" s="21"/>
      <c r="AK18" s="14">
        <f t="shared" si="1"/>
        <v>0</v>
      </c>
      <c r="AL18" s="2" t="s">
        <v>79</v>
      </c>
    </row>
    <row r="19" spans="1:38" ht="19.899999999999999" customHeight="1" x14ac:dyDescent="0.25">
      <c r="A19" s="2">
        <v>17</v>
      </c>
      <c r="B19" s="2" t="s">
        <v>16</v>
      </c>
      <c r="C19" s="4" t="s">
        <v>17</v>
      </c>
      <c r="D19" s="2" t="s">
        <v>9</v>
      </c>
      <c r="E19" s="23" t="s">
        <v>11</v>
      </c>
      <c r="F19" s="23" t="s">
        <v>11</v>
      </c>
      <c r="G19" s="13" t="s">
        <v>11</v>
      </c>
      <c r="H19" s="23" t="s">
        <v>11</v>
      </c>
      <c r="I19" s="13" t="s">
        <v>515</v>
      </c>
      <c r="J19" s="23" t="s">
        <v>11</v>
      </c>
      <c r="K19" s="23" t="s">
        <v>10</v>
      </c>
      <c r="L19" s="23" t="s">
        <v>11</v>
      </c>
      <c r="M19" s="23" t="s">
        <v>11</v>
      </c>
      <c r="N19" s="13" t="s">
        <v>11</v>
      </c>
      <c r="O19" s="23" t="s">
        <v>11</v>
      </c>
      <c r="P19" s="23" t="s">
        <v>11</v>
      </c>
      <c r="Q19" s="23" t="s">
        <v>11</v>
      </c>
      <c r="R19" s="23" t="s">
        <v>10</v>
      </c>
      <c r="S19" s="23" t="s">
        <v>11</v>
      </c>
      <c r="T19" s="23" t="s">
        <v>11</v>
      </c>
      <c r="U19" s="13" t="s">
        <v>11</v>
      </c>
      <c r="V19" s="23" t="s">
        <v>11</v>
      </c>
      <c r="W19" s="23" t="s">
        <v>11</v>
      </c>
      <c r="X19" s="23" t="s">
        <v>11</v>
      </c>
      <c r="Y19" s="23" t="s">
        <v>10</v>
      </c>
      <c r="Z19" s="23" t="s">
        <v>11</v>
      </c>
      <c r="AA19" s="23" t="s">
        <v>11</v>
      </c>
      <c r="AB19" s="13" t="s">
        <v>11</v>
      </c>
      <c r="AC19" s="23" t="s">
        <v>11</v>
      </c>
      <c r="AD19" s="23" t="s">
        <v>11</v>
      </c>
      <c r="AE19" s="23" t="s">
        <v>11</v>
      </c>
      <c r="AF19" s="13" t="s">
        <v>10</v>
      </c>
      <c r="AG19" s="13" t="s">
        <v>11</v>
      </c>
      <c r="AH19" s="13" t="s">
        <v>11</v>
      </c>
      <c r="AI19" s="5">
        <f t="shared" si="0"/>
        <v>25</v>
      </c>
      <c r="AJ19" s="21"/>
      <c r="AK19" s="14">
        <f t="shared" si="1"/>
        <v>0</v>
      </c>
      <c r="AL19" s="2" t="s">
        <v>78</v>
      </c>
    </row>
    <row r="20" spans="1:38" ht="19.899999999999999" customHeight="1" x14ac:dyDescent="0.25">
      <c r="A20" s="2">
        <v>18</v>
      </c>
      <c r="B20" s="2" t="s">
        <v>34</v>
      </c>
      <c r="C20" s="4" t="s">
        <v>35</v>
      </c>
      <c r="D20" s="2" t="s">
        <v>9</v>
      </c>
      <c r="E20" s="23" t="s">
        <v>11</v>
      </c>
      <c r="F20" s="23" t="s">
        <v>11</v>
      </c>
      <c r="G20" s="13" t="s">
        <v>11</v>
      </c>
      <c r="H20" s="23" t="s">
        <v>11</v>
      </c>
      <c r="I20" s="13" t="s">
        <v>515</v>
      </c>
      <c r="J20" s="23" t="s">
        <v>11</v>
      </c>
      <c r="K20" s="23" t="s">
        <v>10</v>
      </c>
      <c r="L20" s="23" t="s">
        <v>11</v>
      </c>
      <c r="M20" s="23" t="s">
        <v>11</v>
      </c>
      <c r="N20" s="13" t="s">
        <v>11</v>
      </c>
      <c r="O20" s="23" t="s">
        <v>11</v>
      </c>
      <c r="P20" s="23" t="s">
        <v>11</v>
      </c>
      <c r="Q20" s="23" t="s">
        <v>11</v>
      </c>
      <c r="R20" s="23" t="s">
        <v>10</v>
      </c>
      <c r="S20" s="23" t="s">
        <v>11</v>
      </c>
      <c r="T20" s="23" t="s">
        <v>11</v>
      </c>
      <c r="U20" s="13" t="s">
        <v>11</v>
      </c>
      <c r="V20" s="23" t="s">
        <v>11</v>
      </c>
      <c r="W20" s="23" t="s">
        <v>11</v>
      </c>
      <c r="X20" s="23" t="s">
        <v>11</v>
      </c>
      <c r="Y20" s="23" t="s">
        <v>10</v>
      </c>
      <c r="Z20" s="23" t="s">
        <v>11</v>
      </c>
      <c r="AA20" s="23" t="s">
        <v>11</v>
      </c>
      <c r="AB20" s="13" t="s">
        <v>11</v>
      </c>
      <c r="AC20" s="23" t="s">
        <v>11</v>
      </c>
      <c r="AD20" s="23" t="s">
        <v>11</v>
      </c>
      <c r="AE20" s="23" t="s">
        <v>11</v>
      </c>
      <c r="AF20" s="13" t="s">
        <v>10</v>
      </c>
      <c r="AG20" s="13" t="s">
        <v>11</v>
      </c>
      <c r="AH20" s="13" t="s">
        <v>11</v>
      </c>
      <c r="AI20" s="5">
        <f t="shared" si="0"/>
        <v>25</v>
      </c>
      <c r="AJ20" s="21"/>
      <c r="AK20" s="14">
        <f t="shared" si="1"/>
        <v>0</v>
      </c>
      <c r="AL20" s="2" t="s">
        <v>423</v>
      </c>
    </row>
    <row r="21" spans="1:38" ht="19.899999999999999" customHeight="1" x14ac:dyDescent="0.25">
      <c r="A21" s="2">
        <v>19</v>
      </c>
      <c r="B21" s="7" t="s">
        <v>38</v>
      </c>
      <c r="C21" s="4" t="s">
        <v>39</v>
      </c>
      <c r="D21" s="2" t="s">
        <v>9</v>
      </c>
      <c r="E21" s="23" t="s">
        <v>11</v>
      </c>
      <c r="F21" s="23" t="s">
        <v>11</v>
      </c>
      <c r="G21" s="13" t="s">
        <v>11</v>
      </c>
      <c r="H21" s="23" t="s">
        <v>11</v>
      </c>
      <c r="I21" s="13" t="s">
        <v>515</v>
      </c>
      <c r="J21" s="23" t="s">
        <v>11</v>
      </c>
      <c r="K21" s="23" t="s">
        <v>10</v>
      </c>
      <c r="L21" s="23" t="s">
        <v>11</v>
      </c>
      <c r="M21" s="23" t="s">
        <v>11</v>
      </c>
      <c r="N21" s="13" t="s">
        <v>11</v>
      </c>
      <c r="O21" s="23" t="s">
        <v>11</v>
      </c>
      <c r="P21" s="23" t="s">
        <v>11</v>
      </c>
      <c r="Q21" s="23" t="s">
        <v>11</v>
      </c>
      <c r="R21" s="23" t="s">
        <v>10</v>
      </c>
      <c r="S21" s="23" t="s">
        <v>11</v>
      </c>
      <c r="T21" s="23" t="s">
        <v>11</v>
      </c>
      <c r="U21" s="13" t="s">
        <v>11</v>
      </c>
      <c r="V21" s="23" t="s">
        <v>11</v>
      </c>
      <c r="W21" s="23" t="s">
        <v>11</v>
      </c>
      <c r="X21" s="23" t="s">
        <v>11</v>
      </c>
      <c r="Y21" s="23" t="s">
        <v>10</v>
      </c>
      <c r="Z21" s="23" t="s">
        <v>11</v>
      </c>
      <c r="AA21" s="23" t="s">
        <v>11</v>
      </c>
      <c r="AB21" s="13" t="s">
        <v>11</v>
      </c>
      <c r="AC21" s="23" t="s">
        <v>11</v>
      </c>
      <c r="AD21" s="23" t="s">
        <v>11</v>
      </c>
      <c r="AE21" s="23" t="s">
        <v>11</v>
      </c>
      <c r="AF21" s="13" t="s">
        <v>10</v>
      </c>
      <c r="AG21" s="13" t="s">
        <v>11</v>
      </c>
      <c r="AH21" s="13" t="s">
        <v>11</v>
      </c>
      <c r="AI21" s="5">
        <f t="shared" si="0"/>
        <v>25</v>
      </c>
      <c r="AJ21" s="21"/>
      <c r="AK21" s="14">
        <f t="shared" si="1"/>
        <v>0</v>
      </c>
      <c r="AL21" s="2" t="s">
        <v>517</v>
      </c>
    </row>
    <row r="22" spans="1:38" ht="19.899999999999999" customHeight="1" x14ac:dyDescent="0.25">
      <c r="A22" s="2">
        <v>20</v>
      </c>
      <c r="B22" s="7" t="s">
        <v>36</v>
      </c>
      <c r="C22" s="4" t="s">
        <v>37</v>
      </c>
      <c r="D22" s="2" t="s">
        <v>9</v>
      </c>
      <c r="E22" s="23" t="s">
        <v>11</v>
      </c>
      <c r="F22" s="23" t="s">
        <v>11</v>
      </c>
      <c r="G22" s="13" t="s">
        <v>11</v>
      </c>
      <c r="H22" s="23" t="s">
        <v>11</v>
      </c>
      <c r="I22" s="13" t="s">
        <v>515</v>
      </c>
      <c r="J22" s="23" t="s">
        <v>11</v>
      </c>
      <c r="K22" s="23" t="s">
        <v>10</v>
      </c>
      <c r="L22" s="23" t="s">
        <v>11</v>
      </c>
      <c r="M22" s="23" t="s">
        <v>11</v>
      </c>
      <c r="N22" s="13" t="s">
        <v>11</v>
      </c>
      <c r="O22" s="23" t="s">
        <v>11</v>
      </c>
      <c r="P22" s="23" t="s">
        <v>11</v>
      </c>
      <c r="Q22" s="23" t="s">
        <v>11</v>
      </c>
      <c r="R22" s="23" t="s">
        <v>10</v>
      </c>
      <c r="S22" s="23" t="s">
        <v>11</v>
      </c>
      <c r="T22" s="23" t="s">
        <v>11</v>
      </c>
      <c r="U22" s="13" t="s">
        <v>11</v>
      </c>
      <c r="V22" s="23" t="s">
        <v>11</v>
      </c>
      <c r="W22" s="23" t="s">
        <v>11</v>
      </c>
      <c r="X22" s="23" t="s">
        <v>11</v>
      </c>
      <c r="Y22" s="23" t="s">
        <v>10</v>
      </c>
      <c r="Z22" s="23" t="s">
        <v>11</v>
      </c>
      <c r="AA22" s="23" t="s">
        <v>11</v>
      </c>
      <c r="AB22" s="13" t="s">
        <v>11</v>
      </c>
      <c r="AC22" s="23" t="s">
        <v>11</v>
      </c>
      <c r="AD22" s="23" t="s">
        <v>11</v>
      </c>
      <c r="AE22" s="23" t="s">
        <v>11</v>
      </c>
      <c r="AF22" s="13" t="s">
        <v>10</v>
      </c>
      <c r="AG22" s="13" t="s">
        <v>11</v>
      </c>
      <c r="AH22" s="13" t="s">
        <v>11</v>
      </c>
      <c r="AI22" s="5">
        <f t="shared" si="0"/>
        <v>25</v>
      </c>
      <c r="AJ22" s="21"/>
      <c r="AK22" s="14">
        <f t="shared" si="1"/>
        <v>0</v>
      </c>
      <c r="AL22" s="2" t="s">
        <v>80</v>
      </c>
    </row>
    <row r="23" spans="1:38" ht="19.899999999999999" customHeight="1" x14ac:dyDescent="0.25">
      <c r="A23" s="2">
        <v>21</v>
      </c>
      <c r="B23" s="7" t="s">
        <v>43</v>
      </c>
      <c r="C23" s="4" t="s">
        <v>44</v>
      </c>
      <c r="D23" s="2" t="s">
        <v>9</v>
      </c>
      <c r="E23" s="23" t="s">
        <v>11</v>
      </c>
      <c r="F23" s="23" t="s">
        <v>11</v>
      </c>
      <c r="G23" s="13" t="s">
        <v>11</v>
      </c>
      <c r="H23" s="23" t="s">
        <v>11</v>
      </c>
      <c r="I23" s="13" t="s">
        <v>515</v>
      </c>
      <c r="J23" s="23" t="s">
        <v>11</v>
      </c>
      <c r="K23" s="23" t="s">
        <v>10</v>
      </c>
      <c r="L23" s="23" t="s">
        <v>11</v>
      </c>
      <c r="M23" s="23" t="s">
        <v>11</v>
      </c>
      <c r="N23" s="13" t="s">
        <v>11</v>
      </c>
      <c r="O23" s="23" t="s">
        <v>11</v>
      </c>
      <c r="P23" s="23" t="s">
        <v>11</v>
      </c>
      <c r="Q23" s="23" t="s">
        <v>11</v>
      </c>
      <c r="R23" s="23" t="s">
        <v>10</v>
      </c>
      <c r="S23" s="23" t="s">
        <v>11</v>
      </c>
      <c r="T23" s="23" t="s">
        <v>11</v>
      </c>
      <c r="U23" s="13" t="s">
        <v>11</v>
      </c>
      <c r="V23" s="23" t="s">
        <v>11</v>
      </c>
      <c r="W23" s="23" t="s">
        <v>11</v>
      </c>
      <c r="X23" s="23" t="s">
        <v>11</v>
      </c>
      <c r="Y23" s="23" t="s">
        <v>10</v>
      </c>
      <c r="Z23" s="23" t="s">
        <v>11</v>
      </c>
      <c r="AA23" s="23" t="s">
        <v>11</v>
      </c>
      <c r="AB23" s="13" t="s">
        <v>11</v>
      </c>
      <c r="AC23" s="23" t="s">
        <v>11</v>
      </c>
      <c r="AD23" s="23" t="s">
        <v>11</v>
      </c>
      <c r="AE23" s="23" t="s">
        <v>11</v>
      </c>
      <c r="AF23" s="13" t="s">
        <v>10</v>
      </c>
      <c r="AG23" s="13" t="s">
        <v>11</v>
      </c>
      <c r="AH23" s="13" t="s">
        <v>11</v>
      </c>
      <c r="AI23" s="5">
        <f t="shared" si="0"/>
        <v>25</v>
      </c>
      <c r="AJ23" s="21"/>
      <c r="AK23" s="14">
        <f t="shared" si="1"/>
        <v>0</v>
      </c>
      <c r="AL23" s="2" t="s">
        <v>77</v>
      </c>
    </row>
    <row r="24" spans="1:38" ht="19.899999999999999" customHeight="1" x14ac:dyDescent="0.25">
      <c r="A24" s="2">
        <v>22</v>
      </c>
      <c r="B24" s="7" t="s">
        <v>40</v>
      </c>
      <c r="C24" s="4" t="s">
        <v>41</v>
      </c>
      <c r="D24" s="2" t="s">
        <v>9</v>
      </c>
      <c r="E24" s="23" t="s">
        <v>11</v>
      </c>
      <c r="F24" s="23" t="s">
        <v>11</v>
      </c>
      <c r="G24" s="13" t="s">
        <v>11</v>
      </c>
      <c r="H24" s="23" t="s">
        <v>11</v>
      </c>
      <c r="I24" s="13" t="s">
        <v>515</v>
      </c>
      <c r="J24" s="23" t="s">
        <v>11</v>
      </c>
      <c r="K24" s="23" t="s">
        <v>10</v>
      </c>
      <c r="L24" s="23" t="s">
        <v>11</v>
      </c>
      <c r="M24" s="23" t="s">
        <v>11</v>
      </c>
      <c r="N24" s="13" t="s">
        <v>11</v>
      </c>
      <c r="O24" s="23" t="s">
        <v>11</v>
      </c>
      <c r="P24" s="23" t="s">
        <v>11</v>
      </c>
      <c r="Q24" s="23" t="s">
        <v>11</v>
      </c>
      <c r="R24" s="23" t="s">
        <v>10</v>
      </c>
      <c r="S24" s="23" t="s">
        <v>11</v>
      </c>
      <c r="T24" s="23" t="s">
        <v>11</v>
      </c>
      <c r="U24" s="13" t="s">
        <v>11</v>
      </c>
      <c r="V24" s="23" t="s">
        <v>11</v>
      </c>
      <c r="W24" s="23" t="s">
        <v>11</v>
      </c>
      <c r="X24" s="23" t="s">
        <v>11</v>
      </c>
      <c r="Y24" s="23" t="s">
        <v>10</v>
      </c>
      <c r="Z24" s="23" t="s">
        <v>11</v>
      </c>
      <c r="AA24" s="23" t="s">
        <v>11</v>
      </c>
      <c r="AB24" s="13" t="s">
        <v>11</v>
      </c>
      <c r="AC24" s="23" t="s">
        <v>11</v>
      </c>
      <c r="AD24" s="23" t="s">
        <v>11</v>
      </c>
      <c r="AE24" s="23" t="s">
        <v>11</v>
      </c>
      <c r="AF24" s="13" t="s">
        <v>10</v>
      </c>
      <c r="AG24" s="13" t="s">
        <v>11</v>
      </c>
      <c r="AH24" s="13" t="s">
        <v>11</v>
      </c>
      <c r="AI24" s="5">
        <f t="shared" si="0"/>
        <v>25</v>
      </c>
      <c r="AJ24" s="21"/>
      <c r="AK24" s="14">
        <f t="shared" si="1"/>
        <v>0</v>
      </c>
      <c r="AL24" s="2" t="s">
        <v>83</v>
      </c>
    </row>
    <row r="25" spans="1:38" ht="19.899999999999999" customHeight="1" x14ac:dyDescent="0.25">
      <c r="A25" s="2">
        <v>23</v>
      </c>
      <c r="B25" s="32" t="s">
        <v>7</v>
      </c>
      <c r="C25" s="27" t="s">
        <v>8</v>
      </c>
      <c r="D25" s="26" t="s">
        <v>9</v>
      </c>
      <c r="E25" s="33" t="s">
        <v>379</v>
      </c>
      <c r="F25" s="33" t="s">
        <v>379</v>
      </c>
      <c r="G25" s="33" t="s">
        <v>379</v>
      </c>
      <c r="H25" s="33" t="s">
        <v>379</v>
      </c>
      <c r="I25" s="33" t="s">
        <v>379</v>
      </c>
      <c r="J25" s="33" t="s">
        <v>379</v>
      </c>
      <c r="K25" s="33" t="s">
        <v>379</v>
      </c>
      <c r="L25" s="33" t="s">
        <v>379</v>
      </c>
      <c r="M25" s="33" t="s">
        <v>379</v>
      </c>
      <c r="N25" s="33" t="s">
        <v>379</v>
      </c>
      <c r="O25" s="33" t="s">
        <v>379</v>
      </c>
      <c r="P25" s="33" t="s">
        <v>379</v>
      </c>
      <c r="Q25" s="33" t="s">
        <v>379</v>
      </c>
      <c r="R25" s="33" t="s">
        <v>379</v>
      </c>
      <c r="S25" s="33" t="s">
        <v>379</v>
      </c>
      <c r="T25" s="33" t="s">
        <v>379</v>
      </c>
      <c r="U25" s="33" t="s">
        <v>379</v>
      </c>
      <c r="V25" s="33" t="s">
        <v>379</v>
      </c>
      <c r="W25" s="33" t="s">
        <v>379</v>
      </c>
      <c r="X25" s="33" t="s">
        <v>379</v>
      </c>
      <c r="Y25" s="33" t="s">
        <v>379</v>
      </c>
      <c r="Z25" s="33" t="s">
        <v>379</v>
      </c>
      <c r="AA25" s="33" t="s">
        <v>379</v>
      </c>
      <c r="AB25" s="33" t="s">
        <v>379</v>
      </c>
      <c r="AC25" s="33" t="s">
        <v>379</v>
      </c>
      <c r="AD25" s="33" t="s">
        <v>379</v>
      </c>
      <c r="AE25" s="33" t="s">
        <v>379</v>
      </c>
      <c r="AF25" s="33" t="s">
        <v>379</v>
      </c>
      <c r="AG25" s="33" t="s">
        <v>379</v>
      </c>
      <c r="AH25" s="33" t="s">
        <v>379</v>
      </c>
      <c r="AI25" s="5">
        <f t="shared" si="0"/>
        <v>0</v>
      </c>
      <c r="AJ25" s="21"/>
      <c r="AK25" s="14">
        <f t="shared" si="1"/>
        <v>0</v>
      </c>
      <c r="AL25" s="2" t="s">
        <v>376</v>
      </c>
    </row>
    <row r="26" spans="1:38" ht="19.899999999999999" customHeight="1" x14ac:dyDescent="0.25">
      <c r="A26" s="2">
        <v>24</v>
      </c>
      <c r="B26" s="32" t="s">
        <v>72</v>
      </c>
      <c r="C26" s="27" t="s">
        <v>73</v>
      </c>
      <c r="D26" s="26" t="s">
        <v>9</v>
      </c>
      <c r="E26" s="33" t="s">
        <v>379</v>
      </c>
      <c r="F26" s="33" t="s">
        <v>379</v>
      </c>
      <c r="G26" s="33" t="s">
        <v>379</v>
      </c>
      <c r="H26" s="33" t="s">
        <v>379</v>
      </c>
      <c r="I26" s="33" t="s">
        <v>379</v>
      </c>
      <c r="J26" s="33" t="s">
        <v>379</v>
      </c>
      <c r="K26" s="33" t="s">
        <v>379</v>
      </c>
      <c r="L26" s="33" t="s">
        <v>379</v>
      </c>
      <c r="M26" s="33" t="s">
        <v>379</v>
      </c>
      <c r="N26" s="33" t="s">
        <v>379</v>
      </c>
      <c r="O26" s="33" t="s">
        <v>379</v>
      </c>
      <c r="P26" s="33" t="s">
        <v>379</v>
      </c>
      <c r="Q26" s="33" t="s">
        <v>379</v>
      </c>
      <c r="R26" s="33" t="s">
        <v>379</v>
      </c>
      <c r="S26" s="33" t="s">
        <v>379</v>
      </c>
      <c r="T26" s="33" t="s">
        <v>379</v>
      </c>
      <c r="U26" s="33" t="s">
        <v>379</v>
      </c>
      <c r="V26" s="33" t="s">
        <v>379</v>
      </c>
      <c r="W26" s="33" t="s">
        <v>379</v>
      </c>
      <c r="X26" s="33" t="s">
        <v>379</v>
      </c>
      <c r="Y26" s="33" t="s">
        <v>379</v>
      </c>
      <c r="Z26" s="33" t="s">
        <v>379</v>
      </c>
      <c r="AA26" s="33" t="s">
        <v>379</v>
      </c>
      <c r="AB26" s="33" t="s">
        <v>379</v>
      </c>
      <c r="AC26" s="33" t="s">
        <v>379</v>
      </c>
      <c r="AD26" s="33" t="s">
        <v>379</v>
      </c>
      <c r="AE26" s="33" t="s">
        <v>379</v>
      </c>
      <c r="AF26" s="33" t="s">
        <v>379</v>
      </c>
      <c r="AG26" s="33" t="s">
        <v>379</v>
      </c>
      <c r="AH26" s="33" t="s">
        <v>379</v>
      </c>
      <c r="AI26" s="5">
        <f t="shared" si="0"/>
        <v>0</v>
      </c>
      <c r="AJ26" s="21"/>
      <c r="AK26" s="14">
        <f t="shared" si="1"/>
        <v>0</v>
      </c>
      <c r="AL26" s="2" t="s">
        <v>376</v>
      </c>
    </row>
    <row r="27" spans="1:38" ht="19.899999999999999" customHeight="1" x14ac:dyDescent="0.25">
      <c r="A27" s="2">
        <v>25</v>
      </c>
      <c r="B27" s="32" t="s">
        <v>62</v>
      </c>
      <c r="C27" s="27" t="s">
        <v>63</v>
      </c>
      <c r="D27" s="26" t="s">
        <v>9</v>
      </c>
      <c r="E27" s="33" t="s">
        <v>379</v>
      </c>
      <c r="F27" s="33" t="s">
        <v>379</v>
      </c>
      <c r="G27" s="33" t="s">
        <v>379</v>
      </c>
      <c r="H27" s="33" t="s">
        <v>379</v>
      </c>
      <c r="I27" s="33" t="s">
        <v>379</v>
      </c>
      <c r="J27" s="33" t="s">
        <v>379</v>
      </c>
      <c r="K27" s="33" t="s">
        <v>379</v>
      </c>
      <c r="L27" s="33" t="s">
        <v>379</v>
      </c>
      <c r="M27" s="33" t="s">
        <v>379</v>
      </c>
      <c r="N27" s="33" t="s">
        <v>379</v>
      </c>
      <c r="O27" s="33" t="s">
        <v>379</v>
      </c>
      <c r="P27" s="33" t="s">
        <v>379</v>
      </c>
      <c r="Q27" s="33" t="s">
        <v>379</v>
      </c>
      <c r="R27" s="33" t="s">
        <v>379</v>
      </c>
      <c r="S27" s="33" t="s">
        <v>379</v>
      </c>
      <c r="T27" s="33" t="s">
        <v>379</v>
      </c>
      <c r="U27" s="33" t="s">
        <v>379</v>
      </c>
      <c r="V27" s="33" t="s">
        <v>379</v>
      </c>
      <c r="W27" s="33" t="s">
        <v>379</v>
      </c>
      <c r="X27" s="33" t="s">
        <v>379</v>
      </c>
      <c r="Y27" s="33" t="s">
        <v>379</v>
      </c>
      <c r="Z27" s="33" t="s">
        <v>379</v>
      </c>
      <c r="AA27" s="33" t="s">
        <v>379</v>
      </c>
      <c r="AB27" s="33" t="s">
        <v>379</v>
      </c>
      <c r="AC27" s="33" t="s">
        <v>379</v>
      </c>
      <c r="AD27" s="33" t="s">
        <v>379</v>
      </c>
      <c r="AE27" s="33" t="s">
        <v>379</v>
      </c>
      <c r="AF27" s="33" t="s">
        <v>379</v>
      </c>
      <c r="AG27" s="33" t="s">
        <v>379</v>
      </c>
      <c r="AH27" s="33" t="s">
        <v>379</v>
      </c>
      <c r="AI27" s="5">
        <f t="shared" si="0"/>
        <v>0</v>
      </c>
      <c r="AJ27" s="21"/>
      <c r="AK27" s="14">
        <f t="shared" si="1"/>
        <v>0</v>
      </c>
      <c r="AL27" s="2" t="s">
        <v>376</v>
      </c>
    </row>
    <row r="28" spans="1:38" ht="19.899999999999999" customHeight="1" x14ac:dyDescent="0.25">
      <c r="A28" s="2">
        <v>26</v>
      </c>
      <c r="B28" s="32" t="s">
        <v>64</v>
      </c>
      <c r="C28" s="27" t="s">
        <v>65</v>
      </c>
      <c r="D28" s="26" t="s">
        <v>9</v>
      </c>
      <c r="E28" s="33" t="s">
        <v>379</v>
      </c>
      <c r="F28" s="33" t="s">
        <v>379</v>
      </c>
      <c r="G28" s="33" t="s">
        <v>379</v>
      </c>
      <c r="H28" s="33" t="s">
        <v>379</v>
      </c>
      <c r="I28" s="33" t="s">
        <v>379</v>
      </c>
      <c r="J28" s="33" t="s">
        <v>379</v>
      </c>
      <c r="K28" s="33" t="s">
        <v>379</v>
      </c>
      <c r="L28" s="33" t="s">
        <v>379</v>
      </c>
      <c r="M28" s="33" t="s">
        <v>379</v>
      </c>
      <c r="N28" s="33" t="s">
        <v>379</v>
      </c>
      <c r="O28" s="33" t="s">
        <v>379</v>
      </c>
      <c r="P28" s="33" t="s">
        <v>379</v>
      </c>
      <c r="Q28" s="33" t="s">
        <v>379</v>
      </c>
      <c r="R28" s="33" t="s">
        <v>379</v>
      </c>
      <c r="S28" s="33" t="s">
        <v>379</v>
      </c>
      <c r="T28" s="33" t="s">
        <v>379</v>
      </c>
      <c r="U28" s="33" t="s">
        <v>379</v>
      </c>
      <c r="V28" s="33" t="s">
        <v>379</v>
      </c>
      <c r="W28" s="33" t="s">
        <v>379</v>
      </c>
      <c r="X28" s="33" t="s">
        <v>379</v>
      </c>
      <c r="Y28" s="33" t="s">
        <v>379</v>
      </c>
      <c r="Z28" s="33" t="s">
        <v>379</v>
      </c>
      <c r="AA28" s="33" t="s">
        <v>379</v>
      </c>
      <c r="AB28" s="33" t="s">
        <v>379</v>
      </c>
      <c r="AC28" s="33" t="s">
        <v>379</v>
      </c>
      <c r="AD28" s="33" t="s">
        <v>379</v>
      </c>
      <c r="AE28" s="33" t="s">
        <v>379</v>
      </c>
      <c r="AF28" s="33" t="s">
        <v>379</v>
      </c>
      <c r="AG28" s="33" t="s">
        <v>379</v>
      </c>
      <c r="AH28" s="33" t="s">
        <v>379</v>
      </c>
      <c r="AI28" s="5">
        <f t="shared" si="0"/>
        <v>0</v>
      </c>
      <c r="AJ28" s="21"/>
      <c r="AK28" s="14">
        <f t="shared" si="1"/>
        <v>0</v>
      </c>
      <c r="AL28" s="2" t="s">
        <v>376</v>
      </c>
    </row>
    <row r="29" spans="1:38" ht="19.899999999999999" customHeight="1" x14ac:dyDescent="0.25">
      <c r="A29" s="2">
        <v>27</v>
      </c>
      <c r="B29" s="31" t="s">
        <v>49</v>
      </c>
      <c r="C29" s="27" t="s">
        <v>308</v>
      </c>
      <c r="D29" s="26" t="s">
        <v>9</v>
      </c>
      <c r="E29" s="23" t="s">
        <v>380</v>
      </c>
      <c r="F29" s="23" t="s">
        <v>380</v>
      </c>
      <c r="G29" s="23" t="s">
        <v>380</v>
      </c>
      <c r="H29" s="23" t="s">
        <v>380</v>
      </c>
      <c r="I29" s="23" t="s">
        <v>380</v>
      </c>
      <c r="J29" s="23" t="s">
        <v>380</v>
      </c>
      <c r="K29" s="23" t="s">
        <v>380</v>
      </c>
      <c r="L29" s="23" t="s">
        <v>380</v>
      </c>
      <c r="M29" s="23" t="s">
        <v>380</v>
      </c>
      <c r="N29" s="23" t="s">
        <v>380</v>
      </c>
      <c r="O29" s="23" t="s">
        <v>380</v>
      </c>
      <c r="P29" s="23" t="s">
        <v>380</v>
      </c>
      <c r="Q29" s="23" t="s">
        <v>380</v>
      </c>
      <c r="R29" s="23" t="s">
        <v>380</v>
      </c>
      <c r="S29" s="23" t="s">
        <v>380</v>
      </c>
      <c r="T29" s="23" t="s">
        <v>380</v>
      </c>
      <c r="U29" s="23" t="s">
        <v>380</v>
      </c>
      <c r="V29" s="23" t="s">
        <v>380</v>
      </c>
      <c r="W29" s="23" t="s">
        <v>380</v>
      </c>
      <c r="X29" s="23" t="s">
        <v>380</v>
      </c>
      <c r="Y29" s="23" t="s">
        <v>380</v>
      </c>
      <c r="Z29" s="23" t="s">
        <v>380</v>
      </c>
      <c r="AA29" s="23" t="s">
        <v>380</v>
      </c>
      <c r="AB29" s="23" t="s">
        <v>380</v>
      </c>
      <c r="AC29" s="23" t="s">
        <v>380</v>
      </c>
      <c r="AD29" s="23" t="s">
        <v>380</v>
      </c>
      <c r="AE29" s="23" t="s">
        <v>380</v>
      </c>
      <c r="AF29" s="23" t="s">
        <v>380</v>
      </c>
      <c r="AG29" s="23" t="s">
        <v>380</v>
      </c>
      <c r="AH29" s="23" t="s">
        <v>380</v>
      </c>
      <c r="AI29" s="5">
        <f t="shared" si="0"/>
        <v>0</v>
      </c>
      <c r="AJ29" s="21"/>
      <c r="AK29" s="14">
        <f t="shared" si="1"/>
        <v>0</v>
      </c>
      <c r="AL29" s="2" t="s">
        <v>381</v>
      </c>
    </row>
    <row r="30" spans="1:38" ht="19.899999999999999" customHeight="1" x14ac:dyDescent="0.25">
      <c r="A30" s="2">
        <v>28</v>
      </c>
      <c r="B30" s="26" t="s">
        <v>45</v>
      </c>
      <c r="C30" s="27" t="s">
        <v>46</v>
      </c>
      <c r="D30" s="26" t="s">
        <v>9</v>
      </c>
      <c r="E30" s="23" t="s">
        <v>11</v>
      </c>
      <c r="F30" s="23" t="s">
        <v>11</v>
      </c>
      <c r="G30" s="13" t="s">
        <v>11</v>
      </c>
      <c r="H30" s="23" t="s">
        <v>11</v>
      </c>
      <c r="I30" s="13" t="s">
        <v>515</v>
      </c>
      <c r="J30" s="23" t="s">
        <v>11</v>
      </c>
      <c r="K30" s="23" t="s">
        <v>10</v>
      </c>
      <c r="L30" s="23" t="s">
        <v>11</v>
      </c>
      <c r="M30" s="23" t="s">
        <v>11</v>
      </c>
      <c r="N30" s="13" t="s">
        <v>11</v>
      </c>
      <c r="O30" s="23" t="s">
        <v>11</v>
      </c>
      <c r="P30" s="23" t="s">
        <v>11</v>
      </c>
      <c r="Q30" s="23" t="s">
        <v>11</v>
      </c>
      <c r="R30" s="23" t="s">
        <v>10</v>
      </c>
      <c r="S30" s="23" t="s">
        <v>11</v>
      </c>
      <c r="T30" s="23" t="s">
        <v>11</v>
      </c>
      <c r="U30" s="13" t="s">
        <v>11</v>
      </c>
      <c r="V30" s="23" t="s">
        <v>11</v>
      </c>
      <c r="W30" s="23" t="s">
        <v>11</v>
      </c>
      <c r="X30" s="23" t="s">
        <v>380</v>
      </c>
      <c r="Y30" s="23" t="s">
        <v>380</v>
      </c>
      <c r="Z30" s="23" t="s">
        <v>380</v>
      </c>
      <c r="AA30" s="23" t="s">
        <v>380</v>
      </c>
      <c r="AB30" s="23" t="s">
        <v>380</v>
      </c>
      <c r="AC30" s="23" t="s">
        <v>380</v>
      </c>
      <c r="AD30" s="23" t="s">
        <v>380</v>
      </c>
      <c r="AE30" s="23" t="s">
        <v>380</v>
      </c>
      <c r="AF30" s="23" t="s">
        <v>380</v>
      </c>
      <c r="AG30" s="23" t="s">
        <v>380</v>
      </c>
      <c r="AH30" s="23" t="s">
        <v>380</v>
      </c>
      <c r="AI30" s="5">
        <f t="shared" si="0"/>
        <v>16</v>
      </c>
      <c r="AJ30" s="21"/>
      <c r="AK30" s="14">
        <f t="shared" si="1"/>
        <v>0</v>
      </c>
      <c r="AL30" s="2" t="s">
        <v>381</v>
      </c>
    </row>
    <row r="31" spans="1:38" ht="19.899999999999999" customHeight="1" x14ac:dyDescent="0.25">
      <c r="A31" s="2">
        <v>29</v>
      </c>
      <c r="B31" s="26" t="s">
        <v>54</v>
      </c>
      <c r="C31" s="27" t="s">
        <v>82</v>
      </c>
      <c r="D31" s="26" t="s">
        <v>9</v>
      </c>
      <c r="E31" s="23" t="s">
        <v>380</v>
      </c>
      <c r="F31" s="23" t="s">
        <v>380</v>
      </c>
      <c r="G31" s="23" t="s">
        <v>380</v>
      </c>
      <c r="H31" s="23" t="s">
        <v>380</v>
      </c>
      <c r="I31" s="23" t="s">
        <v>380</v>
      </c>
      <c r="J31" s="23" t="s">
        <v>380</v>
      </c>
      <c r="K31" s="23" t="s">
        <v>380</v>
      </c>
      <c r="L31" s="23" t="s">
        <v>380</v>
      </c>
      <c r="M31" s="23" t="s">
        <v>380</v>
      </c>
      <c r="N31" s="23" t="s">
        <v>380</v>
      </c>
      <c r="O31" s="23" t="s">
        <v>380</v>
      </c>
      <c r="P31" s="23" t="s">
        <v>380</v>
      </c>
      <c r="Q31" s="23" t="s">
        <v>380</v>
      </c>
      <c r="R31" s="23" t="s">
        <v>380</v>
      </c>
      <c r="S31" s="23" t="s">
        <v>380</v>
      </c>
      <c r="T31" s="23" t="s">
        <v>380</v>
      </c>
      <c r="U31" s="23" t="s">
        <v>380</v>
      </c>
      <c r="V31" s="23" t="s">
        <v>380</v>
      </c>
      <c r="W31" s="23" t="s">
        <v>380</v>
      </c>
      <c r="X31" s="23" t="s">
        <v>380</v>
      </c>
      <c r="Y31" s="23" t="s">
        <v>380</v>
      </c>
      <c r="Z31" s="23" t="s">
        <v>380</v>
      </c>
      <c r="AA31" s="23" t="s">
        <v>380</v>
      </c>
      <c r="AB31" s="23" t="s">
        <v>380</v>
      </c>
      <c r="AC31" s="23" t="s">
        <v>380</v>
      </c>
      <c r="AD31" s="23" t="s">
        <v>380</v>
      </c>
      <c r="AE31" s="23" t="s">
        <v>380</v>
      </c>
      <c r="AF31" s="23" t="s">
        <v>380</v>
      </c>
      <c r="AG31" s="23" t="s">
        <v>380</v>
      </c>
      <c r="AH31" s="23" t="s">
        <v>380</v>
      </c>
      <c r="AI31" s="5">
        <f t="shared" si="0"/>
        <v>0</v>
      </c>
      <c r="AJ31" s="21"/>
      <c r="AK31" s="14">
        <f t="shared" si="1"/>
        <v>0</v>
      </c>
      <c r="AL31" s="2" t="s">
        <v>381</v>
      </c>
    </row>
    <row r="32" spans="1:38" ht="19.899999999999999" customHeight="1" x14ac:dyDescent="0.25">
      <c r="A32" s="2">
        <v>30</v>
      </c>
      <c r="B32" s="26" t="s">
        <v>18</v>
      </c>
      <c r="C32" s="27" t="s">
        <v>19</v>
      </c>
      <c r="D32" s="26" t="s">
        <v>9</v>
      </c>
      <c r="E32" s="23" t="s">
        <v>11</v>
      </c>
      <c r="F32" s="23" t="s">
        <v>11</v>
      </c>
      <c r="G32" s="13" t="s">
        <v>11</v>
      </c>
      <c r="H32" s="23" t="s">
        <v>11</v>
      </c>
      <c r="I32" s="13" t="s">
        <v>515</v>
      </c>
      <c r="J32" s="23" t="s">
        <v>11</v>
      </c>
      <c r="K32" s="23" t="s">
        <v>10</v>
      </c>
      <c r="L32" s="23" t="s">
        <v>11</v>
      </c>
      <c r="M32" s="23" t="s">
        <v>11</v>
      </c>
      <c r="N32" s="13" t="s">
        <v>11</v>
      </c>
      <c r="O32" s="23" t="s">
        <v>11</v>
      </c>
      <c r="P32" s="23" t="s">
        <v>11</v>
      </c>
      <c r="Q32" s="23" t="s">
        <v>11</v>
      </c>
      <c r="R32" s="23" t="s">
        <v>10</v>
      </c>
      <c r="S32" s="23" t="s">
        <v>11</v>
      </c>
      <c r="T32" s="23" t="s">
        <v>11</v>
      </c>
      <c r="U32" s="13" t="s">
        <v>11</v>
      </c>
      <c r="V32" s="23" t="s">
        <v>11</v>
      </c>
      <c r="W32" s="23" t="s">
        <v>11</v>
      </c>
      <c r="X32" s="23" t="s">
        <v>380</v>
      </c>
      <c r="Y32" s="23" t="s">
        <v>380</v>
      </c>
      <c r="Z32" s="23" t="s">
        <v>380</v>
      </c>
      <c r="AA32" s="23" t="s">
        <v>380</v>
      </c>
      <c r="AB32" s="23" t="s">
        <v>380</v>
      </c>
      <c r="AC32" s="23" t="s">
        <v>380</v>
      </c>
      <c r="AD32" s="23" t="s">
        <v>380</v>
      </c>
      <c r="AE32" s="23" t="s">
        <v>380</v>
      </c>
      <c r="AF32" s="23" t="s">
        <v>380</v>
      </c>
      <c r="AG32" s="23" t="s">
        <v>380</v>
      </c>
      <c r="AH32" s="23" t="s">
        <v>380</v>
      </c>
      <c r="AI32" s="5">
        <f t="shared" si="0"/>
        <v>16</v>
      </c>
      <c r="AJ32" s="21"/>
      <c r="AK32" s="14">
        <f t="shared" si="1"/>
        <v>0</v>
      </c>
      <c r="AL32" s="2" t="s">
        <v>381</v>
      </c>
    </row>
    <row r="33" spans="1:38" ht="19.899999999999999" customHeight="1" x14ac:dyDescent="0.25">
      <c r="A33" s="2">
        <v>31</v>
      </c>
      <c r="B33" s="32" t="s">
        <v>70</v>
      </c>
      <c r="C33" s="27" t="s">
        <v>71</v>
      </c>
      <c r="D33" s="37" t="s">
        <v>9</v>
      </c>
      <c r="E33" s="23" t="s">
        <v>380</v>
      </c>
      <c r="F33" s="23" t="s">
        <v>380</v>
      </c>
      <c r="G33" s="23" t="s">
        <v>380</v>
      </c>
      <c r="H33" s="23" t="s">
        <v>380</v>
      </c>
      <c r="I33" s="23" t="s">
        <v>380</v>
      </c>
      <c r="J33" s="23" t="s">
        <v>380</v>
      </c>
      <c r="K33" s="23" t="s">
        <v>380</v>
      </c>
      <c r="L33" s="23" t="s">
        <v>380</v>
      </c>
      <c r="M33" s="23" t="s">
        <v>380</v>
      </c>
      <c r="N33" s="23" t="s">
        <v>380</v>
      </c>
      <c r="O33" s="23" t="s">
        <v>380</v>
      </c>
      <c r="P33" s="23" t="s">
        <v>380</v>
      </c>
      <c r="Q33" s="23" t="s">
        <v>380</v>
      </c>
      <c r="R33" s="23" t="s">
        <v>380</v>
      </c>
      <c r="S33" s="23" t="s">
        <v>380</v>
      </c>
      <c r="T33" s="23" t="s">
        <v>380</v>
      </c>
      <c r="U33" s="23" t="s">
        <v>380</v>
      </c>
      <c r="V33" s="23" t="s">
        <v>380</v>
      </c>
      <c r="W33" s="23" t="s">
        <v>380</v>
      </c>
      <c r="X33" s="23" t="s">
        <v>380</v>
      </c>
      <c r="Y33" s="23" t="s">
        <v>380</v>
      </c>
      <c r="Z33" s="23" t="s">
        <v>380</v>
      </c>
      <c r="AA33" s="23" t="s">
        <v>380</v>
      </c>
      <c r="AB33" s="23" t="s">
        <v>380</v>
      </c>
      <c r="AC33" s="23" t="s">
        <v>380</v>
      </c>
      <c r="AD33" s="23" t="s">
        <v>380</v>
      </c>
      <c r="AE33" s="23" t="s">
        <v>380</v>
      </c>
      <c r="AF33" s="23" t="s">
        <v>380</v>
      </c>
      <c r="AG33" s="23" t="s">
        <v>380</v>
      </c>
      <c r="AH33" s="23" t="s">
        <v>380</v>
      </c>
      <c r="AI33" s="5">
        <f t="shared" si="0"/>
        <v>0</v>
      </c>
      <c r="AJ33" s="21"/>
      <c r="AK33" s="14">
        <f t="shared" si="1"/>
        <v>0</v>
      </c>
      <c r="AL33" s="2" t="s">
        <v>381</v>
      </c>
    </row>
    <row r="34" spans="1:38" ht="19.899999999999999" customHeight="1" x14ac:dyDescent="0.25">
      <c r="A34" s="2">
        <v>32</v>
      </c>
      <c r="B34" s="26" t="s">
        <v>28</v>
      </c>
      <c r="C34" s="27" t="s">
        <v>29</v>
      </c>
      <c r="D34" s="26" t="s">
        <v>9</v>
      </c>
      <c r="E34" s="23" t="s">
        <v>380</v>
      </c>
      <c r="F34" s="23" t="s">
        <v>380</v>
      </c>
      <c r="G34" s="23" t="s">
        <v>380</v>
      </c>
      <c r="H34" s="23" t="s">
        <v>380</v>
      </c>
      <c r="I34" s="23" t="s">
        <v>380</v>
      </c>
      <c r="J34" s="23" t="s">
        <v>380</v>
      </c>
      <c r="K34" s="23" t="s">
        <v>380</v>
      </c>
      <c r="L34" s="23" t="s">
        <v>380</v>
      </c>
      <c r="M34" s="23" t="s">
        <v>380</v>
      </c>
      <c r="N34" s="23" t="s">
        <v>380</v>
      </c>
      <c r="O34" s="23" t="s">
        <v>380</v>
      </c>
      <c r="P34" s="23" t="s">
        <v>380</v>
      </c>
      <c r="Q34" s="23" t="s">
        <v>380</v>
      </c>
      <c r="R34" s="23" t="s">
        <v>380</v>
      </c>
      <c r="S34" s="23" t="s">
        <v>380</v>
      </c>
      <c r="T34" s="23" t="s">
        <v>380</v>
      </c>
      <c r="U34" s="23" t="s">
        <v>380</v>
      </c>
      <c r="V34" s="23" t="s">
        <v>380</v>
      </c>
      <c r="W34" s="23" t="s">
        <v>380</v>
      </c>
      <c r="X34" s="23" t="s">
        <v>380</v>
      </c>
      <c r="Y34" s="23" t="s">
        <v>380</v>
      </c>
      <c r="Z34" s="23" t="s">
        <v>380</v>
      </c>
      <c r="AA34" s="23" t="s">
        <v>380</v>
      </c>
      <c r="AB34" s="23" t="s">
        <v>380</v>
      </c>
      <c r="AC34" s="23" t="s">
        <v>380</v>
      </c>
      <c r="AD34" s="23" t="s">
        <v>380</v>
      </c>
      <c r="AE34" s="23" t="s">
        <v>380</v>
      </c>
      <c r="AF34" s="23" t="s">
        <v>380</v>
      </c>
      <c r="AG34" s="23" t="s">
        <v>380</v>
      </c>
      <c r="AH34" s="23" t="s">
        <v>380</v>
      </c>
      <c r="AI34" s="5">
        <f t="shared" si="0"/>
        <v>0</v>
      </c>
      <c r="AJ34" s="21"/>
      <c r="AK34" s="14">
        <f t="shared" si="1"/>
        <v>0</v>
      </c>
      <c r="AL34" s="2" t="s">
        <v>381</v>
      </c>
    </row>
    <row r="35" spans="1:38" ht="19.899999999999999" customHeight="1" x14ac:dyDescent="0.25">
      <c r="A35" s="2">
        <v>33</v>
      </c>
      <c r="B35" s="26" t="s">
        <v>26</v>
      </c>
      <c r="C35" s="27" t="s">
        <v>27</v>
      </c>
      <c r="D35" s="26" t="s">
        <v>9</v>
      </c>
      <c r="E35" s="23" t="s">
        <v>11</v>
      </c>
      <c r="F35" s="23" t="s">
        <v>11</v>
      </c>
      <c r="G35" s="23" t="s">
        <v>32</v>
      </c>
      <c r="H35" s="23" t="s">
        <v>11</v>
      </c>
      <c r="I35" s="23" t="s">
        <v>515</v>
      </c>
      <c r="J35" s="23" t="s">
        <v>11</v>
      </c>
      <c r="K35" s="23" t="s">
        <v>10</v>
      </c>
      <c r="L35" s="23" t="s">
        <v>11</v>
      </c>
      <c r="M35" s="23" t="s">
        <v>32</v>
      </c>
      <c r="N35" s="23" t="s">
        <v>11</v>
      </c>
      <c r="O35" s="23" t="s">
        <v>11</v>
      </c>
      <c r="P35" s="23" t="s">
        <v>11</v>
      </c>
      <c r="Q35" s="23" t="s">
        <v>11</v>
      </c>
      <c r="R35" s="23" t="s">
        <v>10</v>
      </c>
      <c r="S35" s="23" t="s">
        <v>11</v>
      </c>
      <c r="T35" s="23" t="s">
        <v>11</v>
      </c>
      <c r="U35" s="23" t="s">
        <v>11</v>
      </c>
      <c r="V35" s="23" t="s">
        <v>11</v>
      </c>
      <c r="W35" s="23" t="s">
        <v>11</v>
      </c>
      <c r="X35" s="23" t="s">
        <v>11</v>
      </c>
      <c r="Y35" s="23" t="s">
        <v>10</v>
      </c>
      <c r="Z35" s="23" t="s">
        <v>11</v>
      </c>
      <c r="AA35" s="23" t="s">
        <v>11</v>
      </c>
      <c r="AB35" s="23" t="s">
        <v>11</v>
      </c>
      <c r="AC35" s="23" t="s">
        <v>11</v>
      </c>
      <c r="AD35" s="23" t="s">
        <v>11</v>
      </c>
      <c r="AE35" s="23" t="s">
        <v>11</v>
      </c>
      <c r="AF35" s="23" t="s">
        <v>10</v>
      </c>
      <c r="AG35" s="23" t="s">
        <v>11</v>
      </c>
      <c r="AH35" s="23" t="s">
        <v>11</v>
      </c>
      <c r="AI35" s="5">
        <f t="shared" si="0"/>
        <v>23</v>
      </c>
      <c r="AJ35" s="21"/>
      <c r="AK35" s="14">
        <f t="shared" si="1"/>
        <v>0</v>
      </c>
      <c r="AL35" s="2" t="s">
        <v>381</v>
      </c>
    </row>
    <row r="36" spans="1:38" ht="19.899999999999999" customHeight="1" x14ac:dyDescent="0.25">
      <c r="A36" s="2">
        <v>34</v>
      </c>
      <c r="B36" s="26" t="s">
        <v>59</v>
      </c>
      <c r="C36" s="27" t="s">
        <v>60</v>
      </c>
      <c r="D36" s="26" t="s">
        <v>9</v>
      </c>
      <c r="E36" s="23" t="s">
        <v>380</v>
      </c>
      <c r="F36" s="23" t="s">
        <v>380</v>
      </c>
      <c r="G36" s="23" t="s">
        <v>380</v>
      </c>
      <c r="H36" s="23" t="s">
        <v>380</v>
      </c>
      <c r="I36" s="23" t="s">
        <v>380</v>
      </c>
      <c r="J36" s="23" t="s">
        <v>380</v>
      </c>
      <c r="K36" s="23" t="s">
        <v>380</v>
      </c>
      <c r="L36" s="23" t="s">
        <v>380</v>
      </c>
      <c r="M36" s="23" t="s">
        <v>380</v>
      </c>
      <c r="N36" s="23" t="s">
        <v>380</v>
      </c>
      <c r="O36" s="23" t="s">
        <v>380</v>
      </c>
      <c r="P36" s="23" t="s">
        <v>380</v>
      </c>
      <c r="Q36" s="23" t="s">
        <v>380</v>
      </c>
      <c r="R36" s="23" t="s">
        <v>380</v>
      </c>
      <c r="S36" s="23" t="s">
        <v>380</v>
      </c>
      <c r="T36" s="23" t="s">
        <v>380</v>
      </c>
      <c r="U36" s="23" t="s">
        <v>380</v>
      </c>
      <c r="V36" s="23" t="s">
        <v>380</v>
      </c>
      <c r="W36" s="23" t="s">
        <v>380</v>
      </c>
      <c r="X36" s="23" t="s">
        <v>380</v>
      </c>
      <c r="Y36" s="23" t="s">
        <v>380</v>
      </c>
      <c r="Z36" s="23" t="s">
        <v>380</v>
      </c>
      <c r="AA36" s="23" t="s">
        <v>380</v>
      </c>
      <c r="AB36" s="23" t="s">
        <v>380</v>
      </c>
      <c r="AC36" s="23" t="s">
        <v>380</v>
      </c>
      <c r="AD36" s="23" t="s">
        <v>380</v>
      </c>
      <c r="AE36" s="23" t="s">
        <v>380</v>
      </c>
      <c r="AF36" s="23" t="s">
        <v>380</v>
      </c>
      <c r="AG36" s="23" t="s">
        <v>380</v>
      </c>
      <c r="AH36" s="23" t="s">
        <v>380</v>
      </c>
      <c r="AI36" s="5">
        <f t="shared" si="0"/>
        <v>0</v>
      </c>
      <c r="AJ36" s="21"/>
      <c r="AK36" s="14">
        <f t="shared" si="1"/>
        <v>0</v>
      </c>
      <c r="AL36" s="2" t="s">
        <v>381</v>
      </c>
    </row>
    <row r="37" spans="1:38" ht="19.899999999999999" customHeight="1" x14ac:dyDescent="0.25">
      <c r="A37" s="2">
        <v>35</v>
      </c>
      <c r="B37" s="26" t="s">
        <v>61</v>
      </c>
      <c r="C37" s="27" t="s">
        <v>377</v>
      </c>
      <c r="D37" s="26" t="s">
        <v>9</v>
      </c>
      <c r="E37" s="23" t="s">
        <v>11</v>
      </c>
      <c r="F37" s="23" t="s">
        <v>11</v>
      </c>
      <c r="G37" s="23" t="s">
        <v>32</v>
      </c>
      <c r="H37" s="23" t="s">
        <v>11</v>
      </c>
      <c r="I37" s="23" t="s">
        <v>515</v>
      </c>
      <c r="J37" s="23" t="s">
        <v>32</v>
      </c>
      <c r="K37" s="23" t="s">
        <v>10</v>
      </c>
      <c r="L37" s="23" t="s">
        <v>11</v>
      </c>
      <c r="M37" s="23" t="s">
        <v>11</v>
      </c>
      <c r="N37" s="23" t="s">
        <v>32</v>
      </c>
      <c r="O37" s="23" t="s">
        <v>11</v>
      </c>
      <c r="P37" s="23" t="s">
        <v>32</v>
      </c>
      <c r="Q37" s="23" t="s">
        <v>11</v>
      </c>
      <c r="R37" s="23" t="s">
        <v>10</v>
      </c>
      <c r="S37" s="23" t="s">
        <v>11</v>
      </c>
      <c r="T37" s="23" t="s">
        <v>32</v>
      </c>
      <c r="U37" s="23" t="s">
        <v>11</v>
      </c>
      <c r="V37" s="23" t="s">
        <v>11</v>
      </c>
      <c r="W37" s="23" t="s">
        <v>380</v>
      </c>
      <c r="X37" s="23" t="s">
        <v>380</v>
      </c>
      <c r="Y37" s="23" t="s">
        <v>380</v>
      </c>
      <c r="Z37" s="23" t="s">
        <v>380</v>
      </c>
      <c r="AA37" s="23" t="s">
        <v>380</v>
      </c>
      <c r="AB37" s="23" t="s">
        <v>380</v>
      </c>
      <c r="AC37" s="23" t="s">
        <v>380</v>
      </c>
      <c r="AD37" s="23" t="s">
        <v>380</v>
      </c>
      <c r="AE37" s="23" t="s">
        <v>380</v>
      </c>
      <c r="AF37" s="23" t="s">
        <v>380</v>
      </c>
      <c r="AG37" s="23" t="s">
        <v>380</v>
      </c>
      <c r="AH37" s="23" t="s">
        <v>380</v>
      </c>
      <c r="AI37" s="5">
        <f t="shared" si="0"/>
        <v>10</v>
      </c>
      <c r="AJ37" s="21"/>
      <c r="AK37" s="14">
        <f t="shared" si="1"/>
        <v>0</v>
      </c>
      <c r="AL37" s="2" t="s">
        <v>381</v>
      </c>
    </row>
    <row r="38" spans="1:38" ht="19.899999999999999" customHeight="1" x14ac:dyDescent="0.25">
      <c r="A38" s="2"/>
      <c r="B38" s="7"/>
      <c r="C38" s="4"/>
      <c r="D38" s="2"/>
      <c r="E38" s="23"/>
      <c r="F38" s="23"/>
      <c r="G38" s="13"/>
      <c r="H38" s="23"/>
      <c r="I38" s="13"/>
      <c r="J38" s="13"/>
      <c r="K38" s="13"/>
      <c r="L38" s="23"/>
      <c r="M38" s="23"/>
      <c r="N38" s="13"/>
      <c r="O38" s="23"/>
      <c r="P38" s="13"/>
      <c r="Q38" s="13"/>
      <c r="R38" s="13"/>
      <c r="S38" s="23"/>
      <c r="T38" s="23"/>
      <c r="U38" s="13"/>
      <c r="V38" s="23"/>
      <c r="W38" s="13"/>
      <c r="X38" s="13"/>
      <c r="Y38" s="13"/>
      <c r="Z38" s="23"/>
      <c r="AA38" s="23"/>
      <c r="AB38" s="13"/>
      <c r="AC38" s="23"/>
      <c r="AD38" s="23"/>
      <c r="AE38" s="23"/>
      <c r="AF38" s="13"/>
      <c r="AG38" s="13"/>
      <c r="AH38" s="13"/>
      <c r="AI38" s="5">
        <f t="shared" si="0"/>
        <v>0</v>
      </c>
      <c r="AJ38" s="21"/>
      <c r="AK38" s="14">
        <f t="shared" si="1"/>
        <v>0</v>
      </c>
      <c r="AL38" s="2"/>
    </row>
    <row r="39" spans="1:38" ht="18" customHeight="1" x14ac:dyDescent="0.25">
      <c r="AI39" s="10">
        <f>SUM(AI3:AI38)</f>
        <v>609</v>
      </c>
      <c r="AK39" s="12">
        <f>SUM(AK3:AK38)</f>
        <v>0</v>
      </c>
    </row>
    <row r="40" spans="1:38" ht="18" customHeight="1" thickBot="1" x14ac:dyDescent="0.3">
      <c r="AK40" s="16"/>
      <c r="AL40" s="18"/>
    </row>
    <row r="41" spans="1:38" ht="18" customHeight="1" thickTop="1" thickBot="1" x14ac:dyDescent="0.3">
      <c r="C41" s="6"/>
      <c r="AK41" s="17">
        <f>SUM(AK39:AK40)</f>
        <v>0</v>
      </c>
    </row>
    <row r="42" spans="1:38" ht="18" customHeight="1" thickTop="1" x14ac:dyDescent="0.25">
      <c r="C42" s="6"/>
    </row>
    <row r="43" spans="1:38" ht="18" customHeight="1" x14ac:dyDescent="0.25">
      <c r="C43" s="6"/>
    </row>
    <row r="44" spans="1:38" ht="18" customHeight="1" x14ac:dyDescent="0.25">
      <c r="C44" s="6"/>
    </row>
    <row r="45" spans="1:38" ht="18" customHeight="1" x14ac:dyDescent="0.25">
      <c r="C45" s="6"/>
    </row>
    <row r="46" spans="1:38" ht="18" customHeight="1" x14ac:dyDescent="0.25">
      <c r="C46" s="6"/>
    </row>
    <row r="47" spans="1:38" ht="18" customHeight="1" x14ac:dyDescent="0.25">
      <c r="C47" s="6"/>
    </row>
    <row r="48" spans="1:38" ht="18" customHeight="1" x14ac:dyDescent="0.25">
      <c r="C48" s="6"/>
    </row>
    <row r="49" spans="3:3" ht="18" customHeight="1" x14ac:dyDescent="0.25">
      <c r="C49" s="6"/>
    </row>
    <row r="50" spans="3:3" ht="18" customHeight="1" x14ac:dyDescent="0.25">
      <c r="C50" s="6"/>
    </row>
    <row r="51" spans="3:3" ht="18" customHeight="1" x14ac:dyDescent="0.25">
      <c r="C51" s="6"/>
    </row>
    <row r="52" spans="3:3" ht="18" customHeight="1" x14ac:dyDescent="0.25">
      <c r="C52" s="6"/>
    </row>
    <row r="53" spans="3:3" ht="18" customHeight="1" x14ac:dyDescent="0.25">
      <c r="C53" s="6"/>
    </row>
    <row r="54" spans="3:3" ht="18" customHeight="1" x14ac:dyDescent="0.25">
      <c r="C54" s="6"/>
    </row>
    <row r="55" spans="3:3" ht="18" customHeight="1" x14ac:dyDescent="0.25">
      <c r="C55" s="6"/>
    </row>
    <row r="56" spans="3:3" ht="18" customHeight="1" x14ac:dyDescent="0.25">
      <c r="C56" s="6"/>
    </row>
    <row r="57" spans="3:3" ht="18" customHeight="1" x14ac:dyDescent="0.25">
      <c r="C57" s="6"/>
    </row>
    <row r="58" spans="3:3" ht="18" customHeight="1" x14ac:dyDescent="0.25">
      <c r="C58" s="6"/>
    </row>
    <row r="59" spans="3:3" ht="18" customHeight="1" x14ac:dyDescent="0.25">
      <c r="C59" s="6"/>
    </row>
    <row r="60" spans="3:3" ht="18" customHeight="1" x14ac:dyDescent="0.25">
      <c r="C60" s="6"/>
    </row>
    <row r="61" spans="3:3" ht="18" customHeight="1" x14ac:dyDescent="0.25">
      <c r="C61" s="6"/>
    </row>
    <row r="62" spans="3:3" ht="18" customHeight="1" x14ac:dyDescent="0.25">
      <c r="C62" s="6"/>
    </row>
    <row r="63" spans="3:3" ht="18" customHeight="1" x14ac:dyDescent="0.25">
      <c r="C63" s="6"/>
    </row>
    <row r="64" spans="3:3" ht="18" customHeight="1" x14ac:dyDescent="0.25">
      <c r="C64" s="6"/>
    </row>
    <row r="65" spans="3:3" ht="18" customHeight="1" x14ac:dyDescent="0.25">
      <c r="C65" s="6"/>
    </row>
    <row r="66" spans="3:3" ht="18" customHeight="1" x14ac:dyDescent="0.25">
      <c r="C66" s="6"/>
    </row>
    <row r="67" spans="3:3" ht="18" customHeight="1" x14ac:dyDescent="0.25">
      <c r="C67" s="6"/>
    </row>
    <row r="68" spans="3:3" ht="18" customHeight="1" x14ac:dyDescent="0.25">
      <c r="C68" s="6"/>
    </row>
    <row r="69" spans="3:3" ht="18" customHeight="1" x14ac:dyDescent="0.25">
      <c r="C69" s="6"/>
    </row>
    <row r="70" spans="3:3" ht="18" customHeight="1" x14ac:dyDescent="0.25">
      <c r="C70" s="6"/>
    </row>
    <row r="71" spans="3:3" ht="18" customHeight="1" x14ac:dyDescent="0.25">
      <c r="C71" s="6"/>
    </row>
    <row r="72" spans="3:3" ht="18" customHeight="1" x14ac:dyDescent="0.25">
      <c r="C72" s="6"/>
    </row>
    <row r="73" spans="3:3" ht="18" customHeight="1" x14ac:dyDescent="0.25">
      <c r="C73" s="6"/>
    </row>
    <row r="74" spans="3:3" ht="18" customHeight="1" x14ac:dyDescent="0.25">
      <c r="C74" s="6"/>
    </row>
    <row r="75" spans="3:3" ht="18" customHeight="1" x14ac:dyDescent="0.25">
      <c r="C75" s="6"/>
    </row>
    <row r="76" spans="3:3" ht="18" customHeight="1" x14ac:dyDescent="0.25">
      <c r="C76" s="6"/>
    </row>
    <row r="77" spans="3:3" ht="18" customHeight="1" x14ac:dyDescent="0.25">
      <c r="C77" s="6"/>
    </row>
    <row r="78" spans="3:3" ht="18" customHeight="1" x14ac:dyDescent="0.25">
      <c r="C78" s="6"/>
    </row>
    <row r="79" spans="3:3" ht="18" customHeight="1" x14ac:dyDescent="0.25">
      <c r="C79" s="6"/>
    </row>
    <row r="80" spans="3:3" ht="18" customHeight="1" x14ac:dyDescent="0.25">
      <c r="C80" s="6"/>
    </row>
    <row r="81" spans="3:3" ht="18" customHeight="1" x14ac:dyDescent="0.25">
      <c r="C81" s="6"/>
    </row>
    <row r="82" spans="3:3" ht="18" customHeight="1" x14ac:dyDescent="0.25">
      <c r="C82" s="6"/>
    </row>
    <row r="83" spans="3:3" ht="18" customHeight="1" x14ac:dyDescent="0.25">
      <c r="C83" s="6"/>
    </row>
    <row r="84" spans="3:3" ht="18" customHeight="1" x14ac:dyDescent="0.25">
      <c r="C84" s="6"/>
    </row>
    <row r="85" spans="3:3" ht="18" customHeight="1" x14ac:dyDescent="0.25">
      <c r="C85" s="6"/>
    </row>
    <row r="86" spans="3:3" ht="18" customHeight="1" x14ac:dyDescent="0.25">
      <c r="C86" s="6"/>
    </row>
    <row r="87" spans="3:3" ht="18" customHeight="1" x14ac:dyDescent="0.25">
      <c r="C87" s="6"/>
    </row>
    <row r="88" spans="3:3" ht="18" customHeight="1" x14ac:dyDescent="0.25">
      <c r="C88" s="6"/>
    </row>
    <row r="89" spans="3:3" ht="18" customHeight="1" x14ac:dyDescent="0.25">
      <c r="C89" s="6"/>
    </row>
    <row r="90" spans="3:3" ht="18" customHeight="1" x14ac:dyDescent="0.25">
      <c r="C90" s="6"/>
    </row>
    <row r="91" spans="3:3" ht="18" customHeight="1" x14ac:dyDescent="0.25">
      <c r="C91" s="6"/>
    </row>
    <row r="92" spans="3:3" ht="18" customHeight="1" x14ac:dyDescent="0.25">
      <c r="C92" s="6"/>
    </row>
    <row r="93" spans="3:3" ht="18" customHeight="1" x14ac:dyDescent="0.25">
      <c r="C93" s="6"/>
    </row>
    <row r="94" spans="3:3" ht="18" customHeight="1" x14ac:dyDescent="0.25">
      <c r="C94" s="6"/>
    </row>
    <row r="95" spans="3:3" ht="18" customHeight="1" x14ac:dyDescent="0.25">
      <c r="C95" s="6"/>
    </row>
    <row r="96" spans="3:3" ht="18" customHeight="1" x14ac:dyDescent="0.25">
      <c r="C96" s="6"/>
    </row>
    <row r="97" spans="3:3" ht="18" customHeight="1" x14ac:dyDescent="0.25">
      <c r="C97" s="6"/>
    </row>
    <row r="98" spans="3:3" ht="18" customHeight="1" x14ac:dyDescent="0.25">
      <c r="C98" s="6"/>
    </row>
    <row r="99" spans="3:3" ht="18" customHeight="1" x14ac:dyDescent="0.25">
      <c r="C99" s="6"/>
    </row>
  </sheetData>
  <mergeCells count="1">
    <mergeCell ref="A1:AL1"/>
  </mergeCells>
  <conditionalFormatting sqref="B1:B1048576">
    <cfRule type="duplicateValues" dxfId="1152" priority="380"/>
  </conditionalFormatting>
  <conditionalFormatting sqref="B2:B1048576">
    <cfRule type="duplicateValues" dxfId="1151" priority="405"/>
    <cfRule type="duplicateValues" dxfId="1150" priority="404"/>
    <cfRule type="duplicateValues" dxfId="1149" priority="403"/>
    <cfRule type="duplicateValues" dxfId="1148" priority="402"/>
    <cfRule type="duplicateValues" dxfId="1147" priority="401"/>
    <cfRule type="duplicateValues" dxfId="1146" priority="398"/>
  </conditionalFormatting>
  <conditionalFormatting sqref="B8 B3">
    <cfRule type="duplicateValues" dxfId="1145" priority="411"/>
    <cfRule type="duplicateValues" dxfId="1144" priority="412"/>
    <cfRule type="duplicateValues" dxfId="1143" priority="413"/>
    <cfRule type="duplicateValues" dxfId="1142" priority="414"/>
  </conditionalFormatting>
  <conditionalFormatting sqref="B8">
    <cfRule type="duplicateValues" dxfId="1141" priority="415"/>
  </conditionalFormatting>
  <conditionalFormatting sqref="B9">
    <cfRule type="duplicateValues" dxfId="1140" priority="363"/>
    <cfRule type="duplicateValues" dxfId="1139" priority="364"/>
    <cfRule type="duplicateValues" dxfId="1138" priority="361"/>
    <cfRule type="duplicateValues" dxfId="1137" priority="362"/>
  </conditionalFormatting>
  <conditionalFormatting sqref="B10">
    <cfRule type="duplicateValues" dxfId="1136" priority="365"/>
    <cfRule type="duplicateValues" dxfId="1135" priority="366"/>
    <cfRule type="duplicateValues" dxfId="1134" priority="367"/>
    <cfRule type="duplicateValues" dxfId="1133" priority="368"/>
    <cfRule type="duplicateValues" dxfId="1132" priority="369"/>
    <cfRule type="duplicateValues" dxfId="1131" priority="370"/>
  </conditionalFormatting>
  <conditionalFormatting sqref="B14 B6">
    <cfRule type="duplicateValues" dxfId="1130" priority="379"/>
    <cfRule type="duplicateValues" dxfId="1129" priority="378"/>
    <cfRule type="duplicateValues" dxfId="1128" priority="377"/>
    <cfRule type="duplicateValues" dxfId="1127" priority="376"/>
  </conditionalFormatting>
  <conditionalFormatting sqref="B15:B18">
    <cfRule type="duplicateValues" dxfId="1126" priority="430"/>
    <cfRule type="duplicateValues" dxfId="1125" priority="431"/>
    <cfRule type="duplicateValues" dxfId="1124" priority="432"/>
    <cfRule type="duplicateValues" dxfId="1123" priority="433"/>
  </conditionalFormatting>
  <conditionalFormatting sqref="B23 B25">
    <cfRule type="duplicateValues" dxfId="1122" priority="409"/>
    <cfRule type="duplicateValues" dxfId="1121" priority="410"/>
    <cfRule type="duplicateValues" dxfId="1120" priority="408"/>
    <cfRule type="duplicateValues" dxfId="1119" priority="407"/>
    <cfRule type="duplicateValues" dxfId="1118" priority="406"/>
  </conditionalFormatting>
  <conditionalFormatting sqref="B24 B14 B6 B9">
    <cfRule type="duplicateValues" dxfId="1117" priority="423"/>
    <cfRule type="duplicateValues" dxfId="1116" priority="424"/>
  </conditionalFormatting>
  <conditionalFormatting sqref="B24 B14 B6">
    <cfRule type="duplicateValues" dxfId="1115" priority="422"/>
  </conditionalFormatting>
  <conditionalFormatting sqref="B24">
    <cfRule type="duplicateValues" dxfId="1114" priority="375"/>
    <cfRule type="duplicateValues" dxfId="1113" priority="374"/>
    <cfRule type="duplicateValues" dxfId="1112" priority="373"/>
    <cfRule type="duplicateValues" dxfId="1111" priority="372"/>
    <cfRule type="duplicateValues" dxfId="1110" priority="371"/>
  </conditionalFormatting>
  <conditionalFormatting sqref="B27">
    <cfRule type="duplicateValues" dxfId="1109" priority="392"/>
    <cfRule type="duplicateValues" dxfId="1108" priority="394"/>
    <cfRule type="duplicateValues" dxfId="1107" priority="393"/>
    <cfRule type="duplicateValues" dxfId="1106" priority="397"/>
    <cfRule type="duplicateValues" dxfId="1105" priority="396"/>
    <cfRule type="duplicateValues" dxfId="1104" priority="395"/>
  </conditionalFormatting>
  <conditionalFormatting sqref="B28">
    <cfRule type="duplicateValues" dxfId="1103" priority="387"/>
    <cfRule type="duplicateValues" dxfId="1102" priority="385"/>
    <cfRule type="duplicateValues" dxfId="1101" priority="384"/>
    <cfRule type="duplicateValues" dxfId="1100" priority="386"/>
  </conditionalFormatting>
  <conditionalFormatting sqref="B33 B11 B26 B29 B5">
    <cfRule type="duplicateValues" dxfId="1099" priority="426"/>
    <cfRule type="duplicateValues" dxfId="1098" priority="425"/>
    <cfRule type="duplicateValues" dxfId="1097" priority="429"/>
    <cfRule type="duplicateValues" dxfId="1096" priority="428"/>
    <cfRule type="duplicateValues" dxfId="1095" priority="427"/>
  </conditionalFormatting>
  <conditionalFormatting sqref="B37 B13 B31">
    <cfRule type="duplicateValues" dxfId="1094" priority="421"/>
    <cfRule type="duplicateValues" dxfId="1093" priority="419"/>
    <cfRule type="duplicateValues" dxfId="1092" priority="418"/>
    <cfRule type="duplicateValues" dxfId="1091" priority="417"/>
    <cfRule type="duplicateValues" dxfId="1090" priority="416"/>
    <cfRule type="duplicateValues" dxfId="1089" priority="420"/>
  </conditionalFormatting>
  <conditionalFormatting sqref="B38">
    <cfRule type="duplicateValues" dxfId="1088" priority="391"/>
    <cfRule type="duplicateValues" dxfId="1087" priority="389"/>
    <cfRule type="duplicateValues" dxfId="1086" priority="390"/>
    <cfRule type="duplicateValues" dxfId="1085" priority="388"/>
  </conditionalFormatting>
  <conditionalFormatting sqref="B38:B1048576 B7 B2 B28:B30 B26 B4:B5 B11:B12 B32:B36 B15:B22">
    <cfRule type="duplicateValues" dxfId="1084" priority="27721"/>
  </conditionalFormatting>
  <conditionalFormatting sqref="B38:B1048576 B7:B8 B2:B5 B25:B26 B28:B30 B11:B12 B32:B36 B15:B23">
    <cfRule type="duplicateValues" dxfId="1083" priority="27733"/>
    <cfRule type="duplicateValues" dxfId="1082" priority="27732"/>
  </conditionalFormatting>
  <conditionalFormatting sqref="B39:B1048576 B7 B32 B12 B34:B36 B19:B22 B4 B2 B30">
    <cfRule type="duplicateValues" dxfId="1081" priority="27427"/>
    <cfRule type="duplicateValues" dxfId="1080" priority="27426"/>
    <cfRule type="duplicateValues" dxfId="1079" priority="27425"/>
    <cfRule type="duplicateValues" dxfId="1078" priority="27428"/>
  </conditionalFormatting>
  <conditionalFormatting sqref="E3:AH15 E19:AH37">
    <cfRule type="containsText" dxfId="1077" priority="381" operator="containsText" text="PH">
      <formula>NOT(ISERROR(SEARCH("PH",E3)))</formula>
    </cfRule>
  </conditionalFormatting>
  <conditionalFormatting sqref="E3:AH15 E19:AH38">
    <cfRule type="containsText" dxfId="1076" priority="383" operator="containsText" text="S">
      <formula>NOT(ISERROR(SEARCH("S",E3)))</formula>
    </cfRule>
    <cfRule type="containsText" dxfId="1075" priority="382" operator="containsText" text="S">
      <formula>NOT(ISERROR(SEARCH("S",E3)))</formula>
    </cfRule>
    <cfRule type="containsText" dxfId="1074" priority="400" operator="containsText" text="A">
      <formula>NOT(ISERROR(SEARCH("A",E3)))</formula>
    </cfRule>
  </conditionalFormatting>
  <conditionalFormatting sqref="E3:AH16 E19:AH38">
    <cfRule type="containsText" dxfId="1073" priority="356" operator="containsText" text="OT">
      <formula>NOT(ISERROR(SEARCH("OT",E3)))</formula>
    </cfRule>
  </conditionalFormatting>
  <conditionalFormatting sqref="E3:AH37">
    <cfRule type="containsBlanks" dxfId="1072" priority="5">
      <formula>LEN(TRIM(E3))=0</formula>
    </cfRule>
    <cfRule type="containsText" dxfId="1071" priority="6" operator="containsText" text="ABS">
      <formula>NOT(ISERROR(SEARCH("ABS",E3)))</formula>
    </cfRule>
    <cfRule type="containsText" dxfId="1070" priority="7" operator="containsText" text="V">
      <formula>NOT(ISERROR(SEARCH("V",E3)))</formula>
    </cfRule>
    <cfRule type="containsText" dxfId="1069" priority="9" operator="containsText" text="PH">
      <formula>NOT(ISERROR(SEARCH("PH",E3)))</formula>
    </cfRule>
    <cfRule type="containsText" dxfId="1068" priority="10" operator="containsText" text="A">
      <formula>NOT(ISERROR(SEARCH("A",E3)))</formula>
    </cfRule>
    <cfRule type="containsText" dxfId="1067" priority="8" operator="containsText" text="S">
      <formula>NOT(ISERROR(SEARCH("S",E3)))</formula>
    </cfRule>
  </conditionalFormatting>
  <conditionalFormatting sqref="E6:AH7 E10:AH10 E17 E18:AH24 E27:AH27 E30:AH30 E35:AH37">
    <cfRule type="containsText" dxfId="1066" priority="237" operator="containsText" text="S">
      <formula>NOT(ISERROR(SEARCH("S",E6)))</formula>
    </cfRule>
    <cfRule type="containsText" dxfId="1065" priority="236" operator="containsText" text="ID">
      <formula>NOT(ISERROR(SEARCH("ID",E6)))</formula>
    </cfRule>
    <cfRule type="containsBlanks" dxfId="1064" priority="235">
      <formula>LEN(TRIM(E6))=0</formula>
    </cfRule>
    <cfRule type="containsText" dxfId="1063" priority="234" operator="containsText" text="A">
      <formula>NOT(ISERROR(SEARCH("A",E6)))</formula>
    </cfRule>
    <cfRule type="containsText" dxfId="1062" priority="233" operator="containsText" text="PH">
      <formula>NOT(ISERROR(SEARCH("PH",E6)))</formula>
    </cfRule>
    <cfRule type="containsBlanks" dxfId="1061" priority="232">
      <formula>LEN(TRIM(E6))=0</formula>
    </cfRule>
    <cfRule type="containsText" dxfId="1060" priority="231" operator="containsText" text="A">
      <formula>NOT(ISERROR(SEARCH("A",E6)))</formula>
    </cfRule>
    <cfRule type="containsText" dxfId="1059" priority="230" operator="containsText" text="PH">
      <formula>NOT(ISERROR(SEARCH("PH",E6)))</formula>
    </cfRule>
    <cfRule type="containsText" dxfId="1058" priority="229" operator="containsText" text="S">
      <formula>NOT(ISERROR(SEARCH("S",E6)))</formula>
    </cfRule>
    <cfRule type="containsText" dxfId="1057" priority="228" operator="containsText" text="S">
      <formula>NOT(ISERROR(SEARCH("S",E6)))</formula>
    </cfRule>
    <cfRule type="containsText" dxfId="1056" priority="227" operator="containsText" text="ID">
      <formula>NOT(ISERROR(SEARCH("ID",E6)))</formula>
    </cfRule>
    <cfRule type="containsBlanks" dxfId="1055" priority="226">
      <formula>LEN(TRIM(E6))=0</formula>
    </cfRule>
    <cfRule type="containsText" dxfId="1054" priority="225" operator="containsText" text="A">
      <formula>NOT(ISERROR(SEARCH("A",E6)))</formula>
    </cfRule>
    <cfRule type="containsText" dxfId="1053" priority="224" operator="containsText" text="PH">
      <formula>NOT(ISERROR(SEARCH("PH",E6)))</formula>
    </cfRule>
    <cfRule type="containsText" dxfId="1052" priority="223" operator="containsText" text="S">
      <formula>NOT(ISERROR(SEARCH("S",E6)))</formula>
    </cfRule>
    <cfRule type="containsText" dxfId="1051" priority="222" operator="containsText" text="S">
      <formula>NOT(ISERROR(SEARCH("S",E6)))</formula>
    </cfRule>
    <cfRule type="containsText" dxfId="1050" priority="191" operator="containsText" text="ID">
      <formula>NOT(ISERROR(SEARCH("ID",E6)))</formula>
    </cfRule>
    <cfRule type="containsText" dxfId="1049" priority="192" operator="containsText" text="S">
      <formula>NOT(ISERROR(SEARCH("S",E6)))</formula>
    </cfRule>
    <cfRule type="containsText" dxfId="1048" priority="193" operator="containsText" text="ID">
      <formula>NOT(ISERROR(SEARCH("ID",E6)))</formula>
    </cfRule>
    <cfRule type="containsText" dxfId="1047" priority="194" operator="containsText" text="ID">
      <formula>NOT(ISERROR(SEARCH("ID",E6)))</formula>
    </cfRule>
    <cfRule type="containsText" dxfId="1046" priority="195" operator="containsText" text="S">
      <formula>NOT(ISERROR(SEARCH("S",E6)))</formula>
    </cfRule>
    <cfRule type="containsText" dxfId="1045" priority="196" operator="containsText" text="PH">
      <formula>NOT(ISERROR(SEARCH("PH",E6)))</formula>
    </cfRule>
    <cfRule type="containsText" dxfId="1044" priority="197" operator="containsText" text="A">
      <formula>NOT(ISERROR(SEARCH("A",E6)))</formula>
    </cfRule>
    <cfRule type="containsBlanks" dxfId="1043" priority="198">
      <formula>LEN(TRIM(E6))=0</formula>
    </cfRule>
    <cfRule type="containsText" dxfId="1042" priority="200" operator="containsText" text="ID">
      <formula>NOT(ISERROR(SEARCH("ID",E6)))</formula>
    </cfRule>
    <cfRule type="containsText" dxfId="1041" priority="201" operator="containsText" text="ID">
      <formula>NOT(ISERROR(SEARCH("ID",E6)))</formula>
    </cfRule>
    <cfRule type="containsText" dxfId="1040" priority="202" operator="containsText" text="ID">
      <formula>NOT(ISERROR(SEARCH("ID",E6)))</formula>
    </cfRule>
    <cfRule type="containsText" dxfId="1039" priority="203" operator="containsText" text="S">
      <formula>NOT(ISERROR(SEARCH("S",E6)))</formula>
    </cfRule>
    <cfRule type="containsText" dxfId="1038" priority="204" operator="containsText" text="S">
      <formula>NOT(ISERROR(SEARCH("S",E6)))</formula>
    </cfRule>
    <cfRule type="containsText" dxfId="1037" priority="205" operator="containsText" text="PH">
      <formula>NOT(ISERROR(SEARCH("PH",E6)))</formula>
    </cfRule>
    <cfRule type="containsText" dxfId="1036" priority="206" operator="containsText" text="A">
      <formula>NOT(ISERROR(SEARCH("A",E6)))</formula>
    </cfRule>
    <cfRule type="containsBlanks" dxfId="1035" priority="207">
      <formula>LEN(TRIM(E6))=0</formula>
    </cfRule>
    <cfRule type="containsText" dxfId="1034" priority="208" operator="containsText" text="PH">
      <formula>NOT(ISERROR(SEARCH("PH",E6)))</formula>
    </cfRule>
    <cfRule type="containsText" dxfId="1033" priority="209" operator="containsText" text="A">
      <formula>NOT(ISERROR(SEARCH("A",E6)))</formula>
    </cfRule>
    <cfRule type="containsBlanks" dxfId="1032" priority="210">
      <formula>LEN(TRIM(E6))=0</formula>
    </cfRule>
    <cfRule type="containsText" dxfId="1031" priority="211" operator="containsText" text="ID">
      <formula>NOT(ISERROR(SEARCH("ID",E6)))</formula>
    </cfRule>
    <cfRule type="containsText" dxfId="1030" priority="212" operator="containsText" text="ML">
      <formula>NOT(ISERROR(SEARCH("ML",E6)))</formula>
    </cfRule>
    <cfRule type="containsText" dxfId="1029" priority="213" operator="containsText" text="S">
      <formula>NOT(ISERROR(SEARCH("S",E6)))</formula>
    </cfRule>
    <cfRule type="containsText" dxfId="1028" priority="214" operator="containsText" text="CL">
      <formula>NOT(ISERROR(SEARCH("CL",E6)))</formula>
    </cfRule>
    <cfRule type="containsText" dxfId="1027" priority="215" operator="containsText" text="EL">
      <formula>NOT(ISERROR(SEARCH("EL",E6)))</formula>
    </cfRule>
    <cfRule type="containsText" dxfId="1026" priority="216" operator="containsText" text="S">
      <formula>NOT(ISERROR(SEARCH("S",E6)))</formula>
    </cfRule>
    <cfRule type="containsText" dxfId="1025" priority="217" operator="containsText" text="PH">
      <formula>NOT(ISERROR(SEARCH("PH",E6)))</formula>
    </cfRule>
    <cfRule type="containsText" dxfId="1024" priority="218" operator="containsText" text="A">
      <formula>NOT(ISERROR(SEARCH("A",E6)))</formula>
    </cfRule>
    <cfRule type="containsBlanks" dxfId="1023" priority="219">
      <formula>LEN(TRIM(E6))=0</formula>
    </cfRule>
    <cfRule type="containsText" dxfId="1022" priority="220" operator="containsText" text="ML">
      <formula>NOT(ISERROR(SEARCH("ML",E6)))</formula>
    </cfRule>
    <cfRule type="containsText" dxfId="1021" priority="199" operator="containsText" text="S">
      <formula>NOT(ISERROR(SEARCH("S",E6)))</formula>
    </cfRule>
    <cfRule type="containsText" dxfId="1020" priority="221" operator="containsText" text="ID">
      <formula>NOT(ISERROR(SEARCH("ID",E6)))</formula>
    </cfRule>
    <cfRule type="containsText" dxfId="1019" priority="275" operator="containsText" text="A">
      <formula>NOT(ISERROR(SEARCH("A",E6)))</formula>
    </cfRule>
    <cfRule type="containsText" dxfId="1018" priority="274" operator="containsText" text="PH">
      <formula>NOT(ISERROR(SEARCH("PH",E6)))</formula>
    </cfRule>
    <cfRule type="containsText" dxfId="1017" priority="273" operator="containsText" text="ID">
      <formula>NOT(ISERROR(SEARCH("ID",E6)))</formula>
    </cfRule>
    <cfRule type="containsText" dxfId="1016" priority="272" operator="containsText" text="S">
      <formula>NOT(ISERROR(SEARCH("S",E6)))</formula>
    </cfRule>
    <cfRule type="containsText" dxfId="1015" priority="271" operator="containsText" text="OT">
      <formula>NOT(ISERROR(SEARCH("OT",E6)))</formula>
    </cfRule>
    <cfRule type="containsBlanks" dxfId="1014" priority="270">
      <formula>LEN(TRIM(E6))=0</formula>
    </cfRule>
    <cfRule type="containsText" dxfId="1013" priority="269" operator="containsText" text="ML">
      <formula>NOT(ISERROR(SEARCH("ML",E6)))</formula>
    </cfRule>
    <cfRule type="containsText" dxfId="1012" priority="268" operator="containsText" text="ABS">
      <formula>NOT(ISERROR(SEARCH("ABS",E6)))</formula>
    </cfRule>
    <cfRule type="containsText" dxfId="1011" priority="267" operator="containsText" text="ID">
      <formula>NOT(ISERROR(SEARCH("ID",E6)))</formula>
    </cfRule>
    <cfRule type="containsText" dxfId="1010" priority="266" operator="containsText" text="S">
      <formula>NOT(ISERROR(SEARCH("S",E6)))</formula>
    </cfRule>
    <cfRule type="containsText" dxfId="1009" priority="265" operator="containsText" text="ID">
      <formula>NOT(ISERROR(SEARCH("ID",E6)))</formula>
    </cfRule>
    <cfRule type="containsBlanks" dxfId="1008" priority="264">
      <formula>LEN(TRIM(E6))=0</formula>
    </cfRule>
    <cfRule type="containsText" dxfId="1007" priority="263" operator="containsText" text="A">
      <formula>NOT(ISERROR(SEARCH("A",E6)))</formula>
    </cfRule>
    <cfRule type="containsText" dxfId="1006" priority="262" operator="containsText" text="PH">
      <formula>NOT(ISERROR(SEARCH("PH",E6)))</formula>
    </cfRule>
    <cfRule type="containsBlanks" dxfId="1005" priority="261">
      <formula>LEN(TRIM(E6))=0</formula>
    </cfRule>
    <cfRule type="containsText" dxfId="1004" priority="260" operator="containsText" text="A">
      <formula>NOT(ISERROR(SEARCH("A",E6)))</formula>
    </cfRule>
    <cfRule type="containsText" dxfId="1003" priority="259" operator="containsText" text="PH">
      <formula>NOT(ISERROR(SEARCH("PH",E6)))</formula>
    </cfRule>
    <cfRule type="containsText" dxfId="1002" priority="258" operator="containsText" text="S">
      <formula>NOT(ISERROR(SEARCH("S",E6)))</formula>
    </cfRule>
    <cfRule type="containsText" dxfId="1001" priority="257" operator="containsText" text="S">
      <formula>NOT(ISERROR(SEARCH("S",E6)))</formula>
    </cfRule>
    <cfRule type="containsText" dxfId="1000" priority="256" operator="containsText" text="ID">
      <formula>NOT(ISERROR(SEARCH("ID",E6)))</formula>
    </cfRule>
    <cfRule type="containsText" dxfId="999" priority="255" operator="containsText" text="ID">
      <formula>NOT(ISERROR(SEARCH("ID",E6)))</formula>
    </cfRule>
    <cfRule type="containsText" dxfId="998" priority="254" operator="containsText" text="ML">
      <formula>NOT(ISERROR(SEARCH("ML",E6)))</formula>
    </cfRule>
    <cfRule type="containsText" dxfId="997" priority="253" operator="containsText" text="S">
      <formula>NOT(ISERROR(SEARCH("S",E6)))</formula>
    </cfRule>
    <cfRule type="containsText" dxfId="996" priority="252" operator="containsText" text="ID">
      <formula>NOT(ISERROR(SEARCH("ID",E6)))</formula>
    </cfRule>
    <cfRule type="containsText" dxfId="995" priority="251" operator="containsText" text="ML">
      <formula>NOT(ISERROR(SEARCH("ML",E6)))</formula>
    </cfRule>
    <cfRule type="containsBlanks" dxfId="994" priority="250">
      <formula>LEN(TRIM(E6))=0</formula>
    </cfRule>
    <cfRule type="containsText" dxfId="993" priority="249" operator="containsText" text="A">
      <formula>NOT(ISERROR(SEARCH("A",E6)))</formula>
    </cfRule>
    <cfRule type="containsText" dxfId="992" priority="248" operator="containsText" text="PH">
      <formula>NOT(ISERROR(SEARCH("PH",E6)))</formula>
    </cfRule>
    <cfRule type="containsText" dxfId="991" priority="247" operator="containsText" text="S">
      <formula>NOT(ISERROR(SEARCH("S",E6)))</formula>
    </cfRule>
    <cfRule type="containsText" dxfId="990" priority="246" operator="containsText" text="S">
      <formula>NOT(ISERROR(SEARCH("S",E6)))</formula>
    </cfRule>
    <cfRule type="containsText" dxfId="989" priority="245" operator="containsText" text="ID">
      <formula>NOT(ISERROR(SEARCH("ID",E6)))</formula>
    </cfRule>
    <cfRule type="containsText" dxfId="988" priority="244" operator="containsText" text="ID">
      <formula>NOT(ISERROR(SEARCH("ID",E6)))</formula>
    </cfRule>
    <cfRule type="containsText" dxfId="987" priority="243" operator="containsText" text="ID">
      <formula>NOT(ISERROR(SEARCH("ID",E6)))</formula>
    </cfRule>
    <cfRule type="containsText" dxfId="986" priority="242" operator="containsText" text="ML">
      <formula>NOT(ISERROR(SEARCH("ML",E6)))</formula>
    </cfRule>
    <cfRule type="containsBlanks" dxfId="985" priority="241">
      <formula>LEN(TRIM(E6))=0</formula>
    </cfRule>
    <cfRule type="containsText" dxfId="984" priority="240" operator="containsText" text="A">
      <formula>NOT(ISERROR(SEARCH("A",E6)))</formula>
    </cfRule>
    <cfRule type="containsText" dxfId="983" priority="239" operator="containsText" text="PH">
      <formula>NOT(ISERROR(SEARCH("PH",E6)))</formula>
    </cfRule>
    <cfRule type="containsText" dxfId="982" priority="238" operator="containsText" text="S">
      <formula>NOT(ISERROR(SEARCH("S",E6)))</formula>
    </cfRule>
  </conditionalFormatting>
  <conditionalFormatting sqref="E6:AH7 E10:AH10 E16:AH24 E27:AH27 E30:AH30 E35:AH37">
    <cfRule type="containsText" dxfId="981" priority="103" operator="containsText" text="ABS">
      <formula>NOT(ISERROR(SEARCH("ABS",E6)))</formula>
    </cfRule>
    <cfRule type="containsText" dxfId="980" priority="104" operator="containsText" text="v">
      <formula>NOT(ISERROR(SEARCH("v",E6)))</formula>
    </cfRule>
  </conditionalFormatting>
  <conditionalFormatting sqref="E6:AH7 E10:AH10 E19:AH24 E27:AH27 E30:AH30 E35:AH36">
    <cfRule type="containsText" dxfId="979" priority="102" operator="containsText" text="ABS">
      <formula>NOT(ISERROR(SEARCH("ABS",E6)))</formula>
    </cfRule>
    <cfRule type="containsText" dxfId="978" priority="98" operator="containsText" text="S">
      <formula>NOT(ISERROR(SEARCH("S",E6)))</formula>
    </cfRule>
  </conditionalFormatting>
  <conditionalFormatting sqref="E6:AH7 E27:AH27 E30:AH30 E35:AH36 E10:AH10 E19:AH24">
    <cfRule type="containsText" dxfId="977" priority="101" operator="containsText" text="ABS">
      <formula>NOT(ISERROR(SEARCH("ABS",E6)))</formula>
    </cfRule>
  </conditionalFormatting>
  <conditionalFormatting sqref="E6:AH7 E27:AH27 E30:AH30 E35:AH36">
    <cfRule type="containsText" dxfId="976" priority="100" operator="containsText" text="s">
      <formula>NOT(ISERROR(SEARCH("s",E6)))</formula>
    </cfRule>
    <cfRule type="containsText" dxfId="975" priority="99" operator="containsText" text="s">
      <formula>NOT(ISERROR(SEARCH("s",E6)))</formula>
    </cfRule>
  </conditionalFormatting>
  <conditionalFormatting sqref="E15:AH15">
    <cfRule type="containsText" dxfId="974" priority="15" operator="containsText" text="S">
      <formula>NOT(ISERROR(SEARCH("S",E15)))</formula>
    </cfRule>
    <cfRule type="containsText" dxfId="973" priority="16" operator="containsText" text="ID">
      <formula>NOT(ISERROR(SEARCH("ID",E15)))</formula>
    </cfRule>
    <cfRule type="containsText" dxfId="972" priority="17" operator="containsText" text="ID">
      <formula>NOT(ISERROR(SEARCH("ID",E15)))</formula>
    </cfRule>
    <cfRule type="containsText" dxfId="971" priority="18" operator="containsText" text="S">
      <formula>NOT(ISERROR(SEARCH("S",E15)))</formula>
    </cfRule>
    <cfRule type="containsText" dxfId="970" priority="19" operator="containsText" text="PH">
      <formula>NOT(ISERROR(SEARCH("PH",E15)))</formula>
    </cfRule>
    <cfRule type="containsText" dxfId="969" priority="20" operator="containsText" text="A">
      <formula>NOT(ISERROR(SEARCH("A",E15)))</formula>
    </cfRule>
    <cfRule type="containsBlanks" dxfId="968" priority="21">
      <formula>LEN(TRIM(E15))=0</formula>
    </cfRule>
    <cfRule type="containsText" dxfId="967" priority="22" operator="containsText" text="S">
      <formula>NOT(ISERROR(SEARCH("S",E15)))</formula>
    </cfRule>
    <cfRule type="containsText" dxfId="966" priority="23" operator="containsText" text="ID">
      <formula>NOT(ISERROR(SEARCH("ID",E15)))</formula>
    </cfRule>
    <cfRule type="containsText" dxfId="965" priority="24" operator="containsText" text="ID">
      <formula>NOT(ISERROR(SEARCH("ID",E15)))</formula>
    </cfRule>
    <cfRule type="containsText" dxfId="964" priority="25" operator="containsText" text="ID">
      <formula>NOT(ISERROR(SEARCH("ID",E15)))</formula>
    </cfRule>
    <cfRule type="containsText" dxfId="963" priority="26" operator="containsText" text="S">
      <formula>NOT(ISERROR(SEARCH("S",E15)))</formula>
    </cfRule>
    <cfRule type="containsText" dxfId="962" priority="27" operator="containsText" text="S">
      <formula>NOT(ISERROR(SEARCH("S",E15)))</formula>
    </cfRule>
    <cfRule type="containsText" dxfId="961" priority="28" operator="containsText" text="PH">
      <formula>NOT(ISERROR(SEARCH("PH",E15)))</formula>
    </cfRule>
    <cfRule type="containsText" dxfId="960" priority="29" operator="containsText" text="A">
      <formula>NOT(ISERROR(SEARCH("A",E15)))</formula>
    </cfRule>
    <cfRule type="containsBlanks" dxfId="959" priority="30">
      <formula>LEN(TRIM(E15))=0</formula>
    </cfRule>
    <cfRule type="containsText" dxfId="958" priority="31" operator="containsText" text="PH">
      <formula>NOT(ISERROR(SEARCH("PH",E15)))</formula>
    </cfRule>
    <cfRule type="containsText" dxfId="957" priority="32" operator="containsText" text="A">
      <formula>NOT(ISERROR(SEARCH("A",E15)))</formula>
    </cfRule>
    <cfRule type="containsBlanks" dxfId="956" priority="33">
      <formula>LEN(TRIM(E15))=0</formula>
    </cfRule>
    <cfRule type="containsText" dxfId="955" priority="35" operator="containsText" text="ML">
      <formula>NOT(ISERROR(SEARCH("ML",E15)))</formula>
    </cfRule>
    <cfRule type="containsText" dxfId="954" priority="36" operator="containsText" text="S">
      <formula>NOT(ISERROR(SEARCH("S",E15)))</formula>
    </cfRule>
    <cfRule type="containsText" dxfId="953" priority="37" operator="containsText" text="CL">
      <formula>NOT(ISERROR(SEARCH("CL",E15)))</formula>
    </cfRule>
    <cfRule type="containsText" dxfId="952" priority="38" operator="containsText" text="EL">
      <formula>NOT(ISERROR(SEARCH("EL",E15)))</formula>
    </cfRule>
    <cfRule type="containsText" dxfId="951" priority="39" operator="containsText" text="S">
      <formula>NOT(ISERROR(SEARCH("S",E15)))</formula>
    </cfRule>
    <cfRule type="containsText" dxfId="950" priority="40" operator="containsText" text="PH">
      <formula>NOT(ISERROR(SEARCH("PH",E15)))</formula>
    </cfRule>
    <cfRule type="containsText" dxfId="949" priority="41" operator="containsText" text="A">
      <formula>NOT(ISERROR(SEARCH("A",E15)))</formula>
    </cfRule>
    <cfRule type="containsBlanks" dxfId="948" priority="42">
      <formula>LEN(TRIM(E15))=0</formula>
    </cfRule>
    <cfRule type="containsText" dxfId="947" priority="43" operator="containsText" text="ML">
      <formula>NOT(ISERROR(SEARCH("ML",E15)))</formula>
    </cfRule>
    <cfRule type="containsText" dxfId="946" priority="44" operator="containsText" text="ID">
      <formula>NOT(ISERROR(SEARCH("ID",E15)))</formula>
    </cfRule>
    <cfRule type="containsText" dxfId="945" priority="45" operator="containsText" text="S">
      <formula>NOT(ISERROR(SEARCH("S",E15)))</formula>
    </cfRule>
    <cfRule type="containsText" dxfId="944" priority="46" operator="containsText" text="S">
      <formula>NOT(ISERROR(SEARCH("S",E15)))</formula>
    </cfRule>
    <cfRule type="containsText" dxfId="943" priority="48" operator="containsText" text="A">
      <formula>NOT(ISERROR(SEARCH("A",E15)))</formula>
    </cfRule>
    <cfRule type="containsBlanks" dxfId="942" priority="49">
      <formula>LEN(TRIM(E15))=0</formula>
    </cfRule>
    <cfRule type="containsText" dxfId="941" priority="50" operator="containsText" text="ID">
      <formula>NOT(ISERROR(SEARCH("ID",E15)))</formula>
    </cfRule>
    <cfRule type="containsText" dxfId="940" priority="51" operator="containsText" text="S">
      <formula>NOT(ISERROR(SEARCH("S",E15)))</formula>
    </cfRule>
    <cfRule type="containsText" dxfId="939" priority="52" operator="containsText" text="S">
      <formula>NOT(ISERROR(SEARCH("S",E15)))</formula>
    </cfRule>
    <cfRule type="containsText" dxfId="938" priority="53" operator="containsText" text="PH">
      <formula>NOT(ISERROR(SEARCH("PH",E15)))</formula>
    </cfRule>
    <cfRule type="containsText" dxfId="937" priority="54" operator="containsText" text="A">
      <formula>NOT(ISERROR(SEARCH("A",E15)))</formula>
    </cfRule>
    <cfRule type="containsBlanks" dxfId="936" priority="55">
      <formula>LEN(TRIM(E15))=0</formula>
    </cfRule>
    <cfRule type="containsText" dxfId="935" priority="57" operator="containsText" text="A">
      <formula>NOT(ISERROR(SEARCH("A",E15)))</formula>
    </cfRule>
    <cfRule type="containsText" dxfId="934" priority="47" operator="containsText" text="PH">
      <formula>NOT(ISERROR(SEARCH("PH",E15)))</formula>
    </cfRule>
    <cfRule type="containsText" dxfId="933" priority="56" operator="containsText" text="PH">
      <formula>NOT(ISERROR(SEARCH("PH",E15)))</formula>
    </cfRule>
    <cfRule type="containsText" dxfId="932" priority="11" operator="containsText" text="ABS">
      <formula>NOT(ISERROR(SEARCH("ABS",E15)))</formula>
    </cfRule>
    <cfRule type="containsText" dxfId="931" priority="12" operator="containsText" text="v">
      <formula>NOT(ISERROR(SEARCH("v",E15)))</formula>
    </cfRule>
    <cfRule type="containsText" dxfId="930" priority="13" operator="containsText" text="S">
      <formula>NOT(ISERROR(SEARCH("S",E15)))</formula>
    </cfRule>
    <cfRule type="containsText" dxfId="929" priority="97" operator="containsText" text="A">
      <formula>NOT(ISERROR(SEARCH("A",E15)))</formula>
    </cfRule>
    <cfRule type="containsText" dxfId="928" priority="96" operator="containsText" text="PH">
      <formula>NOT(ISERROR(SEARCH("PH",E15)))</formula>
    </cfRule>
    <cfRule type="containsText" dxfId="927" priority="95" operator="containsText" text="ID">
      <formula>NOT(ISERROR(SEARCH("ID",E15)))</formula>
    </cfRule>
    <cfRule type="containsText" dxfId="926" priority="94" operator="containsText" text="S">
      <formula>NOT(ISERROR(SEARCH("S",E15)))</formula>
    </cfRule>
    <cfRule type="containsBlanks" dxfId="925" priority="93">
      <formula>LEN(TRIM(E15))=0</formula>
    </cfRule>
    <cfRule type="containsText" dxfId="924" priority="92" operator="containsText" text="ML">
      <formula>NOT(ISERROR(SEARCH("ML",E15)))</formula>
    </cfRule>
    <cfRule type="containsText" dxfId="923" priority="91" operator="containsText" text="ABS">
      <formula>NOT(ISERROR(SEARCH("ABS",E15)))</formula>
    </cfRule>
    <cfRule type="containsText" dxfId="922" priority="90" operator="containsText" text="ID">
      <formula>NOT(ISERROR(SEARCH("ID",E15)))</formula>
    </cfRule>
    <cfRule type="containsText" dxfId="921" priority="34" operator="containsText" text="ID">
      <formula>NOT(ISERROR(SEARCH("ID",E15)))</formula>
    </cfRule>
    <cfRule type="containsText" dxfId="920" priority="89" operator="containsText" text="S">
      <formula>NOT(ISERROR(SEARCH("S",E15)))</formula>
    </cfRule>
    <cfRule type="containsText" dxfId="919" priority="88" operator="containsText" text="ID">
      <formula>NOT(ISERROR(SEARCH("ID",E15)))</formula>
    </cfRule>
    <cfRule type="containsBlanks" dxfId="918" priority="87">
      <formula>LEN(TRIM(E15))=0</formula>
    </cfRule>
    <cfRule type="containsText" dxfId="917" priority="86" operator="containsText" text="A">
      <formula>NOT(ISERROR(SEARCH("A",E15)))</formula>
    </cfRule>
    <cfRule type="containsText" dxfId="916" priority="85" operator="containsText" text="PH">
      <formula>NOT(ISERROR(SEARCH("PH",E15)))</formula>
    </cfRule>
    <cfRule type="containsBlanks" dxfId="915" priority="84">
      <formula>LEN(TRIM(E15))=0</formula>
    </cfRule>
    <cfRule type="containsText" dxfId="914" priority="83" operator="containsText" text="A">
      <formula>NOT(ISERROR(SEARCH("A",E15)))</formula>
    </cfRule>
    <cfRule type="containsText" dxfId="913" priority="82" operator="containsText" text="PH">
      <formula>NOT(ISERROR(SEARCH("PH",E15)))</formula>
    </cfRule>
    <cfRule type="containsText" dxfId="912" priority="81" operator="containsText" text="S">
      <formula>NOT(ISERROR(SEARCH("S",E15)))</formula>
    </cfRule>
    <cfRule type="containsText" dxfId="911" priority="80" operator="containsText" text="S">
      <formula>NOT(ISERROR(SEARCH("S",E15)))</formula>
    </cfRule>
    <cfRule type="containsText" dxfId="910" priority="14" operator="containsText" text="ID">
      <formula>NOT(ISERROR(SEARCH("ID",E15)))</formula>
    </cfRule>
    <cfRule type="containsText" dxfId="909" priority="78" operator="containsText" text="ID">
      <formula>NOT(ISERROR(SEARCH("ID",E15)))</formula>
    </cfRule>
    <cfRule type="containsText" dxfId="908" priority="77" operator="containsText" text="ML">
      <formula>NOT(ISERROR(SEARCH("ML",E15)))</formula>
    </cfRule>
    <cfRule type="containsText" dxfId="907" priority="76" operator="containsText" text="S">
      <formula>NOT(ISERROR(SEARCH("S",E15)))</formula>
    </cfRule>
    <cfRule type="containsText" dxfId="906" priority="75" operator="containsText" text="ID">
      <formula>NOT(ISERROR(SEARCH("ID",E15)))</formula>
    </cfRule>
    <cfRule type="containsText" dxfId="905" priority="74" operator="containsText" text="ML">
      <formula>NOT(ISERROR(SEARCH("ML",E15)))</formula>
    </cfRule>
    <cfRule type="containsBlanks" dxfId="904" priority="73">
      <formula>LEN(TRIM(E15))=0</formula>
    </cfRule>
    <cfRule type="containsText" dxfId="903" priority="72" operator="containsText" text="A">
      <formula>NOT(ISERROR(SEARCH("A",E15)))</formula>
    </cfRule>
    <cfRule type="containsText" dxfId="902" priority="71" operator="containsText" text="PH">
      <formula>NOT(ISERROR(SEARCH("PH",E15)))</formula>
    </cfRule>
    <cfRule type="containsText" dxfId="901" priority="70" operator="containsText" text="S">
      <formula>NOT(ISERROR(SEARCH("S",E15)))</formula>
    </cfRule>
    <cfRule type="containsText" dxfId="900" priority="69" operator="containsText" text="S">
      <formula>NOT(ISERROR(SEARCH("S",E15)))</formula>
    </cfRule>
    <cfRule type="containsText" dxfId="899" priority="79" operator="containsText" text="ID">
      <formula>NOT(ISERROR(SEARCH("ID",E15)))</formula>
    </cfRule>
    <cfRule type="containsText" dxfId="898" priority="67" operator="containsText" text="ID">
      <formula>NOT(ISERROR(SEARCH("ID",E15)))</formula>
    </cfRule>
    <cfRule type="containsText" dxfId="897" priority="66" operator="containsText" text="ID">
      <formula>NOT(ISERROR(SEARCH("ID",E15)))</formula>
    </cfRule>
    <cfRule type="containsText" dxfId="896" priority="65" operator="containsText" text="ML">
      <formula>NOT(ISERROR(SEARCH("ML",E15)))</formula>
    </cfRule>
    <cfRule type="containsBlanks" dxfId="895" priority="64">
      <formula>LEN(TRIM(E15))=0</formula>
    </cfRule>
    <cfRule type="containsText" dxfId="894" priority="63" operator="containsText" text="A">
      <formula>NOT(ISERROR(SEARCH("A",E15)))</formula>
    </cfRule>
    <cfRule type="containsText" dxfId="893" priority="62" operator="containsText" text="PH">
      <formula>NOT(ISERROR(SEARCH("PH",E15)))</formula>
    </cfRule>
    <cfRule type="containsText" dxfId="892" priority="61" operator="containsText" text="S">
      <formula>NOT(ISERROR(SEARCH("S",E15)))</formula>
    </cfRule>
    <cfRule type="containsText" dxfId="891" priority="60" operator="containsText" text="S">
      <formula>NOT(ISERROR(SEARCH("S",E15)))</formula>
    </cfRule>
    <cfRule type="containsText" dxfId="890" priority="59" operator="containsText" text="ID">
      <formula>NOT(ISERROR(SEARCH("ID",E15)))</formula>
    </cfRule>
    <cfRule type="containsBlanks" dxfId="889" priority="58">
      <formula>LEN(TRIM(E15))=0</formula>
    </cfRule>
    <cfRule type="containsText" dxfId="888" priority="68" operator="containsText" text="ID">
      <formula>NOT(ISERROR(SEARCH("ID",E15)))</formula>
    </cfRule>
  </conditionalFormatting>
  <conditionalFormatting sqref="E16:AH16">
    <cfRule type="containsText" dxfId="887" priority="321" operator="containsText" text="ID">
      <formula>NOT(ISERROR(SEARCH("ID",E16)))</formula>
    </cfRule>
    <cfRule type="containsText" dxfId="886" priority="322" operator="containsText" text="S">
      <formula>NOT(ISERROR(SEARCH("S",E16)))</formula>
    </cfRule>
    <cfRule type="containsText" dxfId="885" priority="323" operator="containsText" text="S">
      <formula>NOT(ISERROR(SEARCH("S",E16)))</formula>
    </cfRule>
    <cfRule type="containsText" dxfId="884" priority="324" operator="containsText" text="PH">
      <formula>NOT(ISERROR(SEARCH("PH",E16)))</formula>
    </cfRule>
    <cfRule type="containsText" dxfId="883" priority="325" operator="containsText" text="A">
      <formula>NOT(ISERROR(SEARCH("A",E16)))</formula>
    </cfRule>
    <cfRule type="containsBlanks" dxfId="882" priority="326">
      <formula>LEN(TRIM(E16))=0</formula>
    </cfRule>
    <cfRule type="containsText" dxfId="881" priority="327" operator="containsText" text="ML">
      <formula>NOT(ISERROR(SEARCH("ML",E16)))</formula>
    </cfRule>
    <cfRule type="containsText" dxfId="880" priority="328" operator="containsText" text="ID">
      <formula>NOT(ISERROR(SEARCH("ID",E16)))</formula>
    </cfRule>
    <cfRule type="containsText" dxfId="879" priority="329" operator="containsText" text="ID">
      <formula>NOT(ISERROR(SEARCH("ID",E16)))</formula>
    </cfRule>
    <cfRule type="containsText" dxfId="878" priority="331" operator="containsText" text="S">
      <formula>NOT(ISERROR(SEARCH("S",E16)))</formula>
    </cfRule>
    <cfRule type="containsText" dxfId="877" priority="332" operator="containsText" text="S">
      <formula>NOT(ISERROR(SEARCH("S",E16)))</formula>
    </cfRule>
    <cfRule type="containsText" dxfId="876" priority="333" operator="containsText" text="PH">
      <formula>NOT(ISERROR(SEARCH("PH",E16)))</formula>
    </cfRule>
    <cfRule type="containsText" dxfId="875" priority="334" operator="containsText" text="A">
      <formula>NOT(ISERROR(SEARCH("A",E16)))</formula>
    </cfRule>
    <cfRule type="containsBlanks" dxfId="874" priority="335">
      <formula>LEN(TRIM(E16))=0</formula>
    </cfRule>
    <cfRule type="containsText" dxfId="873" priority="336" operator="containsText" text="ML">
      <formula>NOT(ISERROR(SEARCH("ML",E16)))</formula>
    </cfRule>
    <cfRule type="containsText" dxfId="872" priority="337" operator="containsText" text="ID">
      <formula>NOT(ISERROR(SEARCH("ID",E16)))</formula>
    </cfRule>
    <cfRule type="containsText" dxfId="871" priority="338" operator="containsText" text="S">
      <formula>NOT(ISERROR(SEARCH("S",E16)))</formula>
    </cfRule>
    <cfRule type="containsText" dxfId="870" priority="339" operator="containsText" text="ML">
      <formula>NOT(ISERROR(SEARCH("ML",E16)))</formula>
    </cfRule>
    <cfRule type="containsText" dxfId="869" priority="340" operator="containsText" text="ID">
      <formula>NOT(ISERROR(SEARCH("ID",E16)))</formula>
    </cfRule>
    <cfRule type="containsText" dxfId="868" priority="341" operator="containsText" text="ID">
      <formula>NOT(ISERROR(SEARCH("ID",E16)))</formula>
    </cfRule>
    <cfRule type="containsText" dxfId="867" priority="342" operator="containsText" text="S">
      <formula>NOT(ISERROR(SEARCH("S",E16)))</formula>
    </cfRule>
    <cfRule type="containsText" dxfId="866" priority="343" operator="containsText" text="S">
      <formula>NOT(ISERROR(SEARCH("S",E16)))</formula>
    </cfRule>
    <cfRule type="containsText" dxfId="865" priority="344" operator="containsText" text="PH">
      <formula>NOT(ISERROR(SEARCH("PH",E16)))</formula>
    </cfRule>
    <cfRule type="containsText" dxfId="864" priority="345" operator="containsText" text="A">
      <formula>NOT(ISERROR(SEARCH("A",E16)))</formula>
    </cfRule>
    <cfRule type="containsBlanks" dxfId="863" priority="346">
      <formula>LEN(TRIM(E16))=0</formula>
    </cfRule>
    <cfRule type="containsText" dxfId="862" priority="347" operator="containsText" text="PH">
      <formula>NOT(ISERROR(SEARCH("PH",E16)))</formula>
    </cfRule>
    <cfRule type="containsText" dxfId="861" priority="348" operator="containsText" text="A">
      <formula>NOT(ISERROR(SEARCH("A",E16)))</formula>
    </cfRule>
    <cfRule type="containsBlanks" dxfId="860" priority="349">
      <formula>LEN(TRIM(E16))=0</formula>
    </cfRule>
    <cfRule type="containsText" dxfId="859" priority="350" operator="containsText" text="ID">
      <formula>NOT(ISERROR(SEARCH("ID",E16)))</formula>
    </cfRule>
    <cfRule type="containsText" dxfId="858" priority="351" operator="containsText" text="S">
      <formula>NOT(ISERROR(SEARCH("S",E16)))</formula>
    </cfRule>
    <cfRule type="containsText" dxfId="857" priority="352" operator="containsText" text="ID">
      <formula>NOT(ISERROR(SEARCH("ID",E16)))</formula>
    </cfRule>
    <cfRule type="containsText" dxfId="856" priority="353" operator="containsText" text="ABS">
      <formula>NOT(ISERROR(SEARCH("ABS",E16)))</formula>
    </cfRule>
    <cfRule type="containsText" dxfId="855" priority="354" operator="containsText" text="ML">
      <formula>NOT(ISERROR(SEARCH("ML",E16)))</formula>
    </cfRule>
    <cfRule type="containsBlanks" dxfId="854" priority="355">
      <formula>LEN(TRIM(E16))=0</formula>
    </cfRule>
    <cfRule type="containsText" dxfId="853" priority="357" operator="containsText" text="S">
      <formula>NOT(ISERROR(SEARCH("S",E16)))</formula>
    </cfRule>
    <cfRule type="containsText" dxfId="852" priority="358" operator="containsText" text="ID">
      <formula>NOT(ISERROR(SEARCH("ID",E16)))</formula>
    </cfRule>
    <cfRule type="containsText" dxfId="851" priority="359" operator="containsText" text="PH">
      <formula>NOT(ISERROR(SEARCH("PH",E16)))</formula>
    </cfRule>
    <cfRule type="containsText" dxfId="850" priority="360" operator="containsText" text="A">
      <formula>NOT(ISERROR(SEARCH("A",E16)))</formula>
    </cfRule>
    <cfRule type="containsText" dxfId="849" priority="276" operator="containsText" text="ID">
      <formula>NOT(ISERROR(SEARCH("ID",E16)))</formula>
    </cfRule>
    <cfRule type="containsText" dxfId="848" priority="277" operator="containsText" text="S">
      <formula>NOT(ISERROR(SEARCH("S",E16)))</formula>
    </cfRule>
    <cfRule type="containsText" dxfId="847" priority="278" operator="containsText" text="ID">
      <formula>NOT(ISERROR(SEARCH("ID",E16)))</formula>
    </cfRule>
    <cfRule type="containsText" dxfId="846" priority="279" operator="containsText" text="ID">
      <formula>NOT(ISERROR(SEARCH("ID",E16)))</formula>
    </cfRule>
    <cfRule type="containsText" dxfId="845" priority="280" operator="containsText" text="S">
      <formula>NOT(ISERROR(SEARCH("S",E16)))</formula>
    </cfRule>
    <cfRule type="containsText" dxfId="844" priority="281" operator="containsText" text="PH">
      <formula>NOT(ISERROR(SEARCH("PH",E16)))</formula>
    </cfRule>
    <cfRule type="containsText" dxfId="843" priority="282" operator="containsText" text="A">
      <formula>NOT(ISERROR(SEARCH("A",E16)))</formula>
    </cfRule>
    <cfRule type="containsBlanks" dxfId="842" priority="283">
      <formula>LEN(TRIM(E16))=0</formula>
    </cfRule>
    <cfRule type="containsText" dxfId="841" priority="284" operator="containsText" text="S">
      <formula>NOT(ISERROR(SEARCH("S",E16)))</formula>
    </cfRule>
    <cfRule type="containsText" dxfId="840" priority="285" operator="containsText" text="ID">
      <formula>NOT(ISERROR(SEARCH("ID",E16)))</formula>
    </cfRule>
    <cfRule type="containsText" dxfId="839" priority="286" operator="containsText" text="ID">
      <formula>NOT(ISERROR(SEARCH("ID",E16)))</formula>
    </cfRule>
    <cfRule type="containsText" dxfId="838" priority="287" operator="containsText" text="ID">
      <formula>NOT(ISERROR(SEARCH("ID",E16)))</formula>
    </cfRule>
    <cfRule type="containsText" dxfId="837" priority="288" operator="containsText" text="S">
      <formula>NOT(ISERROR(SEARCH("S",E16)))</formula>
    </cfRule>
    <cfRule type="containsText" dxfId="836" priority="289" operator="containsText" text="S">
      <formula>NOT(ISERROR(SEARCH("S",E16)))</formula>
    </cfRule>
    <cfRule type="containsText" dxfId="835" priority="290" operator="containsText" text="PH">
      <formula>NOT(ISERROR(SEARCH("PH",E16)))</formula>
    </cfRule>
    <cfRule type="containsText" dxfId="834" priority="291" operator="containsText" text="A">
      <formula>NOT(ISERROR(SEARCH("A",E16)))</formula>
    </cfRule>
    <cfRule type="containsBlanks" dxfId="833" priority="292">
      <formula>LEN(TRIM(E16))=0</formula>
    </cfRule>
    <cfRule type="containsText" dxfId="832" priority="293" operator="containsText" text="PH">
      <formula>NOT(ISERROR(SEARCH("PH",E16)))</formula>
    </cfRule>
    <cfRule type="containsText" dxfId="831" priority="294" operator="containsText" text="A">
      <formula>NOT(ISERROR(SEARCH("A",E16)))</formula>
    </cfRule>
    <cfRule type="containsBlanks" dxfId="830" priority="295">
      <formula>LEN(TRIM(E16))=0</formula>
    </cfRule>
    <cfRule type="containsText" dxfId="829" priority="296" operator="containsText" text="ID">
      <formula>NOT(ISERROR(SEARCH("ID",E16)))</formula>
    </cfRule>
    <cfRule type="containsText" dxfId="828" priority="297" operator="containsText" text="ML">
      <formula>NOT(ISERROR(SEARCH("ML",E16)))</formula>
    </cfRule>
    <cfRule type="containsText" dxfId="827" priority="298" operator="containsText" text="S">
      <formula>NOT(ISERROR(SEARCH("S",E16)))</formula>
    </cfRule>
    <cfRule type="containsText" dxfId="826" priority="299" operator="containsText" text="CL">
      <formula>NOT(ISERROR(SEARCH("CL",E16)))</formula>
    </cfRule>
    <cfRule type="containsText" dxfId="825" priority="300" operator="containsText" text="EL">
      <formula>NOT(ISERROR(SEARCH("EL",E16)))</formula>
    </cfRule>
    <cfRule type="containsText" dxfId="824" priority="301" operator="containsText" text="S">
      <formula>NOT(ISERROR(SEARCH("S",E16)))</formula>
    </cfRule>
    <cfRule type="containsText" dxfId="823" priority="302" operator="containsText" text="PH">
      <formula>NOT(ISERROR(SEARCH("PH",E16)))</formula>
    </cfRule>
    <cfRule type="containsText" dxfId="822" priority="303" operator="containsText" text="A">
      <formula>NOT(ISERROR(SEARCH("A",E16)))</formula>
    </cfRule>
    <cfRule type="containsBlanks" dxfId="821" priority="304">
      <formula>LEN(TRIM(E16))=0</formula>
    </cfRule>
    <cfRule type="containsText" dxfId="820" priority="305" operator="containsText" text="ML">
      <formula>NOT(ISERROR(SEARCH("ML",E16)))</formula>
    </cfRule>
    <cfRule type="containsText" dxfId="819" priority="306" operator="containsText" text="ID">
      <formula>NOT(ISERROR(SEARCH("ID",E16)))</formula>
    </cfRule>
    <cfRule type="containsText" dxfId="818" priority="307" operator="containsText" text="S">
      <formula>NOT(ISERROR(SEARCH("S",E16)))</formula>
    </cfRule>
    <cfRule type="containsText" dxfId="817" priority="308" operator="containsText" text="S">
      <formula>NOT(ISERROR(SEARCH("S",E16)))</formula>
    </cfRule>
    <cfRule type="containsText" dxfId="816" priority="309" operator="containsText" text="PH">
      <formula>NOT(ISERROR(SEARCH("PH",E16)))</formula>
    </cfRule>
    <cfRule type="containsText" dxfId="815" priority="310" operator="containsText" text="A">
      <formula>NOT(ISERROR(SEARCH("A",E16)))</formula>
    </cfRule>
    <cfRule type="containsBlanks" dxfId="814" priority="311">
      <formula>LEN(TRIM(E16))=0</formula>
    </cfRule>
    <cfRule type="containsText" dxfId="813" priority="312" operator="containsText" text="ID">
      <formula>NOT(ISERROR(SEARCH("ID",E16)))</formula>
    </cfRule>
    <cfRule type="containsText" dxfId="812" priority="313" operator="containsText" text="S">
      <formula>NOT(ISERROR(SEARCH("S",E16)))</formula>
    </cfRule>
    <cfRule type="containsText" dxfId="811" priority="314" operator="containsText" text="S">
      <formula>NOT(ISERROR(SEARCH("S",E16)))</formula>
    </cfRule>
    <cfRule type="containsText" dxfId="810" priority="315" operator="containsText" text="PH">
      <formula>NOT(ISERROR(SEARCH("PH",E16)))</formula>
    </cfRule>
    <cfRule type="containsText" dxfId="809" priority="316" operator="containsText" text="A">
      <formula>NOT(ISERROR(SEARCH("A",E16)))</formula>
    </cfRule>
    <cfRule type="containsBlanks" dxfId="808" priority="317">
      <formula>LEN(TRIM(E16))=0</formula>
    </cfRule>
    <cfRule type="containsText" dxfId="807" priority="318" operator="containsText" text="PH">
      <formula>NOT(ISERROR(SEARCH("PH",E16)))</formula>
    </cfRule>
    <cfRule type="containsText" dxfId="806" priority="319" operator="containsText" text="A">
      <formula>NOT(ISERROR(SEARCH("A",E16)))</formula>
    </cfRule>
    <cfRule type="containsBlanks" dxfId="805" priority="320">
      <formula>LEN(TRIM(E16))=0</formula>
    </cfRule>
    <cfRule type="containsText" dxfId="804" priority="330" operator="containsText" text="ID">
      <formula>NOT(ISERROR(SEARCH("ID",E16)))</formula>
    </cfRule>
  </conditionalFormatting>
  <conditionalFormatting sqref="E16:AH24 E6:AH7 E10:AH10 E27:AH27 E30:AH30 E35:AH37">
    <cfRule type="containsText" dxfId="803" priority="187" operator="containsText" text="S">
      <formula>NOT(ISERROR(SEARCH("S",E6)))</formula>
    </cfRule>
  </conditionalFormatting>
  <conditionalFormatting sqref="E37:AH37">
    <cfRule type="containsText" dxfId="802" priority="3" operator="containsText" text="ABS">
      <formula>NOT(ISERROR(SEARCH("ABS",E37)))</formula>
    </cfRule>
    <cfRule type="containsText" dxfId="801" priority="4" operator="containsText" text="ABS">
      <formula>NOT(ISERROR(SEARCH("ABS",E37)))</formula>
    </cfRule>
  </conditionalFormatting>
  <conditionalFormatting sqref="F17:AH17">
    <cfRule type="containsText" dxfId="800" priority="173" operator="containsText" text="S">
      <formula>NOT(ISERROR(SEARCH("S",F17)))</formula>
    </cfRule>
    <cfRule type="containsText" dxfId="799" priority="172" operator="containsText" text="S">
      <formula>NOT(ISERROR(SEARCH("S",F17)))</formula>
    </cfRule>
    <cfRule type="containsText" dxfId="798" priority="171" operator="containsText" text="ID">
      <formula>NOT(ISERROR(SEARCH("ID",F17)))</formula>
    </cfRule>
    <cfRule type="containsText" dxfId="797" priority="170" operator="containsText" text="ID">
      <formula>NOT(ISERROR(SEARCH("ID",F17)))</formula>
    </cfRule>
    <cfRule type="containsText" dxfId="796" priority="169" operator="containsText" text="ML">
      <formula>NOT(ISERROR(SEARCH("ML",F17)))</formula>
    </cfRule>
    <cfRule type="containsText" dxfId="795" priority="168" operator="containsText" text="S">
      <formula>NOT(ISERROR(SEARCH("S",F17)))</formula>
    </cfRule>
    <cfRule type="containsBlanks" dxfId="794" priority="134">
      <formula>LEN(TRIM(F17))=0</formula>
    </cfRule>
    <cfRule type="containsText" dxfId="793" priority="167" operator="containsText" text="ID">
      <formula>NOT(ISERROR(SEARCH("ID",F17)))</formula>
    </cfRule>
    <cfRule type="containsBlanks" dxfId="792" priority="165">
      <formula>LEN(TRIM(F17))=0</formula>
    </cfRule>
    <cfRule type="containsText" dxfId="791" priority="164" operator="containsText" text="A">
      <formula>NOT(ISERROR(SEARCH("A",F17)))</formula>
    </cfRule>
    <cfRule type="containsText" dxfId="790" priority="163" operator="containsText" text="PH">
      <formula>NOT(ISERROR(SEARCH("PH",F17)))</formula>
    </cfRule>
    <cfRule type="containsText" dxfId="789" priority="133" operator="containsText" text="A">
      <formula>NOT(ISERROR(SEARCH("A",F17)))</formula>
    </cfRule>
    <cfRule type="containsText" dxfId="788" priority="132" operator="containsText" text="PH">
      <formula>NOT(ISERROR(SEARCH("PH",F17)))</formula>
    </cfRule>
    <cfRule type="containsText" dxfId="787" priority="131" operator="containsText" text="S">
      <formula>NOT(ISERROR(SEARCH("S",F17)))</formula>
    </cfRule>
    <cfRule type="containsText" dxfId="786" priority="130" operator="containsText" text="EL">
      <formula>NOT(ISERROR(SEARCH("EL",F17)))</formula>
    </cfRule>
    <cfRule type="containsText" dxfId="785" priority="129" operator="containsText" text="CL">
      <formula>NOT(ISERROR(SEARCH("CL",F17)))</formula>
    </cfRule>
    <cfRule type="containsText" dxfId="784" priority="128" operator="containsText" text="S">
      <formula>NOT(ISERROR(SEARCH("S",F17)))</formula>
    </cfRule>
    <cfRule type="containsText" dxfId="783" priority="127" operator="containsText" text="ML">
      <formula>NOT(ISERROR(SEARCH("ML",F17)))</formula>
    </cfRule>
    <cfRule type="containsText" dxfId="782" priority="126" operator="containsText" text="ID">
      <formula>NOT(ISERROR(SEARCH("ID",F17)))</formula>
    </cfRule>
    <cfRule type="containsBlanks" dxfId="781" priority="125">
      <formula>LEN(TRIM(F17))=0</formula>
    </cfRule>
    <cfRule type="containsText" dxfId="780" priority="124" operator="containsText" text="A">
      <formula>NOT(ISERROR(SEARCH("A",F17)))</formula>
    </cfRule>
    <cfRule type="containsText" dxfId="779" priority="123" operator="containsText" text="PH">
      <formula>NOT(ISERROR(SEARCH("PH",F17)))</formula>
    </cfRule>
    <cfRule type="containsBlanks" dxfId="778" priority="122">
      <formula>LEN(TRIM(F17))=0</formula>
    </cfRule>
    <cfRule type="containsText" dxfId="777" priority="121" operator="containsText" text="A">
      <formula>NOT(ISERROR(SEARCH("A",F17)))</formula>
    </cfRule>
    <cfRule type="containsText" dxfId="776" priority="120" operator="containsText" text="PH">
      <formula>NOT(ISERROR(SEARCH("PH",F17)))</formula>
    </cfRule>
    <cfRule type="containsText" dxfId="775" priority="119" operator="containsText" text="S">
      <formula>NOT(ISERROR(SEARCH("S",F17)))</formula>
    </cfRule>
    <cfRule type="containsText" dxfId="774" priority="118" operator="containsText" text="S">
      <formula>NOT(ISERROR(SEARCH("S",F17)))</formula>
    </cfRule>
    <cfRule type="containsText" dxfId="773" priority="117" operator="containsText" text="ID">
      <formula>NOT(ISERROR(SEARCH("ID",F17)))</formula>
    </cfRule>
    <cfRule type="containsText" dxfId="772" priority="116" operator="containsText" text="ID">
      <formula>NOT(ISERROR(SEARCH("ID",F17)))</formula>
    </cfRule>
    <cfRule type="containsText" dxfId="771" priority="115" operator="containsText" text="ID">
      <formula>NOT(ISERROR(SEARCH("ID",F17)))</formula>
    </cfRule>
    <cfRule type="containsText" dxfId="770" priority="114" operator="containsText" text="S">
      <formula>NOT(ISERROR(SEARCH("S",F17)))</formula>
    </cfRule>
    <cfRule type="containsBlanks" dxfId="769" priority="113">
      <formula>LEN(TRIM(F17))=0</formula>
    </cfRule>
    <cfRule type="containsText" dxfId="768" priority="112" operator="containsText" text="A">
      <formula>NOT(ISERROR(SEARCH("A",F17)))</formula>
    </cfRule>
    <cfRule type="containsText" dxfId="767" priority="174" operator="containsText" text="PH">
      <formula>NOT(ISERROR(SEARCH("PH",F17)))</formula>
    </cfRule>
    <cfRule type="containsText" dxfId="766" priority="110" operator="containsText" text="S">
      <formula>NOT(ISERROR(SEARCH("S",F17)))</formula>
    </cfRule>
    <cfRule type="containsText" dxfId="765" priority="111" operator="containsText" text="PH">
      <formula>NOT(ISERROR(SEARCH("PH",F17)))</formula>
    </cfRule>
    <cfRule type="containsText" dxfId="764" priority="109" operator="containsText" text="ID">
      <formula>NOT(ISERROR(SEARCH("ID",F17)))</formula>
    </cfRule>
    <cfRule type="containsText" dxfId="763" priority="108" operator="containsText" text="ID">
      <formula>NOT(ISERROR(SEARCH("ID",F17)))</formula>
    </cfRule>
    <cfRule type="containsText" dxfId="762" priority="107" operator="containsText" text="S">
      <formula>NOT(ISERROR(SEARCH("S",F17)))</formula>
    </cfRule>
    <cfRule type="containsText" dxfId="761" priority="106" operator="containsText" text="ID">
      <formula>NOT(ISERROR(SEARCH("ID",F17)))</formula>
    </cfRule>
    <cfRule type="containsText" dxfId="760" priority="105" operator="containsText" text="S">
      <formula>NOT(ISERROR(SEARCH("S",F17)))</formula>
    </cfRule>
    <cfRule type="containsText" dxfId="759" priority="162" operator="containsText" text="S">
      <formula>NOT(ISERROR(SEARCH("S",F17)))</formula>
    </cfRule>
    <cfRule type="containsText" dxfId="758" priority="161" operator="containsText" text="S">
      <formula>NOT(ISERROR(SEARCH("S",F17)))</formula>
    </cfRule>
    <cfRule type="containsText" dxfId="757" priority="160" operator="containsText" text="ID">
      <formula>NOT(ISERROR(SEARCH("ID",F17)))</formula>
    </cfRule>
    <cfRule type="containsText" dxfId="756" priority="159" operator="containsText" text="ID">
      <formula>NOT(ISERROR(SEARCH("ID",F17)))</formula>
    </cfRule>
    <cfRule type="containsText" dxfId="755" priority="158" operator="containsText" text="ID">
      <formula>NOT(ISERROR(SEARCH("ID",F17)))</formula>
    </cfRule>
    <cfRule type="containsText" dxfId="754" priority="157" operator="containsText" text="ML">
      <formula>NOT(ISERROR(SEARCH("ML",F17)))</formula>
    </cfRule>
    <cfRule type="containsBlanks" dxfId="753" priority="156">
      <formula>LEN(TRIM(F17))=0</formula>
    </cfRule>
    <cfRule type="containsText" dxfId="752" priority="155" operator="containsText" text="A">
      <formula>NOT(ISERROR(SEARCH("A",F17)))</formula>
    </cfRule>
    <cfRule type="containsText" dxfId="751" priority="154" operator="containsText" text="PH">
      <formula>NOT(ISERROR(SEARCH("PH",F17)))</formula>
    </cfRule>
    <cfRule type="containsText" dxfId="750" priority="153" operator="containsText" text="S">
      <formula>NOT(ISERROR(SEARCH("S",F17)))</formula>
    </cfRule>
    <cfRule type="containsText" dxfId="749" priority="152" operator="containsText" text="S">
      <formula>NOT(ISERROR(SEARCH("S",F17)))</formula>
    </cfRule>
    <cfRule type="containsText" dxfId="748" priority="151" operator="containsText" text="ID">
      <formula>NOT(ISERROR(SEARCH("ID",F17)))</formula>
    </cfRule>
    <cfRule type="containsBlanks" dxfId="747" priority="150">
      <formula>LEN(TRIM(F17))=0</formula>
    </cfRule>
    <cfRule type="containsText" dxfId="746" priority="149" operator="containsText" text="A">
      <formula>NOT(ISERROR(SEARCH("A",F17)))</formula>
    </cfRule>
    <cfRule type="containsText" dxfId="745" priority="148" operator="containsText" text="PH">
      <formula>NOT(ISERROR(SEARCH("PH",F17)))</formula>
    </cfRule>
    <cfRule type="containsBlanks" dxfId="744" priority="147">
      <formula>LEN(TRIM(F17))=0</formula>
    </cfRule>
    <cfRule type="containsText" dxfId="743" priority="146" operator="containsText" text="A">
      <formula>NOT(ISERROR(SEARCH("A",F17)))</formula>
    </cfRule>
    <cfRule type="containsText" dxfId="742" priority="145" operator="containsText" text="PH">
      <formula>NOT(ISERROR(SEARCH("PH",F17)))</formula>
    </cfRule>
    <cfRule type="containsText" dxfId="741" priority="144" operator="containsText" text="S">
      <formula>NOT(ISERROR(SEARCH("S",F17)))</formula>
    </cfRule>
    <cfRule type="containsText" dxfId="740" priority="143" operator="containsText" text="S">
      <formula>NOT(ISERROR(SEARCH("S",F17)))</formula>
    </cfRule>
    <cfRule type="containsText" dxfId="739" priority="142" operator="containsText" text="ID">
      <formula>NOT(ISERROR(SEARCH("ID",F17)))</formula>
    </cfRule>
    <cfRule type="containsBlanks" dxfId="738" priority="141">
      <formula>LEN(TRIM(F17))=0</formula>
    </cfRule>
    <cfRule type="containsText" dxfId="737" priority="140" operator="containsText" text="A">
      <formula>NOT(ISERROR(SEARCH("A",F17)))</formula>
    </cfRule>
    <cfRule type="containsText" dxfId="736" priority="139" operator="containsText" text="PH">
      <formula>NOT(ISERROR(SEARCH("PH",F17)))</formula>
    </cfRule>
    <cfRule type="containsText" dxfId="735" priority="138" operator="containsText" text="S">
      <formula>NOT(ISERROR(SEARCH("S",F17)))</formula>
    </cfRule>
    <cfRule type="containsText" dxfId="734" priority="137" operator="containsText" text="S">
      <formula>NOT(ISERROR(SEARCH("S",F17)))</formula>
    </cfRule>
    <cfRule type="containsText" dxfId="733" priority="135" operator="containsText" text="ML">
      <formula>NOT(ISERROR(SEARCH("ML",F17)))</formula>
    </cfRule>
    <cfRule type="containsText" dxfId="732" priority="136" operator="containsText" text="ID">
      <formula>NOT(ISERROR(SEARCH("ID",F17)))</formula>
    </cfRule>
    <cfRule type="containsText" dxfId="731" priority="166" operator="containsText" text="ML">
      <formula>NOT(ISERROR(SEARCH("ML",F17)))</formula>
    </cfRule>
    <cfRule type="containsText" dxfId="730" priority="190" operator="containsText" text="A">
      <formula>NOT(ISERROR(SEARCH("A",F17)))</formula>
    </cfRule>
    <cfRule type="containsText" dxfId="729" priority="189" operator="containsText" text="PH">
      <formula>NOT(ISERROR(SEARCH("PH",F17)))</formula>
    </cfRule>
    <cfRule type="containsText" dxfId="728" priority="188" operator="containsText" text="ID">
      <formula>NOT(ISERROR(SEARCH("ID",F17)))</formula>
    </cfRule>
    <cfRule type="containsText" dxfId="727" priority="186" operator="containsText" text="OT">
      <formula>NOT(ISERROR(SEARCH("OT",F17)))</formula>
    </cfRule>
    <cfRule type="containsBlanks" dxfId="726" priority="185">
      <formula>LEN(TRIM(F17))=0</formula>
    </cfRule>
    <cfRule type="containsText" dxfId="725" priority="184" operator="containsText" text="ML">
      <formula>NOT(ISERROR(SEARCH("ML",F17)))</formula>
    </cfRule>
    <cfRule type="containsText" dxfId="724" priority="183" operator="containsText" text="ABS">
      <formula>NOT(ISERROR(SEARCH("ABS",F17)))</formula>
    </cfRule>
    <cfRule type="containsText" dxfId="723" priority="182" operator="containsText" text="ID">
      <formula>NOT(ISERROR(SEARCH("ID",F17)))</formula>
    </cfRule>
    <cfRule type="containsText" dxfId="722" priority="181" operator="containsText" text="S">
      <formula>NOT(ISERROR(SEARCH("S",F17)))</formula>
    </cfRule>
    <cfRule type="containsText" dxfId="721" priority="180" operator="containsText" text="ID">
      <formula>NOT(ISERROR(SEARCH("ID",F17)))</formula>
    </cfRule>
    <cfRule type="containsBlanks" dxfId="720" priority="179">
      <formula>LEN(TRIM(F17))=0</formula>
    </cfRule>
    <cfRule type="containsText" dxfId="719" priority="178" operator="containsText" text="A">
      <formula>NOT(ISERROR(SEARCH("A",F17)))</formula>
    </cfRule>
    <cfRule type="containsText" dxfId="718" priority="177" operator="containsText" text="PH">
      <formula>NOT(ISERROR(SEARCH("PH",F17)))</formula>
    </cfRule>
    <cfRule type="containsBlanks" dxfId="717" priority="176">
      <formula>LEN(TRIM(F17))=0</formula>
    </cfRule>
    <cfRule type="containsText" dxfId="716" priority="175" operator="containsText" text="A">
      <formula>NOT(ISERROR(SEARCH("A",F17)))</formula>
    </cfRule>
  </conditionalFormatting>
  <conditionalFormatting sqref="K19:K24 R19:R24">
    <cfRule type="containsText" dxfId="715" priority="1" operator="containsText" text="s">
      <formula>NOT(ISERROR(SEARCH("s",K19)))</formula>
    </cfRule>
    <cfRule type="containsText" dxfId="714" priority="2" operator="containsText" text="s">
      <formula>NOT(ISERROR(SEARCH("s",K19)))</formula>
    </cfRule>
  </conditionalFormatting>
  <conditionalFormatting sqref="AJ3:AJ38">
    <cfRule type="expression" dxfId="713" priority="399">
      <formula>CELL("ROW")=ROW()</formula>
    </cfRule>
  </conditionalFormatting>
  <pageMargins left="0.7" right="0.7" top="0.75" bottom="0.75" header="0.3" footer="0.3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8"/>
  <sheetViews>
    <sheetView zoomScale="85" zoomScaleNormal="85" workbookViewId="0">
      <pane xSplit="3" ySplit="2" topLeftCell="D4" activePane="bottomRight" state="frozen"/>
      <selection pane="topRight" activeCell="D1" sqref="D1"/>
      <selection pane="bottomLeft" activeCell="A3" sqref="A3"/>
      <selection pane="bottomRight" activeCell="C5" sqref="C5"/>
    </sheetView>
  </sheetViews>
  <sheetFormatPr defaultColWidth="6.7109375" defaultRowHeight="18" customHeight="1" x14ac:dyDescent="0.25"/>
  <cols>
    <col min="1" max="2" width="6.28515625" style="6" customWidth="1"/>
    <col min="3" max="3" width="29.42578125" style="9" bestFit="1" customWidth="1"/>
    <col min="4" max="4" width="17" style="6" customWidth="1"/>
    <col min="5" max="34" width="5.28515625" style="6" customWidth="1"/>
    <col min="35" max="35" width="14.7109375" style="6" bestFit="1" customWidth="1"/>
    <col min="36" max="36" width="8.7109375" style="6" customWidth="1"/>
    <col min="37" max="37" width="12.7109375" style="6" customWidth="1"/>
    <col min="38" max="38" width="40.85546875" style="6" bestFit="1" customWidth="1"/>
    <col min="39" max="16384" width="6.7109375" style="6"/>
  </cols>
  <sheetData>
    <row r="1" spans="1:38" ht="45" customHeight="1" x14ac:dyDescent="0.25">
      <c r="A1" s="40" t="s">
        <v>514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pans="1:38" ht="40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1</v>
      </c>
      <c r="F2" s="1">
        <v>2</v>
      </c>
      <c r="G2" s="1">
        <v>3</v>
      </c>
      <c r="H2" s="1">
        <v>4</v>
      </c>
      <c r="I2" s="34">
        <v>5</v>
      </c>
      <c r="J2" s="1">
        <v>6</v>
      </c>
      <c r="K2" s="29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29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29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29">
        <v>28</v>
      </c>
      <c r="AG2" s="1">
        <v>29</v>
      </c>
      <c r="AH2" s="1">
        <v>30</v>
      </c>
      <c r="AI2" s="20" t="s">
        <v>5</v>
      </c>
      <c r="AJ2" s="20" t="s">
        <v>81</v>
      </c>
      <c r="AK2" s="1" t="s">
        <v>6</v>
      </c>
      <c r="AL2" s="1" t="s">
        <v>4</v>
      </c>
    </row>
    <row r="3" spans="1:38" ht="19.899999999999999" customHeight="1" x14ac:dyDescent="0.25">
      <c r="A3" s="2">
        <v>1</v>
      </c>
      <c r="B3" s="7" t="s">
        <v>394</v>
      </c>
      <c r="C3" s="4" t="s">
        <v>395</v>
      </c>
      <c r="D3" s="2" t="s">
        <v>165</v>
      </c>
      <c r="E3" s="23">
        <v>10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2">
        <f t="shared" ref="AI3:AI34" si="0">SUM(E3:AH3)</f>
        <v>10</v>
      </c>
      <c r="AJ3" s="21"/>
      <c r="AK3" s="14">
        <f t="shared" ref="AK3:AK80" si="1">AI3*AJ3</f>
        <v>0</v>
      </c>
      <c r="AL3" s="2" t="s">
        <v>367</v>
      </c>
    </row>
    <row r="4" spans="1:38" ht="19.899999999999999" customHeight="1" x14ac:dyDescent="0.25">
      <c r="A4" s="2">
        <v>2</v>
      </c>
      <c r="B4" s="2" t="s">
        <v>402</v>
      </c>
      <c r="C4" s="4" t="s">
        <v>403</v>
      </c>
      <c r="D4" s="2" t="s">
        <v>165</v>
      </c>
      <c r="E4" s="23">
        <v>10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2">
        <f t="shared" si="0"/>
        <v>10</v>
      </c>
      <c r="AJ4" s="21"/>
      <c r="AK4" s="14">
        <f t="shared" si="1"/>
        <v>0</v>
      </c>
      <c r="AL4" s="2" t="s">
        <v>367</v>
      </c>
    </row>
    <row r="5" spans="1:38" ht="19.899999999999999" customHeight="1" x14ac:dyDescent="0.25">
      <c r="A5" s="2">
        <v>3</v>
      </c>
      <c r="B5" s="7" t="s">
        <v>396</v>
      </c>
      <c r="C5" s="4" t="s">
        <v>397</v>
      </c>
      <c r="D5" s="2" t="s">
        <v>398</v>
      </c>
      <c r="E5" s="23">
        <v>10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2">
        <f t="shared" si="0"/>
        <v>10</v>
      </c>
      <c r="AJ5" s="21"/>
      <c r="AK5" s="14">
        <f t="shared" si="1"/>
        <v>0</v>
      </c>
      <c r="AL5" s="2" t="s">
        <v>367</v>
      </c>
    </row>
    <row r="6" spans="1:38" ht="19.899999999999999" customHeight="1" x14ac:dyDescent="0.25">
      <c r="A6" s="2">
        <v>4</v>
      </c>
      <c r="B6" s="7" t="s">
        <v>188</v>
      </c>
      <c r="C6" s="4" t="s">
        <v>189</v>
      </c>
      <c r="D6" s="2" t="s">
        <v>165</v>
      </c>
      <c r="E6" s="23"/>
      <c r="F6" s="23"/>
      <c r="G6" s="23"/>
      <c r="H6" s="23"/>
      <c r="I6" s="23"/>
      <c r="J6" s="23"/>
      <c r="K6" s="23"/>
      <c r="L6" s="23"/>
      <c r="M6" s="23"/>
      <c r="N6" s="23">
        <v>10</v>
      </c>
      <c r="O6" s="23">
        <v>11</v>
      </c>
      <c r="P6" s="23">
        <v>10</v>
      </c>
      <c r="Q6" s="23">
        <v>10</v>
      </c>
      <c r="R6" s="23">
        <v>11</v>
      </c>
      <c r="S6" s="23">
        <v>10</v>
      </c>
      <c r="T6" s="23">
        <v>15</v>
      </c>
      <c r="U6" s="23">
        <v>10</v>
      </c>
      <c r="V6" s="23">
        <v>10</v>
      </c>
      <c r="W6" s="23">
        <v>10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2">
        <f t="shared" si="0"/>
        <v>107</v>
      </c>
      <c r="AJ6" s="21"/>
      <c r="AK6" s="14">
        <f t="shared" si="1"/>
        <v>0</v>
      </c>
      <c r="AL6" s="2" t="s">
        <v>367</v>
      </c>
    </row>
    <row r="7" spans="1:38" ht="19.899999999999999" customHeight="1" x14ac:dyDescent="0.25">
      <c r="A7" s="2">
        <v>5</v>
      </c>
      <c r="B7" s="7" t="s">
        <v>210</v>
      </c>
      <c r="C7" s="4" t="s">
        <v>409</v>
      </c>
      <c r="D7" s="2" t="s">
        <v>165</v>
      </c>
      <c r="E7" s="23">
        <v>10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2">
        <f t="shared" si="0"/>
        <v>10</v>
      </c>
      <c r="AJ7" s="21"/>
      <c r="AK7" s="14">
        <f t="shared" si="1"/>
        <v>0</v>
      </c>
      <c r="AL7" s="2" t="s">
        <v>367</v>
      </c>
    </row>
    <row r="8" spans="1:38" ht="19.899999999999999" customHeight="1" x14ac:dyDescent="0.25">
      <c r="A8" s="2">
        <v>6</v>
      </c>
      <c r="B8" s="2" t="s">
        <v>198</v>
      </c>
      <c r="C8" s="4" t="s">
        <v>199</v>
      </c>
      <c r="D8" s="2" t="s">
        <v>165</v>
      </c>
      <c r="E8" s="23">
        <v>10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2">
        <f t="shared" si="0"/>
        <v>10</v>
      </c>
      <c r="AJ8" s="21"/>
      <c r="AK8" s="14">
        <f t="shared" si="1"/>
        <v>0</v>
      </c>
      <c r="AL8" s="2" t="s">
        <v>367</v>
      </c>
    </row>
    <row r="9" spans="1:38" ht="19.899999999999999" customHeight="1" x14ac:dyDescent="0.25">
      <c r="A9" s="2">
        <v>7</v>
      </c>
      <c r="B9" s="7" t="s">
        <v>200</v>
      </c>
      <c r="C9" s="4" t="s">
        <v>201</v>
      </c>
      <c r="D9" s="2" t="s">
        <v>165</v>
      </c>
      <c r="E9" s="23">
        <v>10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2">
        <f t="shared" si="0"/>
        <v>10</v>
      </c>
      <c r="AJ9" s="21"/>
      <c r="AK9" s="14">
        <f t="shared" si="1"/>
        <v>0</v>
      </c>
      <c r="AL9" s="2" t="s">
        <v>367</v>
      </c>
    </row>
    <row r="10" spans="1:38" ht="19.899999999999999" customHeight="1" x14ac:dyDescent="0.25">
      <c r="A10" s="2">
        <v>8</v>
      </c>
      <c r="B10" s="7" t="s">
        <v>291</v>
      </c>
      <c r="C10" s="4" t="s">
        <v>369</v>
      </c>
      <c r="D10" s="2" t="s">
        <v>165</v>
      </c>
      <c r="E10" s="23">
        <v>10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2">
        <f t="shared" si="0"/>
        <v>10</v>
      </c>
      <c r="AJ10" s="21"/>
      <c r="AK10" s="14">
        <f t="shared" si="1"/>
        <v>0</v>
      </c>
      <c r="AL10" s="2" t="s">
        <v>367</v>
      </c>
    </row>
    <row r="11" spans="1:38" ht="19.899999999999999" customHeight="1" x14ac:dyDescent="0.25">
      <c r="A11" s="2">
        <v>9</v>
      </c>
      <c r="B11" s="7" t="s">
        <v>295</v>
      </c>
      <c r="C11" s="4" t="s">
        <v>296</v>
      </c>
      <c r="D11" s="2" t="s">
        <v>165</v>
      </c>
      <c r="E11" s="23">
        <v>10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2">
        <f t="shared" si="0"/>
        <v>10</v>
      </c>
      <c r="AJ11" s="21"/>
      <c r="AK11" s="14">
        <f t="shared" si="1"/>
        <v>0</v>
      </c>
      <c r="AL11" s="2" t="s">
        <v>367</v>
      </c>
    </row>
    <row r="12" spans="1:38" ht="19.899999999999999" customHeight="1" x14ac:dyDescent="0.25">
      <c r="A12" s="2">
        <v>10</v>
      </c>
      <c r="B12" s="2" t="s">
        <v>371</v>
      </c>
      <c r="C12" s="4" t="s">
        <v>365</v>
      </c>
      <c r="D12" s="2" t="s">
        <v>165</v>
      </c>
      <c r="E12" s="23">
        <v>10</v>
      </c>
      <c r="F12" s="23">
        <v>12</v>
      </c>
      <c r="G12" s="23">
        <v>12</v>
      </c>
      <c r="H12" s="23">
        <v>12</v>
      </c>
      <c r="I12" s="23">
        <v>10</v>
      </c>
      <c r="J12" s="23">
        <v>10</v>
      </c>
      <c r="K12" s="23">
        <v>11</v>
      </c>
      <c r="L12" s="23">
        <v>12</v>
      </c>
      <c r="M12" s="23">
        <v>12</v>
      </c>
      <c r="N12" s="23">
        <v>12</v>
      </c>
      <c r="O12" s="23">
        <v>12</v>
      </c>
      <c r="P12" s="23">
        <v>12</v>
      </c>
      <c r="Q12" s="23">
        <v>12</v>
      </c>
      <c r="R12" s="23">
        <v>11</v>
      </c>
      <c r="S12" s="23">
        <v>12</v>
      </c>
      <c r="T12" s="23">
        <v>10</v>
      </c>
      <c r="U12" s="23">
        <v>10</v>
      </c>
      <c r="V12" s="23">
        <v>10</v>
      </c>
      <c r="W12" s="23">
        <v>10</v>
      </c>
      <c r="X12" s="23">
        <v>10</v>
      </c>
      <c r="Y12" s="23" t="s">
        <v>10</v>
      </c>
      <c r="Z12" s="23">
        <v>10</v>
      </c>
      <c r="AA12" s="23">
        <v>10</v>
      </c>
      <c r="AB12" s="23">
        <v>10</v>
      </c>
      <c r="AC12" s="23">
        <v>10</v>
      </c>
      <c r="AD12" s="23">
        <v>10</v>
      </c>
      <c r="AE12" s="23">
        <v>10</v>
      </c>
      <c r="AF12" s="23">
        <v>10</v>
      </c>
      <c r="AG12" s="23">
        <v>10</v>
      </c>
      <c r="AH12" s="23">
        <v>10</v>
      </c>
      <c r="AI12" s="22">
        <f t="shared" si="0"/>
        <v>312</v>
      </c>
      <c r="AJ12" s="21"/>
      <c r="AK12" s="14">
        <f t="shared" si="1"/>
        <v>0</v>
      </c>
      <c r="AL12" s="2" t="s">
        <v>367</v>
      </c>
    </row>
    <row r="13" spans="1:38" ht="19.899999999999999" customHeight="1" x14ac:dyDescent="0.25">
      <c r="A13" s="2">
        <v>11</v>
      </c>
      <c r="B13" s="7" t="s">
        <v>372</v>
      </c>
      <c r="C13" s="4" t="s">
        <v>366</v>
      </c>
      <c r="D13" s="2" t="s">
        <v>165</v>
      </c>
      <c r="E13" s="23"/>
      <c r="F13" s="23"/>
      <c r="G13" s="23"/>
      <c r="H13" s="23">
        <v>10</v>
      </c>
      <c r="I13" s="23"/>
      <c r="J13" s="23"/>
      <c r="K13" s="23"/>
      <c r="L13" s="23"/>
      <c r="M13" s="23"/>
      <c r="N13" s="23">
        <v>12</v>
      </c>
      <c r="O13" s="23">
        <v>11</v>
      </c>
      <c r="P13" s="23">
        <v>10</v>
      </c>
      <c r="Q13" s="23">
        <v>10</v>
      </c>
      <c r="R13" s="23">
        <v>11</v>
      </c>
      <c r="S13" s="23">
        <v>10</v>
      </c>
      <c r="T13" s="23">
        <v>15</v>
      </c>
      <c r="U13" s="23">
        <v>10</v>
      </c>
      <c r="V13" s="23">
        <v>10</v>
      </c>
      <c r="W13" s="23">
        <v>10</v>
      </c>
      <c r="X13" s="23">
        <v>10</v>
      </c>
      <c r="Y13" s="23" t="s">
        <v>10</v>
      </c>
      <c r="Z13" s="23">
        <v>10</v>
      </c>
      <c r="AA13" s="23">
        <v>10</v>
      </c>
      <c r="AB13" s="23">
        <v>10</v>
      </c>
      <c r="AC13" s="23">
        <v>10</v>
      </c>
      <c r="AD13" s="23">
        <v>10</v>
      </c>
      <c r="AE13" s="23">
        <v>16</v>
      </c>
      <c r="AF13" s="23" t="s">
        <v>10</v>
      </c>
      <c r="AG13" s="23">
        <v>10</v>
      </c>
      <c r="AH13" s="23">
        <v>10</v>
      </c>
      <c r="AI13" s="22">
        <f t="shared" si="0"/>
        <v>215</v>
      </c>
      <c r="AJ13" s="21"/>
      <c r="AK13" s="14">
        <f t="shared" si="1"/>
        <v>0</v>
      </c>
      <c r="AL13" s="2" t="s">
        <v>367</v>
      </c>
    </row>
    <row r="14" spans="1:38" ht="19.899999999999999" customHeight="1" x14ac:dyDescent="0.25">
      <c r="A14" s="2">
        <v>12</v>
      </c>
      <c r="B14" s="7" t="s">
        <v>399</v>
      </c>
      <c r="C14" s="4" t="s">
        <v>400</v>
      </c>
      <c r="D14" s="2" t="s">
        <v>165</v>
      </c>
      <c r="E14" s="23">
        <v>10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2">
        <f t="shared" si="0"/>
        <v>10</v>
      </c>
      <c r="AJ14" s="21"/>
      <c r="AK14" s="14">
        <f t="shared" si="1"/>
        <v>0</v>
      </c>
      <c r="AL14" s="2" t="s">
        <v>367</v>
      </c>
    </row>
    <row r="15" spans="1:38" ht="19.899999999999999" customHeight="1" x14ac:dyDescent="0.25">
      <c r="A15" s="2">
        <v>13</v>
      </c>
      <c r="B15" s="7" t="s">
        <v>412</v>
      </c>
      <c r="C15" s="4" t="s">
        <v>410</v>
      </c>
      <c r="D15" s="2" t="s">
        <v>165</v>
      </c>
      <c r="E15" s="23">
        <v>10</v>
      </c>
      <c r="F15" s="23">
        <v>12</v>
      </c>
      <c r="G15" s="23">
        <v>12</v>
      </c>
      <c r="H15" s="23">
        <v>12</v>
      </c>
      <c r="I15" s="23">
        <v>10</v>
      </c>
      <c r="J15" s="23">
        <v>10</v>
      </c>
      <c r="K15" s="23">
        <v>11</v>
      </c>
      <c r="L15" s="23">
        <v>12</v>
      </c>
      <c r="M15" s="23">
        <v>12</v>
      </c>
      <c r="N15" s="23">
        <v>10</v>
      </c>
      <c r="O15" s="23">
        <v>12</v>
      </c>
      <c r="P15" s="23">
        <v>12</v>
      </c>
      <c r="Q15" s="23">
        <v>10</v>
      </c>
      <c r="R15" s="23">
        <v>11</v>
      </c>
      <c r="S15" s="23">
        <v>10</v>
      </c>
      <c r="T15" s="23">
        <v>10</v>
      </c>
      <c r="U15" s="23">
        <v>10</v>
      </c>
      <c r="V15" s="23">
        <v>10</v>
      </c>
      <c r="W15" s="23">
        <v>10</v>
      </c>
      <c r="X15" s="23">
        <v>10</v>
      </c>
      <c r="Y15" s="23" t="s">
        <v>10</v>
      </c>
      <c r="Z15" s="23">
        <v>10</v>
      </c>
      <c r="AA15" s="23">
        <v>10</v>
      </c>
      <c r="AB15" s="23">
        <v>10</v>
      </c>
      <c r="AC15" s="23">
        <v>10</v>
      </c>
      <c r="AD15" s="23">
        <v>10</v>
      </c>
      <c r="AE15" s="23">
        <v>10</v>
      </c>
      <c r="AF15" s="23">
        <v>10</v>
      </c>
      <c r="AG15" s="23">
        <v>10</v>
      </c>
      <c r="AH15" s="23">
        <v>10</v>
      </c>
      <c r="AI15" s="22">
        <f t="shared" si="0"/>
        <v>306</v>
      </c>
      <c r="AJ15" s="21"/>
      <c r="AK15" s="14">
        <f t="shared" si="1"/>
        <v>0</v>
      </c>
      <c r="AL15" s="2" t="s">
        <v>367</v>
      </c>
    </row>
    <row r="16" spans="1:38" ht="19.899999999999999" customHeight="1" x14ac:dyDescent="0.25">
      <c r="A16" s="2">
        <v>14</v>
      </c>
      <c r="B16" s="2" t="s">
        <v>413</v>
      </c>
      <c r="C16" s="4" t="s">
        <v>411</v>
      </c>
      <c r="D16" s="2" t="s">
        <v>165</v>
      </c>
      <c r="E16" s="23">
        <v>10</v>
      </c>
      <c r="F16" s="23">
        <v>10</v>
      </c>
      <c r="G16" s="23">
        <v>12</v>
      </c>
      <c r="H16" s="23">
        <v>12</v>
      </c>
      <c r="I16" s="23">
        <v>10</v>
      </c>
      <c r="J16" s="23">
        <v>10</v>
      </c>
      <c r="K16" s="23">
        <v>11</v>
      </c>
      <c r="L16" s="23">
        <v>12</v>
      </c>
      <c r="M16" s="23">
        <v>12</v>
      </c>
      <c r="N16" s="23">
        <v>10</v>
      </c>
      <c r="O16" s="23">
        <v>12</v>
      </c>
      <c r="P16" s="23">
        <v>10</v>
      </c>
      <c r="Q16" s="23">
        <v>10</v>
      </c>
      <c r="R16" s="23">
        <v>11</v>
      </c>
      <c r="S16" s="23">
        <v>10</v>
      </c>
      <c r="T16" s="23">
        <v>10</v>
      </c>
      <c r="U16" s="23">
        <v>10</v>
      </c>
      <c r="V16" s="23">
        <v>10</v>
      </c>
      <c r="W16" s="23">
        <v>10</v>
      </c>
      <c r="X16" s="23">
        <v>10</v>
      </c>
      <c r="Y16" s="23" t="s">
        <v>10</v>
      </c>
      <c r="Z16" s="23">
        <v>10</v>
      </c>
      <c r="AA16" s="23">
        <v>10</v>
      </c>
      <c r="AB16" s="23">
        <v>10</v>
      </c>
      <c r="AC16" s="23">
        <v>10</v>
      </c>
      <c r="AD16" s="23">
        <v>10</v>
      </c>
      <c r="AE16" s="23">
        <v>10</v>
      </c>
      <c r="AF16" s="23">
        <v>10</v>
      </c>
      <c r="AG16" s="23">
        <v>10</v>
      </c>
      <c r="AH16" s="23">
        <v>10</v>
      </c>
      <c r="AI16" s="22">
        <f t="shared" si="0"/>
        <v>302</v>
      </c>
      <c r="AJ16" s="21"/>
      <c r="AK16" s="14">
        <f t="shared" si="1"/>
        <v>0</v>
      </c>
      <c r="AL16" s="2" t="s">
        <v>367</v>
      </c>
    </row>
    <row r="17" spans="1:38" ht="19.899999999999999" customHeight="1" x14ac:dyDescent="0.25">
      <c r="A17" s="2">
        <v>15</v>
      </c>
      <c r="B17" s="7" t="s">
        <v>465</v>
      </c>
      <c r="C17" s="4" t="s">
        <v>451</v>
      </c>
      <c r="D17" s="2" t="s">
        <v>165</v>
      </c>
      <c r="E17" s="23">
        <v>10</v>
      </c>
      <c r="F17" s="23">
        <v>10</v>
      </c>
      <c r="G17" s="23">
        <v>10</v>
      </c>
      <c r="H17" s="23">
        <v>10</v>
      </c>
      <c r="I17" s="23">
        <v>10</v>
      </c>
      <c r="J17" s="23">
        <v>10</v>
      </c>
      <c r="K17" s="23">
        <v>11</v>
      </c>
      <c r="L17" s="23">
        <v>10</v>
      </c>
      <c r="M17" s="23">
        <v>10</v>
      </c>
      <c r="N17" s="23">
        <v>10</v>
      </c>
      <c r="O17" s="23">
        <v>10</v>
      </c>
      <c r="P17" s="23">
        <v>10</v>
      </c>
      <c r="Q17" s="23">
        <v>10</v>
      </c>
      <c r="R17" s="23">
        <v>11</v>
      </c>
      <c r="S17" s="23">
        <v>10</v>
      </c>
      <c r="T17" s="23">
        <v>10</v>
      </c>
      <c r="U17" s="23">
        <v>10</v>
      </c>
      <c r="V17" s="23">
        <v>10</v>
      </c>
      <c r="W17" s="23">
        <v>10</v>
      </c>
      <c r="X17" s="23">
        <v>10</v>
      </c>
      <c r="Y17" s="23" t="s">
        <v>10</v>
      </c>
      <c r="Z17" s="23">
        <v>10</v>
      </c>
      <c r="AA17" s="23">
        <v>10</v>
      </c>
      <c r="AB17" s="23">
        <v>10</v>
      </c>
      <c r="AC17" s="23">
        <v>10</v>
      </c>
      <c r="AD17" s="23">
        <v>10</v>
      </c>
      <c r="AE17" s="23">
        <v>10</v>
      </c>
      <c r="AF17" s="23">
        <v>10</v>
      </c>
      <c r="AG17" s="23">
        <v>10</v>
      </c>
      <c r="AH17" s="23">
        <v>10</v>
      </c>
      <c r="AI17" s="22">
        <f t="shared" si="0"/>
        <v>292</v>
      </c>
      <c r="AJ17" s="21"/>
      <c r="AK17" s="14">
        <f t="shared" si="1"/>
        <v>0</v>
      </c>
      <c r="AL17" s="2" t="s">
        <v>367</v>
      </c>
    </row>
    <row r="18" spans="1:38" ht="19.899999999999999" customHeight="1" x14ac:dyDescent="0.25">
      <c r="A18" s="2">
        <v>16</v>
      </c>
      <c r="B18" s="7" t="s">
        <v>394</v>
      </c>
      <c r="C18" s="4" t="s">
        <v>395</v>
      </c>
      <c r="D18" s="2" t="s">
        <v>165</v>
      </c>
      <c r="E18" s="23"/>
      <c r="F18" s="23">
        <v>10</v>
      </c>
      <c r="G18" s="23">
        <v>10</v>
      </c>
      <c r="H18" s="23">
        <v>10</v>
      </c>
      <c r="I18" s="23">
        <v>10</v>
      </c>
      <c r="J18" s="23">
        <v>10</v>
      </c>
      <c r="K18" s="23" t="s">
        <v>10</v>
      </c>
      <c r="L18" s="23">
        <v>10</v>
      </c>
      <c r="M18" s="23">
        <v>10</v>
      </c>
      <c r="N18" s="23">
        <v>10</v>
      </c>
      <c r="O18" s="23">
        <v>10</v>
      </c>
      <c r="P18" s="23">
        <v>10</v>
      </c>
      <c r="Q18" s="23">
        <v>10</v>
      </c>
      <c r="R18" s="23">
        <v>11</v>
      </c>
      <c r="S18" s="23">
        <v>12.5</v>
      </c>
      <c r="T18" s="23">
        <v>14</v>
      </c>
      <c r="U18" s="23">
        <v>11</v>
      </c>
      <c r="V18" s="23">
        <v>11</v>
      </c>
      <c r="W18" s="23">
        <v>11</v>
      </c>
      <c r="X18" s="23">
        <v>10</v>
      </c>
      <c r="Y18" s="23" t="s">
        <v>10</v>
      </c>
      <c r="Z18" s="23">
        <v>10</v>
      </c>
      <c r="AA18" s="23">
        <v>10</v>
      </c>
      <c r="AB18" s="23">
        <v>10</v>
      </c>
      <c r="AC18" s="23">
        <v>10</v>
      </c>
      <c r="AD18" s="23">
        <v>11</v>
      </c>
      <c r="AE18" s="23">
        <v>10</v>
      </c>
      <c r="AF18" s="23">
        <v>11</v>
      </c>
      <c r="AG18" s="23">
        <v>10</v>
      </c>
      <c r="AH18" s="23">
        <v>10</v>
      </c>
      <c r="AI18" s="22">
        <f t="shared" si="0"/>
        <v>282.5</v>
      </c>
      <c r="AJ18" s="21"/>
      <c r="AK18" s="14">
        <f t="shared" si="1"/>
        <v>0</v>
      </c>
      <c r="AL18" s="2" t="s">
        <v>373</v>
      </c>
    </row>
    <row r="19" spans="1:38" ht="19.899999999999999" customHeight="1" x14ac:dyDescent="0.25">
      <c r="A19" s="2">
        <v>17</v>
      </c>
      <c r="B19" s="2" t="s">
        <v>211</v>
      </c>
      <c r="C19" s="4" t="s">
        <v>212</v>
      </c>
      <c r="D19" s="2" t="s">
        <v>165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>
        <v>12</v>
      </c>
      <c r="X19" s="23">
        <v>11</v>
      </c>
      <c r="Y19" s="23" t="s">
        <v>10</v>
      </c>
      <c r="Z19" s="23">
        <v>10</v>
      </c>
      <c r="AA19" s="23">
        <v>10</v>
      </c>
      <c r="AB19" s="23">
        <v>10</v>
      </c>
      <c r="AC19" s="23">
        <v>11</v>
      </c>
      <c r="AD19" s="23">
        <v>11</v>
      </c>
      <c r="AE19" s="23">
        <v>10</v>
      </c>
      <c r="AF19" s="23" t="s">
        <v>10</v>
      </c>
      <c r="AG19" s="23">
        <v>10</v>
      </c>
      <c r="AH19" s="23">
        <v>10</v>
      </c>
      <c r="AI19" s="22">
        <f t="shared" si="0"/>
        <v>105</v>
      </c>
      <c r="AJ19" s="21"/>
      <c r="AK19" s="14">
        <f t="shared" si="1"/>
        <v>0</v>
      </c>
      <c r="AL19" s="2" t="s">
        <v>373</v>
      </c>
    </row>
    <row r="20" spans="1:38" ht="19.899999999999999" customHeight="1" x14ac:dyDescent="0.25">
      <c r="A20" s="2">
        <v>18</v>
      </c>
      <c r="B20" s="7" t="s">
        <v>402</v>
      </c>
      <c r="C20" s="4" t="s">
        <v>403</v>
      </c>
      <c r="D20" s="2" t="s">
        <v>165</v>
      </c>
      <c r="E20" s="23"/>
      <c r="F20" s="23">
        <v>10</v>
      </c>
      <c r="G20" s="23">
        <v>10</v>
      </c>
      <c r="H20" s="23">
        <v>10</v>
      </c>
      <c r="I20" s="23">
        <v>10</v>
      </c>
      <c r="J20" s="23">
        <v>10</v>
      </c>
      <c r="K20" s="23" t="s">
        <v>10</v>
      </c>
      <c r="L20" s="23">
        <v>10</v>
      </c>
      <c r="M20" s="23">
        <v>10</v>
      </c>
      <c r="N20" s="23">
        <v>10</v>
      </c>
      <c r="O20" s="23">
        <v>10</v>
      </c>
      <c r="P20" s="23">
        <v>10</v>
      </c>
      <c r="Q20" s="23">
        <v>10</v>
      </c>
      <c r="R20" s="23">
        <v>11</v>
      </c>
      <c r="S20" s="23">
        <v>12.5</v>
      </c>
      <c r="T20" s="23">
        <v>14</v>
      </c>
      <c r="U20" s="23">
        <v>11</v>
      </c>
      <c r="V20" s="23">
        <v>11</v>
      </c>
      <c r="W20" s="23">
        <v>11</v>
      </c>
      <c r="X20" s="23">
        <v>10</v>
      </c>
      <c r="Y20" s="23" t="s">
        <v>10</v>
      </c>
      <c r="Z20" s="23">
        <v>10</v>
      </c>
      <c r="AA20" s="23">
        <v>10</v>
      </c>
      <c r="AB20" s="23">
        <v>10</v>
      </c>
      <c r="AC20" s="23">
        <v>10</v>
      </c>
      <c r="AD20" s="23">
        <v>11</v>
      </c>
      <c r="AE20" s="23">
        <v>10</v>
      </c>
      <c r="AF20" s="23">
        <v>11</v>
      </c>
      <c r="AG20" s="23">
        <v>10</v>
      </c>
      <c r="AH20" s="23">
        <v>10</v>
      </c>
      <c r="AI20" s="22">
        <f t="shared" si="0"/>
        <v>282.5</v>
      </c>
      <c r="AJ20" s="21"/>
      <c r="AK20" s="14">
        <f t="shared" si="1"/>
        <v>0</v>
      </c>
      <c r="AL20" s="2" t="s">
        <v>373</v>
      </c>
    </row>
    <row r="21" spans="1:38" ht="19.899999999999999" customHeight="1" x14ac:dyDescent="0.25">
      <c r="A21" s="2">
        <v>19</v>
      </c>
      <c r="B21" s="2" t="s">
        <v>396</v>
      </c>
      <c r="C21" s="4" t="s">
        <v>397</v>
      </c>
      <c r="D21" s="2" t="s">
        <v>398</v>
      </c>
      <c r="E21" s="23"/>
      <c r="F21" s="23">
        <v>10</v>
      </c>
      <c r="G21" s="23">
        <v>10</v>
      </c>
      <c r="H21" s="23">
        <v>10</v>
      </c>
      <c r="I21" s="23">
        <v>10</v>
      </c>
      <c r="J21" s="23">
        <v>10</v>
      </c>
      <c r="K21" s="23" t="s">
        <v>10</v>
      </c>
      <c r="L21" s="23">
        <v>10</v>
      </c>
      <c r="M21" s="23">
        <v>10</v>
      </c>
      <c r="N21" s="23">
        <v>10</v>
      </c>
      <c r="O21" s="23">
        <v>10</v>
      </c>
      <c r="P21" s="23">
        <v>10</v>
      </c>
      <c r="Q21" s="23">
        <v>10</v>
      </c>
      <c r="R21" s="23">
        <v>11</v>
      </c>
      <c r="S21" s="23">
        <v>12.5</v>
      </c>
      <c r="T21" s="23">
        <v>14</v>
      </c>
      <c r="U21" s="23">
        <v>11</v>
      </c>
      <c r="V21" s="23">
        <v>11</v>
      </c>
      <c r="W21" s="23">
        <v>11</v>
      </c>
      <c r="X21" s="23">
        <v>10</v>
      </c>
      <c r="Y21" s="23" t="s">
        <v>10</v>
      </c>
      <c r="Z21" s="23">
        <v>10</v>
      </c>
      <c r="AA21" s="23">
        <v>10</v>
      </c>
      <c r="AB21" s="23">
        <v>10</v>
      </c>
      <c r="AC21" s="23">
        <v>10</v>
      </c>
      <c r="AD21" s="23">
        <v>12</v>
      </c>
      <c r="AE21" s="23">
        <v>10</v>
      </c>
      <c r="AF21" s="23" t="s">
        <v>10</v>
      </c>
      <c r="AG21" s="23">
        <v>10</v>
      </c>
      <c r="AH21" s="23">
        <v>11</v>
      </c>
      <c r="AI21" s="22">
        <f t="shared" si="0"/>
        <v>273.5</v>
      </c>
      <c r="AJ21" s="21"/>
      <c r="AK21" s="14">
        <f t="shared" si="1"/>
        <v>0</v>
      </c>
      <c r="AL21" s="2" t="s">
        <v>373</v>
      </c>
    </row>
    <row r="22" spans="1:38" ht="19.899999999999999" customHeight="1" x14ac:dyDescent="0.25">
      <c r="A22" s="2">
        <v>20</v>
      </c>
      <c r="B22" s="7" t="s">
        <v>262</v>
      </c>
      <c r="C22" s="4" t="s">
        <v>263</v>
      </c>
      <c r="D22" s="2" t="s">
        <v>165</v>
      </c>
      <c r="E22" s="23"/>
      <c r="F22" s="23"/>
      <c r="G22" s="23"/>
      <c r="H22" s="23"/>
      <c r="I22" s="23"/>
      <c r="J22" s="23"/>
      <c r="K22" s="23" t="s">
        <v>10</v>
      </c>
      <c r="L22" s="23"/>
      <c r="M22" s="23"/>
      <c r="N22" s="23"/>
      <c r="O22" s="23"/>
      <c r="P22" s="23"/>
      <c r="Q22" s="23"/>
      <c r="R22" s="23" t="s">
        <v>10</v>
      </c>
      <c r="S22" s="23"/>
      <c r="T22" s="23"/>
      <c r="U22" s="23"/>
      <c r="V22" s="23"/>
      <c r="W22" s="23">
        <v>12</v>
      </c>
      <c r="X22" s="23">
        <v>11</v>
      </c>
      <c r="Y22" s="23" t="s">
        <v>10</v>
      </c>
      <c r="Z22" s="23">
        <v>10</v>
      </c>
      <c r="AA22" s="23">
        <v>10</v>
      </c>
      <c r="AB22" s="23">
        <v>10</v>
      </c>
      <c r="AC22" s="23">
        <v>11</v>
      </c>
      <c r="AD22" s="23">
        <v>11</v>
      </c>
      <c r="AE22" s="23">
        <v>10</v>
      </c>
      <c r="AF22" s="23" t="s">
        <v>10</v>
      </c>
      <c r="AG22" s="23">
        <v>10</v>
      </c>
      <c r="AH22" s="23">
        <v>10</v>
      </c>
      <c r="AI22" s="22">
        <f t="shared" si="0"/>
        <v>105</v>
      </c>
      <c r="AJ22" s="21"/>
      <c r="AK22" s="14">
        <f t="shared" si="1"/>
        <v>0</v>
      </c>
      <c r="AL22" s="2" t="s">
        <v>373</v>
      </c>
    </row>
    <row r="23" spans="1:38" ht="19.899999999999999" customHeight="1" x14ac:dyDescent="0.25">
      <c r="A23" s="2">
        <v>21</v>
      </c>
      <c r="B23" s="7" t="s">
        <v>188</v>
      </c>
      <c r="C23" s="4" t="s">
        <v>189</v>
      </c>
      <c r="D23" s="2" t="s">
        <v>165</v>
      </c>
      <c r="E23" s="23"/>
      <c r="F23" s="23">
        <v>10</v>
      </c>
      <c r="G23" s="23">
        <v>10</v>
      </c>
      <c r="H23" s="23">
        <v>10</v>
      </c>
      <c r="I23" s="23">
        <v>10</v>
      </c>
      <c r="J23" s="23" t="s">
        <v>32</v>
      </c>
      <c r="K23" s="23" t="s">
        <v>10</v>
      </c>
      <c r="L23" s="23">
        <v>10</v>
      </c>
      <c r="M23" s="23">
        <v>10</v>
      </c>
      <c r="N23" s="23" t="s">
        <v>32</v>
      </c>
      <c r="O23" s="23" t="s">
        <v>32</v>
      </c>
      <c r="P23" s="23" t="s">
        <v>32</v>
      </c>
      <c r="Q23" s="23">
        <v>10</v>
      </c>
      <c r="R23" s="23" t="s">
        <v>10</v>
      </c>
      <c r="S23" s="23"/>
      <c r="T23" s="23"/>
      <c r="U23" s="23"/>
      <c r="V23" s="23"/>
      <c r="W23" s="23"/>
      <c r="X23" s="23"/>
      <c r="Y23" s="23" t="s">
        <v>10</v>
      </c>
      <c r="Z23" s="23"/>
      <c r="AA23" s="23"/>
      <c r="AB23" s="23"/>
      <c r="AC23" s="23"/>
      <c r="AD23" s="23"/>
      <c r="AE23" s="23"/>
      <c r="AF23" s="23" t="s">
        <v>10</v>
      </c>
      <c r="AG23" s="23"/>
      <c r="AH23" s="23"/>
      <c r="AI23" s="22">
        <f t="shared" si="0"/>
        <v>70</v>
      </c>
      <c r="AJ23" s="21"/>
      <c r="AK23" s="14">
        <f t="shared" si="1"/>
        <v>0</v>
      </c>
      <c r="AL23" s="2" t="s">
        <v>373</v>
      </c>
    </row>
    <row r="24" spans="1:38" ht="19.899999999999999" customHeight="1" x14ac:dyDescent="0.25">
      <c r="A24" s="2">
        <v>22</v>
      </c>
      <c r="B24" s="7" t="s">
        <v>209</v>
      </c>
      <c r="C24" s="4" t="s">
        <v>408</v>
      </c>
      <c r="D24" s="2" t="s">
        <v>165</v>
      </c>
      <c r="E24" s="23"/>
      <c r="F24" s="23">
        <v>10</v>
      </c>
      <c r="G24" s="23">
        <v>10</v>
      </c>
      <c r="H24" s="23">
        <v>10</v>
      </c>
      <c r="I24" s="23">
        <v>10</v>
      </c>
      <c r="J24" s="23">
        <v>10</v>
      </c>
      <c r="K24" s="23" t="s">
        <v>10</v>
      </c>
      <c r="L24" s="23">
        <v>10</v>
      </c>
      <c r="M24" s="23">
        <v>10</v>
      </c>
      <c r="N24" s="23">
        <v>10</v>
      </c>
      <c r="O24" s="23">
        <v>10</v>
      </c>
      <c r="P24" s="23">
        <v>10</v>
      </c>
      <c r="Q24" s="23">
        <v>10</v>
      </c>
      <c r="R24" s="23">
        <v>11</v>
      </c>
      <c r="S24" s="23">
        <v>12.5</v>
      </c>
      <c r="T24" s="23">
        <v>14</v>
      </c>
      <c r="U24" s="23">
        <v>11</v>
      </c>
      <c r="V24" s="23">
        <v>11</v>
      </c>
      <c r="W24" s="23">
        <v>11</v>
      </c>
      <c r="X24" s="23">
        <v>10</v>
      </c>
      <c r="Y24" s="23" t="s">
        <v>10</v>
      </c>
      <c r="Z24" s="23">
        <v>10</v>
      </c>
      <c r="AA24" s="23">
        <v>10</v>
      </c>
      <c r="AB24" s="23">
        <v>10</v>
      </c>
      <c r="AC24" s="23">
        <v>10</v>
      </c>
      <c r="AD24" s="23">
        <v>11</v>
      </c>
      <c r="AE24" s="23">
        <v>10</v>
      </c>
      <c r="AF24" s="23">
        <v>11</v>
      </c>
      <c r="AG24" s="23">
        <v>10</v>
      </c>
      <c r="AH24" s="23">
        <v>10</v>
      </c>
      <c r="AI24" s="22">
        <f t="shared" si="0"/>
        <v>282.5</v>
      </c>
      <c r="AJ24" s="21"/>
      <c r="AK24" s="14">
        <f t="shared" si="1"/>
        <v>0</v>
      </c>
      <c r="AL24" s="2" t="s">
        <v>373</v>
      </c>
    </row>
    <row r="25" spans="1:38" ht="19.899999999999999" customHeight="1" x14ac:dyDescent="0.25">
      <c r="A25" s="2">
        <v>23</v>
      </c>
      <c r="B25" s="2" t="s">
        <v>210</v>
      </c>
      <c r="C25" s="4" t="s">
        <v>409</v>
      </c>
      <c r="D25" s="2" t="s">
        <v>165</v>
      </c>
      <c r="E25" s="23"/>
      <c r="F25" s="23">
        <v>10</v>
      </c>
      <c r="G25" s="23">
        <v>10</v>
      </c>
      <c r="H25" s="23">
        <v>10</v>
      </c>
      <c r="I25" s="23">
        <v>10</v>
      </c>
      <c r="J25" s="23">
        <v>10</v>
      </c>
      <c r="K25" s="23" t="s">
        <v>10</v>
      </c>
      <c r="L25" s="23">
        <v>10</v>
      </c>
      <c r="M25" s="23">
        <v>10</v>
      </c>
      <c r="N25" s="23">
        <v>10</v>
      </c>
      <c r="O25" s="23">
        <v>10</v>
      </c>
      <c r="P25" s="23">
        <v>10</v>
      </c>
      <c r="Q25" s="23">
        <v>10</v>
      </c>
      <c r="R25" s="23">
        <v>11</v>
      </c>
      <c r="S25" s="23">
        <v>12.5</v>
      </c>
      <c r="T25" s="23">
        <v>14</v>
      </c>
      <c r="U25" s="23">
        <v>11</v>
      </c>
      <c r="V25" s="23">
        <v>11</v>
      </c>
      <c r="W25" s="23">
        <v>11</v>
      </c>
      <c r="X25" s="23">
        <v>10</v>
      </c>
      <c r="Y25" s="23" t="s">
        <v>10</v>
      </c>
      <c r="Z25" s="23">
        <v>10</v>
      </c>
      <c r="AA25" s="23">
        <v>10</v>
      </c>
      <c r="AB25" s="23">
        <v>10</v>
      </c>
      <c r="AC25" s="23">
        <v>10</v>
      </c>
      <c r="AD25" s="23">
        <v>11</v>
      </c>
      <c r="AE25" s="23">
        <v>10</v>
      </c>
      <c r="AF25" s="23">
        <v>11</v>
      </c>
      <c r="AG25" s="23">
        <v>10</v>
      </c>
      <c r="AH25" s="23">
        <v>10</v>
      </c>
      <c r="AI25" s="22">
        <f t="shared" si="0"/>
        <v>282.5</v>
      </c>
      <c r="AJ25" s="21"/>
      <c r="AK25" s="14">
        <f t="shared" si="1"/>
        <v>0</v>
      </c>
      <c r="AL25" s="2" t="s">
        <v>373</v>
      </c>
    </row>
    <row r="26" spans="1:38" ht="19.899999999999999" customHeight="1" x14ac:dyDescent="0.25">
      <c r="A26" s="2">
        <v>24</v>
      </c>
      <c r="B26" s="7" t="s">
        <v>307</v>
      </c>
      <c r="C26" s="4" t="s">
        <v>232</v>
      </c>
      <c r="D26" s="2" t="s">
        <v>165</v>
      </c>
      <c r="E26" s="23"/>
      <c r="F26" s="23"/>
      <c r="G26" s="23"/>
      <c r="H26" s="23"/>
      <c r="I26" s="23"/>
      <c r="J26" s="23"/>
      <c r="K26" s="23" t="s">
        <v>10</v>
      </c>
      <c r="L26" s="23"/>
      <c r="M26" s="23"/>
      <c r="N26" s="23"/>
      <c r="O26" s="23"/>
      <c r="P26" s="23"/>
      <c r="Q26" s="23"/>
      <c r="R26" s="23" t="s">
        <v>10</v>
      </c>
      <c r="S26" s="23"/>
      <c r="T26" s="23"/>
      <c r="U26" s="23"/>
      <c r="V26" s="23"/>
      <c r="W26" s="23">
        <v>12</v>
      </c>
      <c r="X26" s="23">
        <v>11</v>
      </c>
      <c r="Y26" s="23" t="s">
        <v>10</v>
      </c>
      <c r="Z26" s="23">
        <v>10</v>
      </c>
      <c r="AA26" s="23">
        <v>10</v>
      </c>
      <c r="AB26" s="23">
        <v>10</v>
      </c>
      <c r="AC26" s="23">
        <v>10</v>
      </c>
      <c r="AD26" s="23">
        <v>11</v>
      </c>
      <c r="AE26" s="23">
        <v>10</v>
      </c>
      <c r="AF26" s="23">
        <v>11</v>
      </c>
      <c r="AG26" s="23">
        <v>10</v>
      </c>
      <c r="AH26" s="23">
        <v>10</v>
      </c>
      <c r="AI26" s="22">
        <f t="shared" si="0"/>
        <v>115</v>
      </c>
      <c r="AJ26" s="21"/>
      <c r="AK26" s="14">
        <f t="shared" si="1"/>
        <v>0</v>
      </c>
      <c r="AL26" s="2" t="s">
        <v>373</v>
      </c>
    </row>
    <row r="27" spans="1:38" ht="19.899999999999999" customHeight="1" x14ac:dyDescent="0.25">
      <c r="A27" s="2">
        <v>25</v>
      </c>
      <c r="B27" s="7" t="s">
        <v>198</v>
      </c>
      <c r="C27" s="4" t="s">
        <v>199</v>
      </c>
      <c r="D27" s="2" t="s">
        <v>165</v>
      </c>
      <c r="E27" s="23"/>
      <c r="F27" s="23">
        <v>10</v>
      </c>
      <c r="G27" s="23">
        <v>10</v>
      </c>
      <c r="H27" s="23">
        <v>10</v>
      </c>
      <c r="I27" s="23">
        <v>10</v>
      </c>
      <c r="J27" s="23">
        <v>10</v>
      </c>
      <c r="K27" s="23" t="s">
        <v>10</v>
      </c>
      <c r="L27" s="23">
        <v>10</v>
      </c>
      <c r="M27" s="23">
        <v>10</v>
      </c>
      <c r="N27" s="23">
        <v>10</v>
      </c>
      <c r="O27" s="23">
        <v>10</v>
      </c>
      <c r="P27" s="23">
        <v>10</v>
      </c>
      <c r="Q27" s="23">
        <v>10</v>
      </c>
      <c r="R27" s="23">
        <v>11</v>
      </c>
      <c r="S27" s="23">
        <v>12.5</v>
      </c>
      <c r="T27" s="23">
        <v>14</v>
      </c>
      <c r="U27" s="23">
        <v>11</v>
      </c>
      <c r="V27" s="23">
        <v>11</v>
      </c>
      <c r="W27" s="23">
        <v>11</v>
      </c>
      <c r="X27" s="23">
        <v>10</v>
      </c>
      <c r="Y27" s="23" t="s">
        <v>10</v>
      </c>
      <c r="Z27" s="23">
        <v>10</v>
      </c>
      <c r="AA27" s="23">
        <v>10</v>
      </c>
      <c r="AB27" s="23">
        <v>10</v>
      </c>
      <c r="AC27" s="23">
        <v>10</v>
      </c>
      <c r="AD27" s="23">
        <v>11</v>
      </c>
      <c r="AE27" s="23">
        <v>10</v>
      </c>
      <c r="AF27" s="23">
        <v>11</v>
      </c>
      <c r="AG27" s="23">
        <v>10</v>
      </c>
      <c r="AH27" s="23">
        <v>10</v>
      </c>
      <c r="AI27" s="22">
        <f t="shared" si="0"/>
        <v>282.5</v>
      </c>
      <c r="AJ27" s="21"/>
      <c r="AK27" s="14">
        <f t="shared" si="1"/>
        <v>0</v>
      </c>
      <c r="AL27" s="2" t="s">
        <v>373</v>
      </c>
    </row>
    <row r="28" spans="1:38" ht="19.899999999999999" customHeight="1" x14ac:dyDescent="0.25">
      <c r="A28" s="2">
        <v>26</v>
      </c>
      <c r="B28" s="7" t="s">
        <v>200</v>
      </c>
      <c r="C28" s="4" t="s">
        <v>201</v>
      </c>
      <c r="D28" s="2" t="s">
        <v>165</v>
      </c>
      <c r="E28" s="23"/>
      <c r="F28" s="23">
        <v>10</v>
      </c>
      <c r="G28" s="23">
        <v>10</v>
      </c>
      <c r="H28" s="23">
        <v>10</v>
      </c>
      <c r="I28" s="23">
        <v>10</v>
      </c>
      <c r="J28" s="23">
        <v>10</v>
      </c>
      <c r="K28" s="23" t="s">
        <v>10</v>
      </c>
      <c r="L28" s="23">
        <v>10</v>
      </c>
      <c r="M28" s="23">
        <v>10</v>
      </c>
      <c r="N28" s="23">
        <v>10</v>
      </c>
      <c r="O28" s="23">
        <v>10</v>
      </c>
      <c r="P28" s="23">
        <v>10</v>
      </c>
      <c r="Q28" s="23">
        <v>10</v>
      </c>
      <c r="R28" s="23">
        <v>11</v>
      </c>
      <c r="S28" s="23">
        <v>12.5</v>
      </c>
      <c r="T28" s="23">
        <v>14</v>
      </c>
      <c r="U28" s="23">
        <v>11</v>
      </c>
      <c r="V28" s="23">
        <v>11</v>
      </c>
      <c r="W28" s="23">
        <v>11</v>
      </c>
      <c r="X28" s="23">
        <v>10</v>
      </c>
      <c r="Y28" s="23" t="s">
        <v>10</v>
      </c>
      <c r="Z28" s="23">
        <v>10</v>
      </c>
      <c r="AA28" s="23">
        <v>10</v>
      </c>
      <c r="AB28" s="23">
        <v>10</v>
      </c>
      <c r="AC28" s="23" t="s">
        <v>32</v>
      </c>
      <c r="AD28" s="23">
        <v>10</v>
      </c>
      <c r="AE28" s="23">
        <v>10</v>
      </c>
      <c r="AF28" s="23">
        <v>11</v>
      </c>
      <c r="AG28" s="23">
        <v>10</v>
      </c>
      <c r="AH28" s="23">
        <v>10</v>
      </c>
      <c r="AI28" s="22">
        <f t="shared" si="0"/>
        <v>271.5</v>
      </c>
      <c r="AJ28" s="21"/>
      <c r="AK28" s="14">
        <f t="shared" si="1"/>
        <v>0</v>
      </c>
      <c r="AL28" s="2" t="s">
        <v>373</v>
      </c>
    </row>
    <row r="29" spans="1:38" ht="19.899999999999999" customHeight="1" x14ac:dyDescent="0.25">
      <c r="A29" s="2">
        <v>27</v>
      </c>
      <c r="B29" s="2" t="s">
        <v>291</v>
      </c>
      <c r="C29" s="4" t="s">
        <v>369</v>
      </c>
      <c r="D29" s="2" t="s">
        <v>165</v>
      </c>
      <c r="E29" s="23"/>
      <c r="F29" s="23">
        <v>10</v>
      </c>
      <c r="G29" s="23">
        <v>10</v>
      </c>
      <c r="H29" s="23">
        <v>10</v>
      </c>
      <c r="I29" s="23">
        <v>10</v>
      </c>
      <c r="J29" s="23">
        <v>10</v>
      </c>
      <c r="K29" s="23" t="s">
        <v>10</v>
      </c>
      <c r="L29" s="23">
        <v>10</v>
      </c>
      <c r="M29" s="23">
        <v>10</v>
      </c>
      <c r="N29" s="23">
        <v>10</v>
      </c>
      <c r="O29" s="23">
        <v>10</v>
      </c>
      <c r="P29" s="23">
        <v>10</v>
      </c>
      <c r="Q29" s="23">
        <v>10</v>
      </c>
      <c r="R29" s="23">
        <v>11</v>
      </c>
      <c r="S29" s="23">
        <v>12.5</v>
      </c>
      <c r="T29" s="23" t="s">
        <v>32</v>
      </c>
      <c r="U29" s="23" t="s">
        <v>32</v>
      </c>
      <c r="V29" s="23">
        <v>11</v>
      </c>
      <c r="W29" s="23">
        <v>11</v>
      </c>
      <c r="X29" s="23">
        <v>10</v>
      </c>
      <c r="Y29" s="23" t="s">
        <v>10</v>
      </c>
      <c r="Z29" s="23">
        <v>10</v>
      </c>
      <c r="AA29" s="23">
        <v>10</v>
      </c>
      <c r="AB29" s="23">
        <v>10</v>
      </c>
      <c r="AC29" s="23">
        <v>10</v>
      </c>
      <c r="AD29" s="23">
        <v>11</v>
      </c>
      <c r="AE29" s="23">
        <v>10</v>
      </c>
      <c r="AF29" s="23">
        <v>11</v>
      </c>
      <c r="AG29" s="23">
        <v>10</v>
      </c>
      <c r="AH29" s="23">
        <v>10</v>
      </c>
      <c r="AI29" s="22">
        <f t="shared" si="0"/>
        <v>257.5</v>
      </c>
      <c r="AJ29" s="21"/>
      <c r="AK29" s="14">
        <f t="shared" si="1"/>
        <v>0</v>
      </c>
      <c r="AL29" s="2" t="s">
        <v>373</v>
      </c>
    </row>
    <row r="30" spans="1:38" ht="19.899999999999999" customHeight="1" x14ac:dyDescent="0.25">
      <c r="A30" s="2">
        <v>28</v>
      </c>
      <c r="B30" s="7" t="s">
        <v>297</v>
      </c>
      <c r="C30" s="4" t="s">
        <v>298</v>
      </c>
      <c r="D30" s="2" t="s">
        <v>165</v>
      </c>
      <c r="E30" s="23"/>
      <c r="F30" s="23"/>
      <c r="G30" s="23"/>
      <c r="H30" s="23"/>
      <c r="I30" s="23"/>
      <c r="J30" s="23"/>
      <c r="K30" s="23" t="s">
        <v>10</v>
      </c>
      <c r="L30" s="23"/>
      <c r="M30" s="23"/>
      <c r="N30" s="23"/>
      <c r="O30" s="23"/>
      <c r="P30" s="23"/>
      <c r="Q30" s="23"/>
      <c r="R30" s="23" t="s">
        <v>10</v>
      </c>
      <c r="S30" s="23"/>
      <c r="T30" s="23"/>
      <c r="U30" s="23"/>
      <c r="V30" s="23"/>
      <c r="W30" s="23">
        <v>12</v>
      </c>
      <c r="X30" s="23">
        <v>11</v>
      </c>
      <c r="Y30" s="23" t="s">
        <v>10</v>
      </c>
      <c r="Z30" s="23">
        <v>10</v>
      </c>
      <c r="AA30" s="23">
        <v>10</v>
      </c>
      <c r="AB30" s="23">
        <v>10</v>
      </c>
      <c r="AC30" s="23">
        <v>10</v>
      </c>
      <c r="AD30" s="23">
        <v>12</v>
      </c>
      <c r="AE30" s="23">
        <v>10</v>
      </c>
      <c r="AF30" s="23" t="s">
        <v>10</v>
      </c>
      <c r="AG30" s="23">
        <v>10</v>
      </c>
      <c r="AH30" s="23">
        <v>10</v>
      </c>
      <c r="AI30" s="22">
        <f t="shared" si="0"/>
        <v>105</v>
      </c>
      <c r="AJ30" s="21"/>
      <c r="AK30" s="14">
        <f t="shared" si="1"/>
        <v>0</v>
      </c>
      <c r="AL30" s="2" t="s">
        <v>373</v>
      </c>
    </row>
    <row r="31" spans="1:38" ht="19.899999999999999" customHeight="1" x14ac:dyDescent="0.25">
      <c r="A31" s="2">
        <v>29</v>
      </c>
      <c r="B31" s="7" t="s">
        <v>295</v>
      </c>
      <c r="C31" s="4" t="s">
        <v>296</v>
      </c>
      <c r="D31" s="2" t="s">
        <v>165</v>
      </c>
      <c r="E31" s="23"/>
      <c r="F31" s="23">
        <v>10</v>
      </c>
      <c r="G31" s="23">
        <v>10</v>
      </c>
      <c r="H31" s="23">
        <v>10</v>
      </c>
      <c r="I31" s="23">
        <v>10</v>
      </c>
      <c r="J31" s="23">
        <v>10</v>
      </c>
      <c r="K31" s="23" t="s">
        <v>10</v>
      </c>
      <c r="L31" s="23">
        <v>10</v>
      </c>
      <c r="M31" s="23">
        <v>10</v>
      </c>
      <c r="N31" s="23">
        <v>10</v>
      </c>
      <c r="O31" s="23">
        <v>10</v>
      </c>
      <c r="P31" s="23">
        <v>10</v>
      </c>
      <c r="Q31" s="23">
        <v>10</v>
      </c>
      <c r="R31" s="23">
        <v>11</v>
      </c>
      <c r="S31" s="23">
        <v>12.5</v>
      </c>
      <c r="T31" s="23">
        <v>14</v>
      </c>
      <c r="U31" s="23">
        <v>11</v>
      </c>
      <c r="V31" s="23">
        <v>11</v>
      </c>
      <c r="W31" s="23">
        <v>11</v>
      </c>
      <c r="X31" s="23">
        <v>10</v>
      </c>
      <c r="Y31" s="23" t="s">
        <v>10</v>
      </c>
      <c r="Z31" s="23">
        <v>10</v>
      </c>
      <c r="AA31" s="23">
        <v>10</v>
      </c>
      <c r="AB31" s="23">
        <v>10</v>
      </c>
      <c r="AC31" s="23">
        <v>10</v>
      </c>
      <c r="AD31" s="23">
        <v>11</v>
      </c>
      <c r="AE31" s="23">
        <v>10</v>
      </c>
      <c r="AF31" s="23">
        <v>11</v>
      </c>
      <c r="AG31" s="23">
        <v>10</v>
      </c>
      <c r="AH31" s="23">
        <v>10</v>
      </c>
      <c r="AI31" s="22">
        <f t="shared" si="0"/>
        <v>282.5</v>
      </c>
      <c r="AJ31" s="21"/>
      <c r="AK31" s="14">
        <f t="shared" si="1"/>
        <v>0</v>
      </c>
      <c r="AL31" s="2" t="s">
        <v>373</v>
      </c>
    </row>
    <row r="32" spans="1:38" ht="19.899999999999999" customHeight="1" x14ac:dyDescent="0.25">
      <c r="A32" s="2">
        <v>30</v>
      </c>
      <c r="B32" s="7" t="s">
        <v>325</v>
      </c>
      <c r="C32" s="4" t="s">
        <v>328</v>
      </c>
      <c r="D32" s="2" t="s">
        <v>165</v>
      </c>
      <c r="E32" s="23"/>
      <c r="F32" s="23"/>
      <c r="G32" s="23"/>
      <c r="H32" s="23"/>
      <c r="I32" s="23"/>
      <c r="J32" s="23"/>
      <c r="K32" s="23" t="s">
        <v>10</v>
      </c>
      <c r="L32" s="23"/>
      <c r="M32" s="23"/>
      <c r="N32" s="23"/>
      <c r="O32" s="23"/>
      <c r="P32" s="23"/>
      <c r="Q32" s="23"/>
      <c r="R32" s="23" t="s">
        <v>10</v>
      </c>
      <c r="S32" s="23"/>
      <c r="T32" s="23"/>
      <c r="U32" s="23"/>
      <c r="V32" s="23"/>
      <c r="W32" s="23">
        <v>12</v>
      </c>
      <c r="X32" s="23">
        <v>11</v>
      </c>
      <c r="Y32" s="23" t="s">
        <v>10</v>
      </c>
      <c r="Z32" s="23">
        <v>10</v>
      </c>
      <c r="AA32" s="23">
        <v>10</v>
      </c>
      <c r="AB32" s="23">
        <v>10</v>
      </c>
      <c r="AC32" s="23">
        <v>10</v>
      </c>
      <c r="AD32" s="23">
        <v>11</v>
      </c>
      <c r="AE32" s="23">
        <v>10</v>
      </c>
      <c r="AF32" s="23" t="s">
        <v>10</v>
      </c>
      <c r="AG32" s="23">
        <v>10</v>
      </c>
      <c r="AH32" s="23">
        <v>10</v>
      </c>
      <c r="AI32" s="22">
        <f t="shared" si="0"/>
        <v>104</v>
      </c>
      <c r="AJ32" s="21"/>
      <c r="AK32" s="14">
        <f t="shared" si="1"/>
        <v>0</v>
      </c>
      <c r="AL32" s="2" t="s">
        <v>373</v>
      </c>
    </row>
    <row r="33" spans="1:38" ht="19.899999999999999" customHeight="1" x14ac:dyDescent="0.25">
      <c r="A33" s="2">
        <v>31</v>
      </c>
      <c r="B33" s="2" t="s">
        <v>372</v>
      </c>
      <c r="C33" s="4" t="s">
        <v>366</v>
      </c>
      <c r="D33" s="2" t="s">
        <v>165</v>
      </c>
      <c r="E33" s="23"/>
      <c r="F33" s="23">
        <v>10</v>
      </c>
      <c r="G33" s="23">
        <v>10</v>
      </c>
      <c r="H33" s="23" t="s">
        <v>32</v>
      </c>
      <c r="I33" s="23">
        <v>10</v>
      </c>
      <c r="J33" s="23">
        <v>10</v>
      </c>
      <c r="K33" s="23" t="s">
        <v>10</v>
      </c>
      <c r="L33" s="23">
        <v>10</v>
      </c>
      <c r="M33" s="23">
        <v>10</v>
      </c>
      <c r="N33" s="23" t="s">
        <v>32</v>
      </c>
      <c r="O33" s="23" t="s">
        <v>32</v>
      </c>
      <c r="P33" s="23" t="s">
        <v>32</v>
      </c>
      <c r="Q33" s="23">
        <v>10</v>
      </c>
      <c r="R33" s="23" t="s">
        <v>10</v>
      </c>
      <c r="S33" s="23"/>
      <c r="T33" s="23"/>
      <c r="U33" s="23"/>
      <c r="V33" s="23"/>
      <c r="W33" s="23"/>
      <c r="X33" s="23"/>
      <c r="Y33" s="23" t="s">
        <v>10</v>
      </c>
      <c r="Z33" s="23"/>
      <c r="AA33" s="23"/>
      <c r="AB33" s="23"/>
      <c r="AC33" s="23"/>
      <c r="AD33" s="23">
        <v>10</v>
      </c>
      <c r="AE33" s="23"/>
      <c r="AF33" s="23" t="s">
        <v>10</v>
      </c>
      <c r="AG33" s="23"/>
      <c r="AH33" s="23"/>
      <c r="AI33" s="22">
        <f t="shared" si="0"/>
        <v>80</v>
      </c>
      <c r="AJ33" s="21"/>
      <c r="AK33" s="14">
        <f t="shared" si="1"/>
        <v>0</v>
      </c>
      <c r="AL33" s="2" t="s">
        <v>373</v>
      </c>
    </row>
    <row r="34" spans="1:38" ht="19.899999999999999" customHeight="1" x14ac:dyDescent="0.25">
      <c r="A34" s="2">
        <v>32</v>
      </c>
      <c r="B34" s="7" t="s">
        <v>399</v>
      </c>
      <c r="C34" s="4" t="s">
        <v>400</v>
      </c>
      <c r="D34" s="2" t="s">
        <v>165</v>
      </c>
      <c r="E34" s="23"/>
      <c r="F34" s="23">
        <v>10</v>
      </c>
      <c r="G34" s="23">
        <v>10</v>
      </c>
      <c r="H34" s="23">
        <v>10</v>
      </c>
      <c r="I34" s="23">
        <v>10</v>
      </c>
      <c r="J34" s="23">
        <v>10</v>
      </c>
      <c r="K34" s="23" t="s">
        <v>10</v>
      </c>
      <c r="L34" s="23">
        <v>10</v>
      </c>
      <c r="M34" s="23">
        <v>10</v>
      </c>
      <c r="N34" s="23">
        <v>10</v>
      </c>
      <c r="O34" s="23">
        <v>10</v>
      </c>
      <c r="P34" s="23">
        <v>10</v>
      </c>
      <c r="Q34" s="23">
        <v>10</v>
      </c>
      <c r="R34" s="23">
        <v>11</v>
      </c>
      <c r="S34" s="23">
        <v>12.5</v>
      </c>
      <c r="T34" s="23">
        <v>14</v>
      </c>
      <c r="U34" s="23">
        <v>11</v>
      </c>
      <c r="V34" s="23">
        <v>11</v>
      </c>
      <c r="W34" s="23">
        <v>11</v>
      </c>
      <c r="X34" s="23">
        <v>10</v>
      </c>
      <c r="Y34" s="23" t="s">
        <v>10</v>
      </c>
      <c r="Z34" s="23">
        <v>10</v>
      </c>
      <c r="AA34" s="23">
        <v>10</v>
      </c>
      <c r="AB34" s="23">
        <v>10</v>
      </c>
      <c r="AC34" s="23">
        <v>10</v>
      </c>
      <c r="AD34" s="23">
        <v>11</v>
      </c>
      <c r="AE34" s="23">
        <v>10</v>
      </c>
      <c r="AF34" s="23">
        <v>11</v>
      </c>
      <c r="AG34" s="23">
        <v>10</v>
      </c>
      <c r="AH34" s="23">
        <v>10</v>
      </c>
      <c r="AI34" s="22">
        <f t="shared" si="0"/>
        <v>282.5</v>
      </c>
      <c r="AJ34" s="21"/>
      <c r="AK34" s="14">
        <f t="shared" si="1"/>
        <v>0</v>
      </c>
      <c r="AL34" s="2" t="s">
        <v>373</v>
      </c>
    </row>
    <row r="35" spans="1:38" ht="19.899999999999999" customHeight="1" x14ac:dyDescent="0.25">
      <c r="A35" s="2">
        <v>33</v>
      </c>
      <c r="B35" s="7">
        <v>350</v>
      </c>
      <c r="C35" s="4" t="s">
        <v>411</v>
      </c>
      <c r="D35" s="2" t="s">
        <v>165</v>
      </c>
      <c r="E35" s="23"/>
      <c r="F35" s="23"/>
      <c r="G35" s="23"/>
      <c r="H35" s="23"/>
      <c r="I35" s="23"/>
      <c r="J35" s="23"/>
      <c r="K35" s="23" t="s">
        <v>10</v>
      </c>
      <c r="L35" s="23"/>
      <c r="M35" s="23"/>
      <c r="N35" s="23"/>
      <c r="O35" s="23"/>
      <c r="P35" s="23"/>
      <c r="Q35" s="23"/>
      <c r="R35" s="23" t="s">
        <v>10</v>
      </c>
      <c r="S35" s="23"/>
      <c r="T35" s="23"/>
      <c r="U35" s="23"/>
      <c r="V35" s="23"/>
      <c r="W35" s="23"/>
      <c r="X35" s="23"/>
      <c r="Y35" s="23" t="s">
        <v>10</v>
      </c>
      <c r="Z35" s="23"/>
      <c r="AA35" s="23"/>
      <c r="AB35" s="23"/>
      <c r="AC35" s="23"/>
      <c r="AD35" s="23">
        <v>11</v>
      </c>
      <c r="AE35" s="23"/>
      <c r="AF35" s="23" t="s">
        <v>10</v>
      </c>
      <c r="AG35" s="23"/>
      <c r="AH35" s="23"/>
      <c r="AI35" s="22">
        <f t="shared" ref="AI35:AI66" si="2">SUM(E35:AH35)</f>
        <v>11</v>
      </c>
      <c r="AJ35" s="21"/>
      <c r="AK35" s="14">
        <f t="shared" si="1"/>
        <v>0</v>
      </c>
      <c r="AL35" s="2" t="s">
        <v>373</v>
      </c>
    </row>
    <row r="36" spans="1:38" ht="19.899999999999999" customHeight="1" x14ac:dyDescent="0.25">
      <c r="A36" s="2">
        <v>34</v>
      </c>
      <c r="B36" s="7" t="s">
        <v>206</v>
      </c>
      <c r="C36" s="4" t="s">
        <v>556</v>
      </c>
      <c r="D36" s="2" t="s">
        <v>557</v>
      </c>
      <c r="E36" s="23">
        <v>10</v>
      </c>
      <c r="F36" s="23">
        <v>10</v>
      </c>
      <c r="G36" s="23">
        <v>10</v>
      </c>
      <c r="H36" s="23">
        <v>10</v>
      </c>
      <c r="I36" s="23" t="s">
        <v>515</v>
      </c>
      <c r="J36" s="23">
        <v>10</v>
      </c>
      <c r="K36" s="23" t="s">
        <v>10</v>
      </c>
      <c r="L36" s="23">
        <v>10</v>
      </c>
      <c r="M36" s="23">
        <v>10</v>
      </c>
      <c r="N36" s="23">
        <v>10</v>
      </c>
      <c r="O36" s="23">
        <v>10</v>
      </c>
      <c r="P36" s="23">
        <v>10</v>
      </c>
      <c r="Q36" s="23">
        <v>10</v>
      </c>
      <c r="R36" s="23" t="s">
        <v>10</v>
      </c>
      <c r="S36" s="23">
        <v>10</v>
      </c>
      <c r="T36" s="23">
        <v>10</v>
      </c>
      <c r="U36" s="23">
        <v>10</v>
      </c>
      <c r="V36" s="23">
        <v>10</v>
      </c>
      <c r="W36" s="23">
        <v>10</v>
      </c>
      <c r="X36" s="23">
        <v>10</v>
      </c>
      <c r="Y36" s="23" t="s">
        <v>10</v>
      </c>
      <c r="Z36" s="23">
        <v>10</v>
      </c>
      <c r="AA36" s="23">
        <v>10</v>
      </c>
      <c r="AB36" s="23">
        <v>10</v>
      </c>
      <c r="AC36" s="23">
        <v>10</v>
      </c>
      <c r="AD36" s="23">
        <v>10</v>
      </c>
      <c r="AE36" s="23">
        <v>10</v>
      </c>
      <c r="AF36" s="23" t="s">
        <v>10</v>
      </c>
      <c r="AG36" s="23">
        <v>10</v>
      </c>
      <c r="AH36" s="23">
        <v>10</v>
      </c>
      <c r="AI36" s="22">
        <f t="shared" si="2"/>
        <v>250</v>
      </c>
      <c r="AJ36" s="2"/>
      <c r="AK36" s="14">
        <f t="shared" si="1"/>
        <v>0</v>
      </c>
      <c r="AL36" s="2" t="s">
        <v>94</v>
      </c>
    </row>
    <row r="37" spans="1:38" ht="19.899999999999999" customHeight="1" x14ac:dyDescent="0.25">
      <c r="A37" s="2">
        <v>35</v>
      </c>
      <c r="B37" s="3" t="s">
        <v>208</v>
      </c>
      <c r="C37" s="4" t="s">
        <v>558</v>
      </c>
      <c r="D37" s="2" t="s">
        <v>557</v>
      </c>
      <c r="E37" s="23">
        <v>10</v>
      </c>
      <c r="F37" s="23">
        <v>10</v>
      </c>
      <c r="G37" s="23">
        <v>10</v>
      </c>
      <c r="H37" s="23">
        <v>10</v>
      </c>
      <c r="I37" s="23" t="s">
        <v>515</v>
      </c>
      <c r="J37" s="23" t="s">
        <v>32</v>
      </c>
      <c r="K37" s="23" t="s">
        <v>10</v>
      </c>
      <c r="L37" s="23">
        <v>10</v>
      </c>
      <c r="M37" s="23">
        <v>10</v>
      </c>
      <c r="N37" s="23">
        <v>10</v>
      </c>
      <c r="O37" s="23">
        <v>10</v>
      </c>
      <c r="P37" s="23">
        <v>10</v>
      </c>
      <c r="Q37" s="23">
        <v>10</v>
      </c>
      <c r="R37" s="23" t="s">
        <v>10</v>
      </c>
      <c r="S37" s="23">
        <v>10</v>
      </c>
      <c r="T37" s="23">
        <v>10</v>
      </c>
      <c r="U37" s="23">
        <v>10</v>
      </c>
      <c r="V37" s="23">
        <v>10</v>
      </c>
      <c r="W37" s="23">
        <v>10</v>
      </c>
      <c r="X37" s="23">
        <v>10</v>
      </c>
      <c r="Y37" s="23" t="s">
        <v>10</v>
      </c>
      <c r="Z37" s="23">
        <v>10</v>
      </c>
      <c r="AA37" s="23">
        <v>10</v>
      </c>
      <c r="AB37" s="23">
        <v>10</v>
      </c>
      <c r="AC37" s="23">
        <v>10</v>
      </c>
      <c r="AD37" s="23">
        <v>10</v>
      </c>
      <c r="AE37" s="23">
        <v>10</v>
      </c>
      <c r="AF37" s="23" t="s">
        <v>10</v>
      </c>
      <c r="AG37" s="23">
        <v>10</v>
      </c>
      <c r="AH37" s="23">
        <v>10</v>
      </c>
      <c r="AI37" s="22">
        <f t="shared" si="2"/>
        <v>240</v>
      </c>
      <c r="AJ37" s="2"/>
      <c r="AK37" s="14">
        <f t="shared" si="1"/>
        <v>0</v>
      </c>
      <c r="AL37" s="2" t="s">
        <v>94</v>
      </c>
    </row>
    <row r="38" spans="1:38" ht="19.899999999999999" customHeight="1" x14ac:dyDescent="0.25">
      <c r="A38" s="2">
        <v>36</v>
      </c>
      <c r="B38" s="7" t="s">
        <v>207</v>
      </c>
      <c r="C38" s="4" t="s">
        <v>559</v>
      </c>
      <c r="D38" s="2" t="s">
        <v>557</v>
      </c>
      <c r="E38" s="23">
        <v>10</v>
      </c>
      <c r="F38" s="23">
        <v>10</v>
      </c>
      <c r="G38" s="23">
        <v>10</v>
      </c>
      <c r="H38" s="23">
        <v>10</v>
      </c>
      <c r="I38" s="23" t="s">
        <v>515</v>
      </c>
      <c r="J38" s="23">
        <v>10</v>
      </c>
      <c r="K38" s="23" t="s">
        <v>10</v>
      </c>
      <c r="L38" s="23">
        <v>10</v>
      </c>
      <c r="M38" s="23">
        <v>10</v>
      </c>
      <c r="N38" s="23">
        <v>10</v>
      </c>
      <c r="O38" s="23">
        <v>10</v>
      </c>
      <c r="P38" s="23">
        <v>10</v>
      </c>
      <c r="Q38" s="23">
        <v>10</v>
      </c>
      <c r="R38" s="23" t="s">
        <v>10</v>
      </c>
      <c r="S38" s="23">
        <v>10</v>
      </c>
      <c r="T38" s="23">
        <v>10</v>
      </c>
      <c r="U38" s="23">
        <v>10</v>
      </c>
      <c r="V38" s="23">
        <v>10</v>
      </c>
      <c r="W38" s="23">
        <v>10</v>
      </c>
      <c r="X38" s="23">
        <v>10</v>
      </c>
      <c r="Y38" s="23" t="s">
        <v>10</v>
      </c>
      <c r="Z38" s="23">
        <v>10</v>
      </c>
      <c r="AA38" s="23">
        <v>10</v>
      </c>
      <c r="AB38" s="23">
        <v>10</v>
      </c>
      <c r="AC38" s="23">
        <v>10</v>
      </c>
      <c r="AD38" s="23">
        <v>10</v>
      </c>
      <c r="AE38" s="23">
        <v>10</v>
      </c>
      <c r="AF38" s="23" t="s">
        <v>10</v>
      </c>
      <c r="AG38" s="23">
        <v>10</v>
      </c>
      <c r="AH38" s="23">
        <v>10</v>
      </c>
      <c r="AI38" s="22">
        <f t="shared" si="2"/>
        <v>250</v>
      </c>
      <c r="AJ38" s="2"/>
      <c r="AK38" s="14">
        <f t="shared" si="1"/>
        <v>0</v>
      </c>
      <c r="AL38" s="2" t="s">
        <v>94</v>
      </c>
    </row>
    <row r="39" spans="1:38" ht="19.899999999999999" customHeight="1" x14ac:dyDescent="0.25">
      <c r="A39" s="2">
        <v>37</v>
      </c>
      <c r="B39" s="2" t="s">
        <v>270</v>
      </c>
      <c r="C39" s="4" t="s">
        <v>271</v>
      </c>
      <c r="D39" s="2" t="s">
        <v>165</v>
      </c>
      <c r="E39" s="23">
        <v>10</v>
      </c>
      <c r="F39" s="23">
        <v>10</v>
      </c>
      <c r="G39" s="23">
        <v>10</v>
      </c>
      <c r="H39" s="23">
        <v>10</v>
      </c>
      <c r="I39" s="23" t="s">
        <v>515</v>
      </c>
      <c r="J39" s="23">
        <v>10</v>
      </c>
      <c r="K39" s="23" t="s">
        <v>10</v>
      </c>
      <c r="L39" s="23">
        <v>10</v>
      </c>
      <c r="M39" s="23">
        <v>10</v>
      </c>
      <c r="N39" s="23">
        <v>10</v>
      </c>
      <c r="O39" s="23">
        <v>10</v>
      </c>
      <c r="P39" s="23">
        <v>10</v>
      </c>
      <c r="Q39" s="23">
        <v>10</v>
      </c>
      <c r="R39" s="23" t="s">
        <v>10</v>
      </c>
      <c r="S39" s="23">
        <v>10</v>
      </c>
      <c r="T39" s="23">
        <v>10</v>
      </c>
      <c r="U39" s="23">
        <v>10</v>
      </c>
      <c r="V39" s="23">
        <v>10</v>
      </c>
      <c r="W39" s="23">
        <v>10</v>
      </c>
      <c r="X39" s="23">
        <v>10</v>
      </c>
      <c r="Y39" s="23" t="s">
        <v>10</v>
      </c>
      <c r="Z39" s="23">
        <v>10</v>
      </c>
      <c r="AA39" s="23">
        <v>10</v>
      </c>
      <c r="AB39" s="23">
        <v>10</v>
      </c>
      <c r="AC39" s="23">
        <v>10</v>
      </c>
      <c r="AD39" s="23">
        <v>10</v>
      </c>
      <c r="AE39" s="23">
        <v>10</v>
      </c>
      <c r="AF39" s="23">
        <v>10</v>
      </c>
      <c r="AG39" s="23"/>
      <c r="AH39" s="23"/>
      <c r="AI39" s="22">
        <f t="shared" si="2"/>
        <v>240</v>
      </c>
      <c r="AJ39" s="21"/>
      <c r="AK39" s="14">
        <f t="shared" si="1"/>
        <v>0</v>
      </c>
      <c r="AL39" s="2" t="s">
        <v>299</v>
      </c>
    </row>
    <row r="40" spans="1:38" ht="19.899999999999999" customHeight="1" x14ac:dyDescent="0.25">
      <c r="A40" s="2">
        <v>38</v>
      </c>
      <c r="B40" s="2" t="s">
        <v>273</v>
      </c>
      <c r="C40" s="4" t="s">
        <v>274</v>
      </c>
      <c r="D40" s="2" t="s">
        <v>165</v>
      </c>
      <c r="E40" s="23">
        <v>10</v>
      </c>
      <c r="F40" s="23">
        <v>10</v>
      </c>
      <c r="G40" s="23">
        <v>10</v>
      </c>
      <c r="H40" s="23">
        <v>10</v>
      </c>
      <c r="I40" s="23">
        <v>6</v>
      </c>
      <c r="J40" s="23">
        <v>10</v>
      </c>
      <c r="K40" s="23" t="s">
        <v>10</v>
      </c>
      <c r="L40" s="23">
        <v>10</v>
      </c>
      <c r="M40" s="23">
        <v>10</v>
      </c>
      <c r="N40" s="23">
        <v>10</v>
      </c>
      <c r="O40" s="23">
        <v>10</v>
      </c>
      <c r="P40" s="23">
        <v>10</v>
      </c>
      <c r="Q40" s="23">
        <v>10</v>
      </c>
      <c r="R40" s="23" t="s">
        <v>10</v>
      </c>
      <c r="S40" s="23">
        <v>10</v>
      </c>
      <c r="T40" s="23">
        <v>10</v>
      </c>
      <c r="U40" s="23">
        <v>10</v>
      </c>
      <c r="V40" s="23">
        <v>10</v>
      </c>
      <c r="W40" s="23">
        <v>10</v>
      </c>
      <c r="X40" s="23">
        <v>10</v>
      </c>
      <c r="Y40" s="23" t="s">
        <v>10</v>
      </c>
      <c r="Z40" s="23">
        <v>10</v>
      </c>
      <c r="AA40" s="23">
        <v>10</v>
      </c>
      <c r="AB40" s="23">
        <v>10</v>
      </c>
      <c r="AC40" s="23">
        <v>10</v>
      </c>
      <c r="AD40" s="23">
        <v>10</v>
      </c>
      <c r="AE40" s="23">
        <v>10</v>
      </c>
      <c r="AF40" s="23">
        <v>10</v>
      </c>
      <c r="AG40" s="23"/>
      <c r="AH40" s="23"/>
      <c r="AI40" s="22">
        <f t="shared" si="2"/>
        <v>246</v>
      </c>
      <c r="AJ40" s="21"/>
      <c r="AK40" s="14">
        <f t="shared" si="1"/>
        <v>0</v>
      </c>
      <c r="AL40" s="2" t="s">
        <v>299</v>
      </c>
    </row>
    <row r="41" spans="1:38" ht="19.899999999999999" customHeight="1" x14ac:dyDescent="0.25">
      <c r="A41" s="2">
        <v>39</v>
      </c>
      <c r="B41" s="7" t="s">
        <v>225</v>
      </c>
      <c r="C41" s="4" t="s">
        <v>414</v>
      </c>
      <c r="D41" s="2" t="s">
        <v>165</v>
      </c>
      <c r="E41" s="23">
        <v>10</v>
      </c>
      <c r="F41" s="23">
        <v>10</v>
      </c>
      <c r="G41" s="23">
        <v>10</v>
      </c>
      <c r="H41" s="23">
        <v>10</v>
      </c>
      <c r="I41" s="23">
        <v>6</v>
      </c>
      <c r="J41" s="23">
        <v>10</v>
      </c>
      <c r="K41" s="23" t="s">
        <v>10</v>
      </c>
      <c r="L41" s="23" t="s">
        <v>32</v>
      </c>
      <c r="M41" s="23">
        <v>10</v>
      </c>
      <c r="N41" s="23">
        <v>10</v>
      </c>
      <c r="O41" s="23">
        <v>10</v>
      </c>
      <c r="P41" s="23">
        <v>10</v>
      </c>
      <c r="Q41" s="23">
        <v>10</v>
      </c>
      <c r="R41" s="23" t="s">
        <v>10</v>
      </c>
      <c r="S41" s="23">
        <v>10</v>
      </c>
      <c r="T41" s="23">
        <v>10</v>
      </c>
      <c r="U41" s="23">
        <v>10</v>
      </c>
      <c r="V41" s="23">
        <v>10</v>
      </c>
      <c r="W41" s="23">
        <v>10</v>
      </c>
      <c r="X41" s="23">
        <v>10</v>
      </c>
      <c r="Y41" s="23" t="s">
        <v>10</v>
      </c>
      <c r="Z41" s="23">
        <v>10</v>
      </c>
      <c r="AA41" s="23">
        <v>10</v>
      </c>
      <c r="AB41" s="23">
        <v>10</v>
      </c>
      <c r="AC41" s="23">
        <v>10</v>
      </c>
      <c r="AD41" s="23">
        <v>10</v>
      </c>
      <c r="AE41" s="23">
        <v>10</v>
      </c>
      <c r="AF41" s="23">
        <v>10</v>
      </c>
      <c r="AG41" s="23"/>
      <c r="AH41" s="23"/>
      <c r="AI41" s="22">
        <f t="shared" si="2"/>
        <v>236</v>
      </c>
      <c r="AJ41" s="21"/>
      <c r="AK41" s="14">
        <f t="shared" si="1"/>
        <v>0</v>
      </c>
      <c r="AL41" s="2" t="s">
        <v>299</v>
      </c>
    </row>
    <row r="42" spans="1:38" ht="19.899999999999999" customHeight="1" x14ac:dyDescent="0.25">
      <c r="A42" s="2">
        <v>40</v>
      </c>
      <c r="B42" s="7">
        <v>313</v>
      </c>
      <c r="C42" s="4" t="s">
        <v>294</v>
      </c>
      <c r="D42" s="2" t="s">
        <v>165</v>
      </c>
      <c r="E42" s="23">
        <v>10</v>
      </c>
      <c r="F42" s="23">
        <v>10</v>
      </c>
      <c r="G42" s="23">
        <v>10</v>
      </c>
      <c r="H42" s="23">
        <v>10</v>
      </c>
      <c r="I42" s="23">
        <v>6</v>
      </c>
      <c r="J42" s="23">
        <v>10</v>
      </c>
      <c r="K42" s="23" t="s">
        <v>10</v>
      </c>
      <c r="L42" s="23">
        <v>10</v>
      </c>
      <c r="M42" s="23">
        <v>10</v>
      </c>
      <c r="N42" s="23">
        <v>10</v>
      </c>
      <c r="O42" s="23">
        <v>10</v>
      </c>
      <c r="P42" s="23">
        <v>10</v>
      </c>
      <c r="Q42" s="23">
        <v>10</v>
      </c>
      <c r="R42" s="23" t="s">
        <v>10</v>
      </c>
      <c r="S42" s="23">
        <v>10</v>
      </c>
      <c r="T42" s="23">
        <v>10</v>
      </c>
      <c r="U42" s="23">
        <v>10</v>
      </c>
      <c r="V42" s="23">
        <v>10</v>
      </c>
      <c r="W42" s="23">
        <v>10</v>
      </c>
      <c r="X42" s="23">
        <v>10</v>
      </c>
      <c r="Y42" s="23" t="s">
        <v>10</v>
      </c>
      <c r="Z42" s="23">
        <v>10</v>
      </c>
      <c r="AA42" s="23">
        <v>10</v>
      </c>
      <c r="AB42" s="23">
        <v>10</v>
      </c>
      <c r="AC42" s="23">
        <v>10</v>
      </c>
      <c r="AD42" s="23">
        <v>10</v>
      </c>
      <c r="AE42" s="23">
        <v>10</v>
      </c>
      <c r="AF42" s="23">
        <v>10</v>
      </c>
      <c r="AG42" s="23"/>
      <c r="AH42" s="23"/>
      <c r="AI42" s="22">
        <f t="shared" si="2"/>
        <v>246</v>
      </c>
      <c r="AJ42" s="21"/>
      <c r="AK42" s="14">
        <f t="shared" si="1"/>
        <v>0</v>
      </c>
      <c r="AL42" s="2" t="s">
        <v>299</v>
      </c>
    </row>
    <row r="43" spans="1:38" ht="19.899999999999999" customHeight="1" x14ac:dyDescent="0.25">
      <c r="A43" s="2">
        <v>41</v>
      </c>
      <c r="B43" s="2" t="s">
        <v>202</v>
      </c>
      <c r="C43" s="4" t="s">
        <v>415</v>
      </c>
      <c r="D43" s="2" t="s">
        <v>165</v>
      </c>
      <c r="E43" s="23">
        <v>10</v>
      </c>
      <c r="F43" s="23">
        <v>10</v>
      </c>
      <c r="G43" s="23">
        <v>10</v>
      </c>
      <c r="H43" s="23">
        <v>10</v>
      </c>
      <c r="I43" s="23" t="s">
        <v>515</v>
      </c>
      <c r="J43" s="23">
        <v>10</v>
      </c>
      <c r="K43" s="23" t="s">
        <v>10</v>
      </c>
      <c r="L43" s="23" t="s">
        <v>32</v>
      </c>
      <c r="M43" s="23">
        <v>10</v>
      </c>
      <c r="N43" s="23">
        <v>10</v>
      </c>
      <c r="O43" s="23">
        <v>10</v>
      </c>
      <c r="P43" s="23">
        <v>10</v>
      </c>
      <c r="Q43" s="23">
        <v>10</v>
      </c>
      <c r="R43" s="23" t="s">
        <v>10</v>
      </c>
      <c r="S43" s="23">
        <v>10</v>
      </c>
      <c r="T43" s="23">
        <v>10</v>
      </c>
      <c r="U43" s="23">
        <v>10</v>
      </c>
      <c r="V43" s="23">
        <v>10</v>
      </c>
      <c r="W43" s="23">
        <v>10</v>
      </c>
      <c r="X43" s="23">
        <v>10</v>
      </c>
      <c r="Y43" s="23" t="s">
        <v>10</v>
      </c>
      <c r="Z43" s="23">
        <v>10</v>
      </c>
      <c r="AA43" s="23">
        <v>10</v>
      </c>
      <c r="AB43" s="23">
        <v>10</v>
      </c>
      <c r="AC43" s="23">
        <v>10</v>
      </c>
      <c r="AD43" s="23">
        <v>10</v>
      </c>
      <c r="AE43" s="23">
        <v>10</v>
      </c>
      <c r="AF43" s="23">
        <v>10</v>
      </c>
      <c r="AG43" s="23"/>
      <c r="AH43" s="23"/>
      <c r="AI43" s="22">
        <f t="shared" si="2"/>
        <v>230</v>
      </c>
      <c r="AJ43" s="21"/>
      <c r="AK43" s="14">
        <f t="shared" si="1"/>
        <v>0</v>
      </c>
      <c r="AL43" s="2" t="s">
        <v>299</v>
      </c>
    </row>
    <row r="44" spans="1:38" ht="19.899999999999999" customHeight="1" x14ac:dyDescent="0.25">
      <c r="A44" s="2">
        <v>42</v>
      </c>
      <c r="B44" s="7" t="s">
        <v>234</v>
      </c>
      <c r="C44" s="4" t="s">
        <v>416</v>
      </c>
      <c r="D44" s="2" t="s">
        <v>165</v>
      </c>
      <c r="E44" s="23">
        <v>10</v>
      </c>
      <c r="F44" s="23">
        <v>10</v>
      </c>
      <c r="G44" s="23">
        <v>10</v>
      </c>
      <c r="H44" s="23">
        <v>10</v>
      </c>
      <c r="I44" s="23">
        <v>6</v>
      </c>
      <c r="J44" s="23">
        <v>10</v>
      </c>
      <c r="K44" s="23" t="s">
        <v>10</v>
      </c>
      <c r="L44" s="23">
        <v>10</v>
      </c>
      <c r="M44" s="23">
        <v>10</v>
      </c>
      <c r="N44" s="23">
        <v>10</v>
      </c>
      <c r="O44" s="23">
        <v>10</v>
      </c>
      <c r="P44" s="23">
        <v>10</v>
      </c>
      <c r="Q44" s="23">
        <v>10</v>
      </c>
      <c r="R44" s="23" t="s">
        <v>10</v>
      </c>
      <c r="S44" s="23">
        <v>10</v>
      </c>
      <c r="T44" s="23">
        <v>10</v>
      </c>
      <c r="U44" s="23">
        <v>10</v>
      </c>
      <c r="V44" s="23">
        <v>10</v>
      </c>
      <c r="W44" s="23">
        <v>10</v>
      </c>
      <c r="X44" s="23">
        <v>10</v>
      </c>
      <c r="Y44" s="23" t="s">
        <v>10</v>
      </c>
      <c r="Z44" s="23">
        <v>10</v>
      </c>
      <c r="AA44" s="23">
        <v>10</v>
      </c>
      <c r="AB44" s="23">
        <v>10</v>
      </c>
      <c r="AC44" s="23">
        <v>10</v>
      </c>
      <c r="AD44" s="23">
        <v>10</v>
      </c>
      <c r="AE44" s="23">
        <v>10</v>
      </c>
      <c r="AF44" s="23">
        <v>10</v>
      </c>
      <c r="AG44" s="23"/>
      <c r="AH44" s="23"/>
      <c r="AI44" s="22">
        <f t="shared" si="2"/>
        <v>246</v>
      </c>
      <c r="AJ44" s="2"/>
      <c r="AK44" s="14">
        <f t="shared" si="1"/>
        <v>0</v>
      </c>
      <c r="AL44" s="2" t="s">
        <v>299</v>
      </c>
    </row>
    <row r="45" spans="1:38" ht="19.899999999999999" customHeight="1" x14ac:dyDescent="0.25">
      <c r="A45" s="2">
        <v>43</v>
      </c>
      <c r="B45" s="7" t="s">
        <v>301</v>
      </c>
      <c r="C45" s="4" t="s">
        <v>370</v>
      </c>
      <c r="D45" s="2" t="s">
        <v>165</v>
      </c>
      <c r="E45" s="23">
        <v>10</v>
      </c>
      <c r="F45" s="23">
        <v>10</v>
      </c>
      <c r="G45" s="23">
        <v>10</v>
      </c>
      <c r="H45" s="23">
        <v>10</v>
      </c>
      <c r="I45" s="23">
        <v>6</v>
      </c>
      <c r="J45" s="23">
        <v>10</v>
      </c>
      <c r="K45" s="23" t="s">
        <v>10</v>
      </c>
      <c r="L45" s="23">
        <v>10</v>
      </c>
      <c r="M45" s="23">
        <v>10</v>
      </c>
      <c r="N45" s="23">
        <v>10</v>
      </c>
      <c r="O45" s="23">
        <v>10</v>
      </c>
      <c r="P45" s="23">
        <v>10</v>
      </c>
      <c r="Q45" s="23">
        <v>10</v>
      </c>
      <c r="R45" s="23" t="s">
        <v>10</v>
      </c>
      <c r="S45" s="23">
        <v>10</v>
      </c>
      <c r="T45" s="23">
        <v>10</v>
      </c>
      <c r="U45" s="23">
        <v>10</v>
      </c>
      <c r="V45" s="23">
        <v>10</v>
      </c>
      <c r="W45" s="23">
        <v>10</v>
      </c>
      <c r="X45" s="23">
        <v>10</v>
      </c>
      <c r="Y45" s="23" t="s">
        <v>10</v>
      </c>
      <c r="Z45" s="23">
        <v>10</v>
      </c>
      <c r="AA45" s="23">
        <v>10</v>
      </c>
      <c r="AB45" s="23">
        <v>10</v>
      </c>
      <c r="AC45" s="23">
        <v>10</v>
      </c>
      <c r="AD45" s="23">
        <v>10</v>
      </c>
      <c r="AE45" s="23">
        <v>10</v>
      </c>
      <c r="AF45" s="23">
        <v>10</v>
      </c>
      <c r="AG45" s="23"/>
      <c r="AH45" s="23"/>
      <c r="AI45" s="22">
        <f t="shared" si="2"/>
        <v>246</v>
      </c>
      <c r="AJ45" s="2"/>
      <c r="AK45" s="14">
        <f t="shared" si="1"/>
        <v>0</v>
      </c>
      <c r="AL45" s="2" t="s">
        <v>299</v>
      </c>
    </row>
    <row r="46" spans="1:38" ht="19.899999999999999" customHeight="1" x14ac:dyDescent="0.25">
      <c r="A46" s="2">
        <v>44</v>
      </c>
      <c r="B46" s="7" t="s">
        <v>171</v>
      </c>
      <c r="C46" s="4" t="s">
        <v>172</v>
      </c>
      <c r="D46" s="2" t="s">
        <v>165</v>
      </c>
      <c r="E46" s="23">
        <v>10</v>
      </c>
      <c r="F46" s="23">
        <v>10</v>
      </c>
      <c r="G46" s="23">
        <v>10</v>
      </c>
      <c r="H46" s="23">
        <v>10</v>
      </c>
      <c r="I46" s="23" t="s">
        <v>515</v>
      </c>
      <c r="J46" s="23">
        <v>10</v>
      </c>
      <c r="K46" s="23" t="s">
        <v>10</v>
      </c>
      <c r="L46" s="23">
        <v>10</v>
      </c>
      <c r="M46" s="23">
        <v>10</v>
      </c>
      <c r="N46" s="23">
        <v>10</v>
      </c>
      <c r="O46" s="23">
        <v>10</v>
      </c>
      <c r="P46" s="23">
        <v>10</v>
      </c>
      <c r="Q46" s="23">
        <v>10</v>
      </c>
      <c r="R46" s="23" t="s">
        <v>10</v>
      </c>
      <c r="S46" s="23">
        <v>10</v>
      </c>
      <c r="T46" s="23">
        <v>10</v>
      </c>
      <c r="U46" s="23">
        <v>10</v>
      </c>
      <c r="V46" s="23">
        <v>10</v>
      </c>
      <c r="W46" s="23">
        <v>10</v>
      </c>
      <c r="X46" s="23">
        <v>10</v>
      </c>
      <c r="Y46" s="23" t="s">
        <v>10</v>
      </c>
      <c r="Z46" s="23">
        <v>10</v>
      </c>
      <c r="AA46" s="23">
        <v>10</v>
      </c>
      <c r="AB46" s="23">
        <v>10</v>
      </c>
      <c r="AC46" s="23" t="s">
        <v>32</v>
      </c>
      <c r="AD46" s="23">
        <v>10</v>
      </c>
      <c r="AE46" s="23">
        <v>10</v>
      </c>
      <c r="AF46" s="23">
        <v>10</v>
      </c>
      <c r="AG46" s="23"/>
      <c r="AH46" s="23"/>
      <c r="AI46" s="22">
        <f t="shared" si="2"/>
        <v>230</v>
      </c>
      <c r="AJ46" s="2"/>
      <c r="AK46" s="14">
        <f t="shared" si="1"/>
        <v>0</v>
      </c>
      <c r="AL46" s="2" t="s">
        <v>299</v>
      </c>
    </row>
    <row r="47" spans="1:38" ht="19.899999999999999" customHeight="1" x14ac:dyDescent="0.25">
      <c r="A47" s="2">
        <v>45</v>
      </c>
      <c r="B47" s="2" t="s">
        <v>253</v>
      </c>
      <c r="C47" s="4" t="s">
        <v>254</v>
      </c>
      <c r="D47" s="2" t="s">
        <v>165</v>
      </c>
      <c r="E47" s="23" t="s">
        <v>32</v>
      </c>
      <c r="F47" s="23" t="s">
        <v>32</v>
      </c>
      <c r="G47" s="23">
        <v>10</v>
      </c>
      <c r="H47" s="23">
        <v>10</v>
      </c>
      <c r="I47" s="23" t="s">
        <v>515</v>
      </c>
      <c r="J47" s="23">
        <v>10</v>
      </c>
      <c r="K47" s="23" t="s">
        <v>10</v>
      </c>
      <c r="L47" s="23">
        <v>10</v>
      </c>
      <c r="M47" s="23">
        <v>10</v>
      </c>
      <c r="N47" s="23">
        <v>10</v>
      </c>
      <c r="O47" s="23">
        <v>10</v>
      </c>
      <c r="P47" s="23">
        <v>10</v>
      </c>
      <c r="Q47" s="23">
        <v>10</v>
      </c>
      <c r="R47" s="23" t="s">
        <v>10</v>
      </c>
      <c r="S47" s="23">
        <v>10</v>
      </c>
      <c r="T47" s="23">
        <v>10</v>
      </c>
      <c r="U47" s="23">
        <v>10</v>
      </c>
      <c r="V47" s="23">
        <v>10</v>
      </c>
      <c r="W47" s="23">
        <v>10</v>
      </c>
      <c r="X47" s="23" t="s">
        <v>32</v>
      </c>
      <c r="Y47" s="23" t="s">
        <v>10</v>
      </c>
      <c r="Z47" s="23" t="s">
        <v>32</v>
      </c>
      <c r="AA47" s="23">
        <v>10</v>
      </c>
      <c r="AB47" s="23" t="s">
        <v>32</v>
      </c>
      <c r="AC47" s="23" t="s">
        <v>32</v>
      </c>
      <c r="AD47" s="23">
        <v>10</v>
      </c>
      <c r="AE47" s="23">
        <v>10</v>
      </c>
      <c r="AF47" s="23">
        <v>10</v>
      </c>
      <c r="AG47" s="23"/>
      <c r="AH47" s="23"/>
      <c r="AI47" s="22">
        <f t="shared" si="2"/>
        <v>180</v>
      </c>
      <c r="AJ47" s="2"/>
      <c r="AK47" s="14">
        <f t="shared" si="1"/>
        <v>0</v>
      </c>
      <c r="AL47" s="2" t="s">
        <v>299</v>
      </c>
    </row>
    <row r="48" spans="1:38" ht="19.899999999999999" customHeight="1" x14ac:dyDescent="0.25">
      <c r="A48" s="2">
        <v>46</v>
      </c>
      <c r="B48" s="7" t="s">
        <v>329</v>
      </c>
      <c r="C48" s="4" t="s">
        <v>327</v>
      </c>
      <c r="D48" s="2" t="s">
        <v>165</v>
      </c>
      <c r="E48" s="23"/>
      <c r="F48" s="23"/>
      <c r="G48" s="23"/>
      <c r="H48" s="23"/>
      <c r="I48" s="23"/>
      <c r="J48" s="23"/>
      <c r="K48" s="23" t="s">
        <v>10</v>
      </c>
      <c r="L48" s="23">
        <v>10</v>
      </c>
      <c r="M48" s="23">
        <v>10</v>
      </c>
      <c r="N48" s="23">
        <v>10</v>
      </c>
      <c r="O48" s="23">
        <v>10</v>
      </c>
      <c r="P48" s="23">
        <v>10</v>
      </c>
      <c r="Q48" s="23">
        <v>10</v>
      </c>
      <c r="R48" s="23" t="s">
        <v>10</v>
      </c>
      <c r="S48" s="23">
        <v>10</v>
      </c>
      <c r="T48" s="23">
        <v>10</v>
      </c>
      <c r="U48" s="23">
        <v>10</v>
      </c>
      <c r="V48" s="23">
        <v>10</v>
      </c>
      <c r="W48" s="23">
        <v>10</v>
      </c>
      <c r="X48" s="23">
        <v>10</v>
      </c>
      <c r="Y48" s="23" t="s">
        <v>10</v>
      </c>
      <c r="Z48" s="23">
        <v>10</v>
      </c>
      <c r="AA48" s="23">
        <v>10</v>
      </c>
      <c r="AB48" s="23">
        <v>10</v>
      </c>
      <c r="AC48" s="23">
        <v>10</v>
      </c>
      <c r="AD48" s="23">
        <v>10</v>
      </c>
      <c r="AE48" s="23">
        <v>10</v>
      </c>
      <c r="AF48" s="23">
        <v>10</v>
      </c>
      <c r="AG48" s="23"/>
      <c r="AH48" s="23"/>
      <c r="AI48" s="22">
        <f t="shared" si="2"/>
        <v>190</v>
      </c>
      <c r="AJ48" s="2"/>
      <c r="AK48" s="14">
        <f t="shared" si="1"/>
        <v>0</v>
      </c>
      <c r="AL48" s="2" t="s">
        <v>299</v>
      </c>
    </row>
    <row r="49" spans="1:38" ht="19.899999999999999" customHeight="1" x14ac:dyDescent="0.25">
      <c r="A49" s="2">
        <v>47</v>
      </c>
      <c r="B49" s="2" t="s">
        <v>270</v>
      </c>
      <c r="C49" s="4" t="s">
        <v>271</v>
      </c>
      <c r="D49" s="2" t="s">
        <v>165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 t="s">
        <v>10</v>
      </c>
      <c r="AG49" s="23">
        <v>10</v>
      </c>
      <c r="AH49" s="23">
        <v>10</v>
      </c>
      <c r="AI49" s="22">
        <f t="shared" si="2"/>
        <v>20</v>
      </c>
      <c r="AJ49" s="2"/>
      <c r="AK49" s="14">
        <f t="shared" si="1"/>
        <v>0</v>
      </c>
      <c r="AL49" s="2" t="s">
        <v>299</v>
      </c>
    </row>
    <row r="50" spans="1:38" ht="19.899999999999999" customHeight="1" x14ac:dyDescent="0.25">
      <c r="A50" s="2">
        <v>48</v>
      </c>
      <c r="B50" s="7" t="s">
        <v>273</v>
      </c>
      <c r="C50" s="4" t="s">
        <v>274</v>
      </c>
      <c r="D50" s="2" t="s">
        <v>165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 t="s">
        <v>10</v>
      </c>
      <c r="AG50" s="23">
        <v>10</v>
      </c>
      <c r="AH50" s="23">
        <v>10</v>
      </c>
      <c r="AI50" s="22">
        <f t="shared" si="2"/>
        <v>20</v>
      </c>
      <c r="AJ50" s="2"/>
      <c r="AK50" s="14">
        <f t="shared" si="1"/>
        <v>0</v>
      </c>
      <c r="AL50" s="2" t="s">
        <v>299</v>
      </c>
    </row>
    <row r="51" spans="1:38" ht="19.899999999999999" customHeight="1" x14ac:dyDescent="0.25">
      <c r="A51" s="2">
        <v>49</v>
      </c>
      <c r="B51" s="2" t="s">
        <v>225</v>
      </c>
      <c r="C51" s="4" t="s">
        <v>414</v>
      </c>
      <c r="D51" s="2" t="s">
        <v>165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 t="s">
        <v>10</v>
      </c>
      <c r="AG51" s="23">
        <v>10</v>
      </c>
      <c r="AH51" s="23">
        <v>10</v>
      </c>
      <c r="AI51" s="22">
        <f t="shared" si="2"/>
        <v>20</v>
      </c>
      <c r="AJ51" s="2"/>
      <c r="AK51" s="14">
        <f t="shared" si="1"/>
        <v>0</v>
      </c>
      <c r="AL51" s="2" t="s">
        <v>299</v>
      </c>
    </row>
    <row r="52" spans="1:38" ht="19.899999999999999" customHeight="1" x14ac:dyDescent="0.25">
      <c r="A52" s="2">
        <v>50</v>
      </c>
      <c r="B52" s="2">
        <v>313</v>
      </c>
      <c r="C52" s="4" t="s">
        <v>294</v>
      </c>
      <c r="D52" s="2" t="s">
        <v>165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 t="s">
        <v>10</v>
      </c>
      <c r="AG52" s="23">
        <v>10</v>
      </c>
      <c r="AH52" s="23">
        <v>10</v>
      </c>
      <c r="AI52" s="22">
        <f t="shared" si="2"/>
        <v>20</v>
      </c>
      <c r="AJ52" s="2"/>
      <c r="AK52" s="14">
        <f t="shared" si="1"/>
        <v>0</v>
      </c>
      <c r="AL52" s="2" t="s">
        <v>299</v>
      </c>
    </row>
    <row r="53" spans="1:38" ht="19.899999999999999" customHeight="1" x14ac:dyDescent="0.25">
      <c r="A53" s="2">
        <v>51</v>
      </c>
      <c r="B53" s="2" t="s">
        <v>202</v>
      </c>
      <c r="C53" s="4" t="s">
        <v>415</v>
      </c>
      <c r="D53" s="2" t="s">
        <v>165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 t="s">
        <v>10</v>
      </c>
      <c r="AG53" s="23">
        <v>10</v>
      </c>
      <c r="AH53" s="23">
        <v>10</v>
      </c>
      <c r="AI53" s="22">
        <f t="shared" si="2"/>
        <v>20</v>
      </c>
      <c r="AJ53" s="2"/>
      <c r="AK53" s="14">
        <f t="shared" si="1"/>
        <v>0</v>
      </c>
      <c r="AL53" s="2" t="s">
        <v>299</v>
      </c>
    </row>
    <row r="54" spans="1:38" ht="19.899999999999999" customHeight="1" x14ac:dyDescent="0.25">
      <c r="A54" s="2">
        <v>52</v>
      </c>
      <c r="B54" s="3" t="s">
        <v>234</v>
      </c>
      <c r="C54" s="4" t="s">
        <v>416</v>
      </c>
      <c r="D54" s="2" t="s">
        <v>165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 t="s">
        <v>10</v>
      </c>
      <c r="AG54" s="23">
        <v>10</v>
      </c>
      <c r="AH54" s="23">
        <v>10</v>
      </c>
      <c r="AI54" s="22">
        <f t="shared" si="2"/>
        <v>20</v>
      </c>
      <c r="AJ54" s="2"/>
      <c r="AK54" s="14">
        <f t="shared" si="1"/>
        <v>0</v>
      </c>
      <c r="AL54" s="2" t="s">
        <v>299</v>
      </c>
    </row>
    <row r="55" spans="1:38" ht="19.899999999999999" customHeight="1" x14ac:dyDescent="0.25">
      <c r="A55" s="2">
        <v>53</v>
      </c>
      <c r="B55" s="2" t="s">
        <v>301</v>
      </c>
      <c r="C55" s="4" t="s">
        <v>370</v>
      </c>
      <c r="D55" s="2" t="s">
        <v>165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 t="s">
        <v>10</v>
      </c>
      <c r="AG55" s="23">
        <v>10</v>
      </c>
      <c r="AH55" s="23">
        <v>10</v>
      </c>
      <c r="AI55" s="22">
        <f t="shared" si="2"/>
        <v>20</v>
      </c>
      <c r="AJ55" s="2"/>
      <c r="AK55" s="14">
        <f t="shared" si="1"/>
        <v>0</v>
      </c>
      <c r="AL55" s="2" t="s">
        <v>299</v>
      </c>
    </row>
    <row r="56" spans="1:38" ht="19.899999999999999" customHeight="1" x14ac:dyDescent="0.25">
      <c r="A56" s="2">
        <v>54</v>
      </c>
      <c r="B56" s="2" t="s">
        <v>171</v>
      </c>
      <c r="C56" s="4" t="s">
        <v>172</v>
      </c>
      <c r="D56" s="2" t="s">
        <v>165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 t="s">
        <v>10</v>
      </c>
      <c r="AG56" s="23">
        <v>10</v>
      </c>
      <c r="AH56" s="23">
        <v>10</v>
      </c>
      <c r="AI56" s="22">
        <f t="shared" si="2"/>
        <v>20</v>
      </c>
      <c r="AJ56" s="2"/>
      <c r="AK56" s="14">
        <f t="shared" ref="AK56:AK62" si="3">AI56*AJ56</f>
        <v>0</v>
      </c>
      <c r="AL56" s="2" t="s">
        <v>299</v>
      </c>
    </row>
    <row r="57" spans="1:38" ht="19.899999999999999" customHeight="1" x14ac:dyDescent="0.25">
      <c r="A57" s="2">
        <v>55</v>
      </c>
      <c r="B57" s="7" t="s">
        <v>329</v>
      </c>
      <c r="C57" s="4" t="s">
        <v>327</v>
      </c>
      <c r="D57" s="2" t="s">
        <v>165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 t="s">
        <v>10</v>
      </c>
      <c r="AG57" s="23">
        <v>10</v>
      </c>
      <c r="AH57" s="23">
        <v>10</v>
      </c>
      <c r="AI57" s="22">
        <f t="shared" si="2"/>
        <v>20</v>
      </c>
      <c r="AJ57" s="2"/>
      <c r="AK57" s="14">
        <f t="shared" si="3"/>
        <v>0</v>
      </c>
      <c r="AL57" s="2" t="s">
        <v>299</v>
      </c>
    </row>
    <row r="58" spans="1:38" ht="19.899999999999999" customHeight="1" x14ac:dyDescent="0.25">
      <c r="A58" s="2">
        <v>56</v>
      </c>
      <c r="B58" s="2" t="s">
        <v>216</v>
      </c>
      <c r="C58" s="4" t="s">
        <v>492</v>
      </c>
      <c r="D58" s="2" t="s">
        <v>165</v>
      </c>
      <c r="E58" s="23">
        <v>10</v>
      </c>
      <c r="F58" s="23">
        <v>10</v>
      </c>
      <c r="G58" s="23">
        <v>10</v>
      </c>
      <c r="H58" s="23">
        <v>10</v>
      </c>
      <c r="I58" s="23">
        <v>10</v>
      </c>
      <c r="J58" s="23">
        <v>10</v>
      </c>
      <c r="K58" s="23">
        <v>6</v>
      </c>
      <c r="L58" s="23">
        <v>10</v>
      </c>
      <c r="M58" s="23">
        <v>10</v>
      </c>
      <c r="N58" s="23">
        <v>10</v>
      </c>
      <c r="O58" s="23">
        <v>10</v>
      </c>
      <c r="P58" s="23">
        <v>10</v>
      </c>
      <c r="Q58" s="23">
        <v>10</v>
      </c>
      <c r="R58" s="23" t="s">
        <v>10</v>
      </c>
      <c r="S58" s="23">
        <v>10</v>
      </c>
      <c r="T58" s="23">
        <v>10</v>
      </c>
      <c r="U58" s="23">
        <v>10</v>
      </c>
      <c r="V58" s="23">
        <v>10</v>
      </c>
      <c r="W58" s="23">
        <v>10</v>
      </c>
      <c r="X58" s="23">
        <v>10</v>
      </c>
      <c r="Y58" s="23" t="s">
        <v>10</v>
      </c>
      <c r="Z58" s="23">
        <v>10</v>
      </c>
      <c r="AA58" s="23">
        <v>10</v>
      </c>
      <c r="AB58" s="23">
        <v>10</v>
      </c>
      <c r="AC58" s="23">
        <v>10</v>
      </c>
      <c r="AD58" s="23">
        <v>10</v>
      </c>
      <c r="AE58" s="23">
        <v>10</v>
      </c>
      <c r="AF58" s="23" t="s">
        <v>10</v>
      </c>
      <c r="AG58" s="23">
        <v>10</v>
      </c>
      <c r="AH58" s="23">
        <v>10</v>
      </c>
      <c r="AI58" s="22">
        <f t="shared" si="2"/>
        <v>266</v>
      </c>
      <c r="AJ58" s="2"/>
      <c r="AK58" s="14">
        <f t="shared" si="3"/>
        <v>0</v>
      </c>
      <c r="AL58" s="2" t="s">
        <v>299</v>
      </c>
    </row>
    <row r="59" spans="1:38" ht="19.899999999999999" customHeight="1" x14ac:dyDescent="0.25">
      <c r="A59" s="2">
        <v>57</v>
      </c>
      <c r="B59" s="2" t="s">
        <v>211</v>
      </c>
      <c r="C59" s="4" t="s">
        <v>212</v>
      </c>
      <c r="D59" s="2" t="s">
        <v>165</v>
      </c>
      <c r="E59" s="23"/>
      <c r="F59" s="23"/>
      <c r="G59" s="23"/>
      <c r="H59" s="23"/>
      <c r="I59" s="23"/>
      <c r="J59" s="23">
        <v>10</v>
      </c>
      <c r="K59" s="23" t="s">
        <v>10</v>
      </c>
      <c r="L59" s="23">
        <v>10</v>
      </c>
      <c r="M59" s="23">
        <v>10</v>
      </c>
      <c r="N59" s="23">
        <v>10</v>
      </c>
      <c r="O59" s="23">
        <v>10</v>
      </c>
      <c r="P59" s="23">
        <v>10</v>
      </c>
      <c r="Q59" s="23">
        <v>10</v>
      </c>
      <c r="R59" s="23" t="s">
        <v>10</v>
      </c>
      <c r="S59" s="23">
        <v>10</v>
      </c>
      <c r="T59" s="23">
        <v>10</v>
      </c>
      <c r="U59" s="23">
        <v>10</v>
      </c>
      <c r="V59" s="23">
        <v>10</v>
      </c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2">
        <f t="shared" si="2"/>
        <v>110</v>
      </c>
      <c r="AJ59" s="2"/>
      <c r="AK59" s="14">
        <f t="shared" si="3"/>
        <v>0</v>
      </c>
      <c r="AL59" s="2" t="s">
        <v>299</v>
      </c>
    </row>
    <row r="60" spans="1:38" ht="19.899999999999999" customHeight="1" x14ac:dyDescent="0.25">
      <c r="A60" s="2">
        <v>58</v>
      </c>
      <c r="B60" s="2" t="s">
        <v>219</v>
      </c>
      <c r="C60" s="4" t="s">
        <v>220</v>
      </c>
      <c r="D60" s="2" t="s">
        <v>165</v>
      </c>
      <c r="E60" s="23">
        <v>10</v>
      </c>
      <c r="F60" s="23">
        <v>10</v>
      </c>
      <c r="G60" s="23">
        <v>10</v>
      </c>
      <c r="H60" s="23">
        <v>10</v>
      </c>
      <c r="I60" s="23">
        <v>10</v>
      </c>
      <c r="J60" s="23">
        <v>10</v>
      </c>
      <c r="K60" s="23">
        <v>6</v>
      </c>
      <c r="L60" s="23">
        <v>10</v>
      </c>
      <c r="M60" s="23">
        <v>10</v>
      </c>
      <c r="N60" s="23">
        <v>10</v>
      </c>
      <c r="O60" s="23">
        <v>10</v>
      </c>
      <c r="P60" s="23">
        <v>10</v>
      </c>
      <c r="Q60" s="23">
        <v>10</v>
      </c>
      <c r="R60" s="23" t="s">
        <v>10</v>
      </c>
      <c r="S60" s="23">
        <v>10</v>
      </c>
      <c r="T60" s="23">
        <v>10</v>
      </c>
      <c r="U60" s="23">
        <v>10</v>
      </c>
      <c r="V60" s="23">
        <v>10</v>
      </c>
      <c r="W60" s="23">
        <v>10</v>
      </c>
      <c r="X60" s="23">
        <v>10</v>
      </c>
      <c r="Y60" s="23" t="s">
        <v>10</v>
      </c>
      <c r="Z60" s="23">
        <v>10</v>
      </c>
      <c r="AA60" s="23">
        <v>10</v>
      </c>
      <c r="AB60" s="23">
        <v>10</v>
      </c>
      <c r="AC60" s="23">
        <v>10</v>
      </c>
      <c r="AD60" s="23">
        <v>10</v>
      </c>
      <c r="AE60" s="23">
        <v>10</v>
      </c>
      <c r="AF60" s="23" t="s">
        <v>10</v>
      </c>
      <c r="AG60" s="23">
        <v>10</v>
      </c>
      <c r="AH60" s="23">
        <v>10</v>
      </c>
      <c r="AI60" s="22">
        <f t="shared" si="2"/>
        <v>266</v>
      </c>
      <c r="AJ60" s="2"/>
      <c r="AK60" s="14">
        <f t="shared" si="3"/>
        <v>0</v>
      </c>
      <c r="AL60" s="2" t="s">
        <v>299</v>
      </c>
    </row>
    <row r="61" spans="1:38" ht="19.899999999999999" customHeight="1" x14ac:dyDescent="0.25">
      <c r="A61" s="2">
        <v>59</v>
      </c>
      <c r="B61" s="3" t="s">
        <v>307</v>
      </c>
      <c r="C61" s="4" t="s">
        <v>232</v>
      </c>
      <c r="D61" s="2" t="s">
        <v>165</v>
      </c>
      <c r="E61" s="23" t="s">
        <v>32</v>
      </c>
      <c r="F61" s="23">
        <v>10</v>
      </c>
      <c r="G61" s="23">
        <v>10</v>
      </c>
      <c r="H61" s="23">
        <v>10</v>
      </c>
      <c r="I61" s="23">
        <v>10</v>
      </c>
      <c r="J61" s="23">
        <v>10</v>
      </c>
      <c r="K61" s="23">
        <v>6</v>
      </c>
      <c r="L61" s="23">
        <v>10</v>
      </c>
      <c r="M61" s="23">
        <v>10</v>
      </c>
      <c r="N61" s="23">
        <v>10</v>
      </c>
      <c r="O61" s="23">
        <v>10</v>
      </c>
      <c r="P61" s="23">
        <v>10</v>
      </c>
      <c r="Q61" s="23">
        <v>10</v>
      </c>
      <c r="R61" s="23" t="s">
        <v>10</v>
      </c>
      <c r="S61" s="23">
        <v>10</v>
      </c>
      <c r="T61" s="23">
        <v>10</v>
      </c>
      <c r="U61" s="23">
        <v>10</v>
      </c>
      <c r="V61" s="23">
        <v>10</v>
      </c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2">
        <f t="shared" si="2"/>
        <v>156</v>
      </c>
      <c r="AJ61" s="2"/>
      <c r="AK61" s="14">
        <f t="shared" si="3"/>
        <v>0</v>
      </c>
      <c r="AL61" s="2" t="s">
        <v>299</v>
      </c>
    </row>
    <row r="62" spans="1:38" ht="19.899999999999999" customHeight="1" x14ac:dyDescent="0.25">
      <c r="A62" s="2">
        <v>60</v>
      </c>
      <c r="B62" s="2" t="s">
        <v>233</v>
      </c>
      <c r="C62" s="4" t="s">
        <v>493</v>
      </c>
      <c r="D62" s="2" t="s">
        <v>165</v>
      </c>
      <c r="E62" s="23">
        <v>10</v>
      </c>
      <c r="F62" s="23">
        <v>10</v>
      </c>
      <c r="G62" s="23">
        <v>10</v>
      </c>
      <c r="H62" s="23">
        <v>10</v>
      </c>
      <c r="I62" s="23">
        <v>10</v>
      </c>
      <c r="J62" s="23">
        <v>10</v>
      </c>
      <c r="K62" s="23">
        <v>6</v>
      </c>
      <c r="L62" s="23">
        <v>10</v>
      </c>
      <c r="M62" s="23">
        <v>10</v>
      </c>
      <c r="N62" s="23">
        <v>10</v>
      </c>
      <c r="O62" s="23">
        <v>10</v>
      </c>
      <c r="P62" s="23">
        <v>10</v>
      </c>
      <c r="Q62" s="23">
        <v>10</v>
      </c>
      <c r="R62" s="23" t="s">
        <v>10</v>
      </c>
      <c r="S62" s="23">
        <v>10</v>
      </c>
      <c r="T62" s="23">
        <v>10</v>
      </c>
      <c r="U62" s="23">
        <v>10</v>
      </c>
      <c r="V62" s="23">
        <v>10</v>
      </c>
      <c r="W62" s="23">
        <v>10</v>
      </c>
      <c r="X62" s="23">
        <v>10</v>
      </c>
      <c r="Y62" s="23" t="s">
        <v>10</v>
      </c>
      <c r="Z62" s="23">
        <v>10</v>
      </c>
      <c r="AA62" s="23">
        <v>10</v>
      </c>
      <c r="AB62" s="23">
        <v>10</v>
      </c>
      <c r="AC62" s="23">
        <v>10</v>
      </c>
      <c r="AD62" s="23">
        <v>10</v>
      </c>
      <c r="AE62" s="23">
        <v>10</v>
      </c>
      <c r="AF62" s="23" t="s">
        <v>10</v>
      </c>
      <c r="AG62" s="23">
        <v>10</v>
      </c>
      <c r="AH62" s="23">
        <v>10</v>
      </c>
      <c r="AI62" s="22">
        <f t="shared" si="2"/>
        <v>266</v>
      </c>
      <c r="AJ62" s="2"/>
      <c r="AK62" s="14">
        <f t="shared" si="3"/>
        <v>0</v>
      </c>
      <c r="AL62" s="2" t="s">
        <v>299</v>
      </c>
    </row>
    <row r="63" spans="1:38" ht="19.899999999999999" customHeight="1" x14ac:dyDescent="0.25">
      <c r="A63" s="2">
        <v>61</v>
      </c>
      <c r="B63" s="2">
        <v>307</v>
      </c>
      <c r="C63" s="4" t="s">
        <v>494</v>
      </c>
      <c r="D63" s="2" t="s">
        <v>165</v>
      </c>
      <c r="E63" s="23">
        <v>10</v>
      </c>
      <c r="F63" s="23">
        <v>10</v>
      </c>
      <c r="G63" s="23">
        <v>10</v>
      </c>
      <c r="H63" s="23">
        <v>10</v>
      </c>
      <c r="I63" s="23">
        <v>10</v>
      </c>
      <c r="J63" s="23">
        <v>10</v>
      </c>
      <c r="K63" s="23">
        <v>6</v>
      </c>
      <c r="L63" s="23">
        <v>10</v>
      </c>
      <c r="M63" s="23">
        <v>10</v>
      </c>
      <c r="N63" s="23">
        <v>10</v>
      </c>
      <c r="O63" s="23">
        <v>3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2">
        <f t="shared" si="2"/>
        <v>99</v>
      </c>
      <c r="AJ63" s="2"/>
      <c r="AK63" s="14">
        <f t="shared" si="1"/>
        <v>0</v>
      </c>
      <c r="AL63" s="2" t="s">
        <v>299</v>
      </c>
    </row>
    <row r="64" spans="1:38" ht="19.899999999999999" customHeight="1" x14ac:dyDescent="0.25">
      <c r="A64" s="2">
        <v>62</v>
      </c>
      <c r="B64" s="7" t="s">
        <v>325</v>
      </c>
      <c r="C64" s="4" t="s">
        <v>328</v>
      </c>
      <c r="D64" s="2" t="s">
        <v>165</v>
      </c>
      <c r="E64" s="23">
        <v>10</v>
      </c>
      <c r="F64" s="23">
        <v>10</v>
      </c>
      <c r="G64" s="23">
        <v>10</v>
      </c>
      <c r="H64" s="23">
        <v>10</v>
      </c>
      <c r="I64" s="23">
        <v>10</v>
      </c>
      <c r="J64" s="23">
        <v>10</v>
      </c>
      <c r="K64" s="23">
        <v>6</v>
      </c>
      <c r="L64" s="23">
        <v>10</v>
      </c>
      <c r="M64" s="23">
        <v>10</v>
      </c>
      <c r="N64" s="23">
        <v>10</v>
      </c>
      <c r="O64" s="23">
        <v>10</v>
      </c>
      <c r="P64" s="23">
        <v>10</v>
      </c>
      <c r="Q64" s="23">
        <v>10</v>
      </c>
      <c r="R64" s="23" t="s">
        <v>10</v>
      </c>
      <c r="S64" s="23">
        <v>10</v>
      </c>
      <c r="T64" s="23">
        <v>10</v>
      </c>
      <c r="U64" s="23">
        <v>10</v>
      </c>
      <c r="V64" s="23">
        <v>10</v>
      </c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2">
        <f t="shared" si="2"/>
        <v>166</v>
      </c>
      <c r="AJ64" s="2"/>
      <c r="AK64" s="14">
        <f t="shared" si="1"/>
        <v>0</v>
      </c>
      <c r="AL64" s="2" t="s">
        <v>299</v>
      </c>
    </row>
    <row r="65" spans="1:38" ht="19.899999999999999" customHeight="1" x14ac:dyDescent="0.25">
      <c r="A65" s="2">
        <v>63</v>
      </c>
      <c r="B65" s="2" t="s">
        <v>223</v>
      </c>
      <c r="C65" s="4" t="s">
        <v>224</v>
      </c>
      <c r="D65" s="2" t="s">
        <v>165</v>
      </c>
      <c r="E65" s="23">
        <v>10</v>
      </c>
      <c r="F65" s="23">
        <v>10</v>
      </c>
      <c r="G65" s="23">
        <v>10</v>
      </c>
      <c r="H65" s="23">
        <v>10</v>
      </c>
      <c r="I65" s="23">
        <v>10</v>
      </c>
      <c r="J65" s="23">
        <v>10</v>
      </c>
      <c r="K65" s="23">
        <v>6</v>
      </c>
      <c r="L65" s="23">
        <v>10</v>
      </c>
      <c r="M65" s="23">
        <v>10</v>
      </c>
      <c r="N65" s="23">
        <v>10</v>
      </c>
      <c r="O65" s="23">
        <v>10</v>
      </c>
      <c r="P65" s="23">
        <v>10</v>
      </c>
      <c r="Q65" s="23">
        <v>10</v>
      </c>
      <c r="R65" s="23" t="s">
        <v>10</v>
      </c>
      <c r="S65" s="23">
        <v>10</v>
      </c>
      <c r="T65" s="23">
        <v>10</v>
      </c>
      <c r="U65" s="23">
        <v>10</v>
      </c>
      <c r="V65" s="23">
        <v>10</v>
      </c>
      <c r="W65" s="23">
        <v>10</v>
      </c>
      <c r="X65" s="23">
        <v>10</v>
      </c>
      <c r="Y65" s="23" t="s">
        <v>10</v>
      </c>
      <c r="Z65" s="23">
        <v>10</v>
      </c>
      <c r="AA65" s="23">
        <v>10</v>
      </c>
      <c r="AB65" s="23">
        <v>10</v>
      </c>
      <c r="AC65" s="23">
        <v>10</v>
      </c>
      <c r="AD65" s="23">
        <v>10</v>
      </c>
      <c r="AE65" s="23">
        <v>10</v>
      </c>
      <c r="AF65" s="23" t="s">
        <v>10</v>
      </c>
      <c r="AG65" s="23">
        <v>10</v>
      </c>
      <c r="AH65" s="23">
        <v>10</v>
      </c>
      <c r="AI65" s="22">
        <f t="shared" si="2"/>
        <v>266</v>
      </c>
      <c r="AJ65" s="2"/>
      <c r="AK65" s="14">
        <f t="shared" si="1"/>
        <v>0</v>
      </c>
      <c r="AL65" s="2" t="s">
        <v>299</v>
      </c>
    </row>
    <row r="66" spans="1:38" ht="19.899999999999999" customHeight="1" x14ac:dyDescent="0.25">
      <c r="A66" s="2">
        <v>64</v>
      </c>
      <c r="B66" s="2" t="s">
        <v>221</v>
      </c>
      <c r="C66" s="4" t="s">
        <v>222</v>
      </c>
      <c r="D66" s="2" t="s">
        <v>165</v>
      </c>
      <c r="E66" s="23" t="s">
        <v>32</v>
      </c>
      <c r="F66" s="23">
        <v>10</v>
      </c>
      <c r="G66" s="23">
        <v>10</v>
      </c>
      <c r="H66" s="23">
        <v>10</v>
      </c>
      <c r="I66" s="23">
        <v>10</v>
      </c>
      <c r="J66" s="23">
        <v>10</v>
      </c>
      <c r="K66" s="23">
        <v>6</v>
      </c>
      <c r="L66" s="23">
        <v>10</v>
      </c>
      <c r="M66" s="23">
        <v>10</v>
      </c>
      <c r="N66" s="23">
        <v>10</v>
      </c>
      <c r="O66" s="23">
        <v>10</v>
      </c>
      <c r="P66" s="23">
        <v>10</v>
      </c>
      <c r="Q66" s="23">
        <v>10</v>
      </c>
      <c r="R66" s="23" t="s">
        <v>10</v>
      </c>
      <c r="S66" s="23">
        <v>10</v>
      </c>
      <c r="T66" s="23">
        <v>10</v>
      </c>
      <c r="U66" s="23">
        <v>10</v>
      </c>
      <c r="V66" s="23">
        <v>10</v>
      </c>
      <c r="W66" s="23">
        <v>10</v>
      </c>
      <c r="X66" s="23">
        <v>10</v>
      </c>
      <c r="Y66" s="23" t="s">
        <v>10</v>
      </c>
      <c r="Z66" s="23">
        <v>10</v>
      </c>
      <c r="AA66" s="23">
        <v>10</v>
      </c>
      <c r="AB66" s="23">
        <v>10</v>
      </c>
      <c r="AC66" s="23">
        <v>10</v>
      </c>
      <c r="AD66" s="23">
        <v>10</v>
      </c>
      <c r="AE66" s="23">
        <v>10</v>
      </c>
      <c r="AF66" s="23" t="s">
        <v>10</v>
      </c>
      <c r="AG66" s="23">
        <v>10</v>
      </c>
      <c r="AH66" s="23">
        <v>10</v>
      </c>
      <c r="AI66" s="22">
        <f t="shared" si="2"/>
        <v>256</v>
      </c>
      <c r="AJ66" s="2"/>
      <c r="AK66" s="14">
        <f t="shared" si="1"/>
        <v>0</v>
      </c>
      <c r="AL66" s="2" t="s">
        <v>299</v>
      </c>
    </row>
    <row r="67" spans="1:38" ht="19.899999999999999" customHeight="1" x14ac:dyDescent="0.25">
      <c r="A67" s="2">
        <v>65</v>
      </c>
      <c r="B67" s="2" t="s">
        <v>192</v>
      </c>
      <c r="C67" s="4" t="s">
        <v>495</v>
      </c>
      <c r="D67" s="2" t="s">
        <v>165</v>
      </c>
      <c r="E67" s="23">
        <v>10</v>
      </c>
      <c r="F67" s="23">
        <v>10</v>
      </c>
      <c r="G67" s="23">
        <v>10</v>
      </c>
      <c r="H67" s="23">
        <v>10</v>
      </c>
      <c r="I67" s="23">
        <v>10</v>
      </c>
      <c r="J67" s="23">
        <v>10</v>
      </c>
      <c r="K67" s="23">
        <v>6</v>
      </c>
      <c r="L67" s="23">
        <v>10</v>
      </c>
      <c r="M67" s="23">
        <v>10</v>
      </c>
      <c r="N67" s="23">
        <v>10</v>
      </c>
      <c r="O67" s="23">
        <v>10</v>
      </c>
      <c r="P67" s="23">
        <v>10</v>
      </c>
      <c r="Q67" s="23">
        <v>10</v>
      </c>
      <c r="R67" s="23" t="s">
        <v>10</v>
      </c>
      <c r="S67" s="23">
        <v>10</v>
      </c>
      <c r="T67" s="23">
        <v>10</v>
      </c>
      <c r="U67" s="23">
        <v>10</v>
      </c>
      <c r="V67" s="23">
        <v>10</v>
      </c>
      <c r="W67" s="23">
        <v>10</v>
      </c>
      <c r="X67" s="23">
        <v>10</v>
      </c>
      <c r="Y67" s="23" t="s">
        <v>10</v>
      </c>
      <c r="Z67" s="23">
        <v>10</v>
      </c>
      <c r="AA67" s="23">
        <v>10</v>
      </c>
      <c r="AB67" s="23">
        <v>10</v>
      </c>
      <c r="AC67" s="23">
        <v>10</v>
      </c>
      <c r="AD67" s="23">
        <v>10</v>
      </c>
      <c r="AE67" s="23">
        <v>10</v>
      </c>
      <c r="AF67" s="23" t="s">
        <v>10</v>
      </c>
      <c r="AG67" s="23">
        <v>10</v>
      </c>
      <c r="AH67" s="23">
        <v>10</v>
      </c>
      <c r="AI67" s="22">
        <f t="shared" ref="AI67:AI98" si="4">SUM(E67:AH67)</f>
        <v>266</v>
      </c>
      <c r="AJ67" s="2"/>
      <c r="AK67" s="14">
        <f t="shared" si="1"/>
        <v>0</v>
      </c>
      <c r="AL67" s="2" t="s">
        <v>299</v>
      </c>
    </row>
    <row r="68" spans="1:38" ht="19.899999999999999" customHeight="1" x14ac:dyDescent="0.25">
      <c r="A68" s="2">
        <v>66</v>
      </c>
      <c r="B68" s="3" t="s">
        <v>203</v>
      </c>
      <c r="C68" s="4" t="s">
        <v>204</v>
      </c>
      <c r="D68" s="2" t="s">
        <v>165</v>
      </c>
      <c r="E68" s="23">
        <v>10</v>
      </c>
      <c r="F68" s="23">
        <v>10</v>
      </c>
      <c r="G68" s="23">
        <v>10</v>
      </c>
      <c r="H68" s="23">
        <v>10</v>
      </c>
      <c r="I68" s="23">
        <v>10</v>
      </c>
      <c r="J68" s="23">
        <v>10</v>
      </c>
      <c r="K68" s="23">
        <v>6</v>
      </c>
      <c r="L68" s="23">
        <v>10</v>
      </c>
      <c r="M68" s="23">
        <v>10</v>
      </c>
      <c r="N68" s="23">
        <v>10</v>
      </c>
      <c r="O68" s="23">
        <v>10</v>
      </c>
      <c r="P68" s="23">
        <v>10</v>
      </c>
      <c r="Q68" s="23">
        <v>10</v>
      </c>
      <c r="R68" s="23" t="s">
        <v>10</v>
      </c>
      <c r="S68" s="23">
        <v>10</v>
      </c>
      <c r="T68" s="23">
        <v>10</v>
      </c>
      <c r="U68" s="23">
        <v>10</v>
      </c>
      <c r="V68" s="23">
        <v>10</v>
      </c>
      <c r="W68" s="23">
        <v>10</v>
      </c>
      <c r="X68" s="23">
        <v>10</v>
      </c>
      <c r="Y68" s="23" t="s">
        <v>10</v>
      </c>
      <c r="Z68" s="23">
        <v>10</v>
      </c>
      <c r="AA68" s="23">
        <v>10</v>
      </c>
      <c r="AB68" s="23">
        <v>10</v>
      </c>
      <c r="AC68" s="23">
        <v>10</v>
      </c>
      <c r="AD68" s="23">
        <v>10</v>
      </c>
      <c r="AE68" s="23">
        <v>10</v>
      </c>
      <c r="AF68" s="23" t="s">
        <v>10</v>
      </c>
      <c r="AG68" s="23">
        <v>10</v>
      </c>
      <c r="AH68" s="23">
        <v>10</v>
      </c>
      <c r="AI68" s="22">
        <f t="shared" si="4"/>
        <v>266</v>
      </c>
      <c r="AJ68" s="2"/>
      <c r="AK68" s="14">
        <f t="shared" si="1"/>
        <v>0</v>
      </c>
      <c r="AL68" s="2" t="s">
        <v>299</v>
      </c>
    </row>
    <row r="69" spans="1:38" ht="19.899999999999999" customHeight="1" x14ac:dyDescent="0.25">
      <c r="A69" s="2">
        <v>67</v>
      </c>
      <c r="B69" s="2" t="s">
        <v>300</v>
      </c>
      <c r="C69" s="4" t="s">
        <v>303</v>
      </c>
      <c r="D69" s="2" t="s">
        <v>165</v>
      </c>
      <c r="E69" s="23"/>
      <c r="F69" s="23"/>
      <c r="G69" s="23">
        <v>10</v>
      </c>
      <c r="H69" s="23">
        <v>10</v>
      </c>
      <c r="I69" s="23">
        <v>10</v>
      </c>
      <c r="J69" s="23">
        <v>10</v>
      </c>
      <c r="K69" s="23">
        <v>6</v>
      </c>
      <c r="L69" s="23">
        <v>10</v>
      </c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2">
        <f t="shared" si="4"/>
        <v>56</v>
      </c>
      <c r="AJ69" s="2"/>
      <c r="AK69" s="14">
        <f t="shared" si="1"/>
        <v>0</v>
      </c>
      <c r="AL69" s="2" t="s">
        <v>299</v>
      </c>
    </row>
    <row r="70" spans="1:38" ht="19.899999999999999" customHeight="1" x14ac:dyDescent="0.25">
      <c r="A70" s="2">
        <v>68</v>
      </c>
      <c r="B70" s="2" t="s">
        <v>404</v>
      </c>
      <c r="C70" s="4" t="s">
        <v>405</v>
      </c>
      <c r="D70" s="2" t="s">
        <v>165</v>
      </c>
      <c r="E70" s="23">
        <v>10</v>
      </c>
      <c r="F70" s="23">
        <v>10</v>
      </c>
      <c r="G70" s="23">
        <v>10</v>
      </c>
      <c r="H70" s="23">
        <v>10</v>
      </c>
      <c r="I70" s="23" t="s">
        <v>515</v>
      </c>
      <c r="J70" s="23">
        <v>10</v>
      </c>
      <c r="K70" s="23" t="s">
        <v>10</v>
      </c>
      <c r="L70" s="23">
        <v>10</v>
      </c>
      <c r="M70" s="23">
        <v>10</v>
      </c>
      <c r="N70" s="23"/>
      <c r="O70" s="23"/>
      <c r="P70" s="23">
        <v>10</v>
      </c>
      <c r="Q70" s="23">
        <v>10</v>
      </c>
      <c r="R70" s="23" t="s">
        <v>10</v>
      </c>
      <c r="S70" s="23">
        <v>10</v>
      </c>
      <c r="T70" s="23">
        <v>10</v>
      </c>
      <c r="U70" s="23">
        <v>10</v>
      </c>
      <c r="V70" s="23">
        <v>10</v>
      </c>
      <c r="W70" s="23">
        <v>10</v>
      </c>
      <c r="X70" s="23">
        <v>10</v>
      </c>
      <c r="Y70" s="23" t="s">
        <v>10</v>
      </c>
      <c r="Z70" s="23">
        <v>10</v>
      </c>
      <c r="AA70" s="23">
        <v>10</v>
      </c>
      <c r="AB70" s="23">
        <v>10</v>
      </c>
      <c r="AC70" s="23">
        <v>10</v>
      </c>
      <c r="AD70" s="23">
        <v>10</v>
      </c>
      <c r="AE70" s="23">
        <v>10</v>
      </c>
      <c r="AF70" s="23" t="s">
        <v>10</v>
      </c>
      <c r="AG70" s="23">
        <v>10</v>
      </c>
      <c r="AH70" s="23">
        <v>10</v>
      </c>
      <c r="AI70" s="22">
        <f t="shared" si="4"/>
        <v>230</v>
      </c>
      <c r="AJ70" s="2"/>
      <c r="AK70" s="14">
        <f t="shared" si="1"/>
        <v>0</v>
      </c>
      <c r="AL70" s="2" t="s">
        <v>241</v>
      </c>
    </row>
    <row r="71" spans="1:38" ht="19.899999999999999" customHeight="1" x14ac:dyDescent="0.25">
      <c r="A71" s="2">
        <v>69</v>
      </c>
      <c r="B71" s="7" t="s">
        <v>406</v>
      </c>
      <c r="C71" s="4" t="s">
        <v>407</v>
      </c>
      <c r="D71" s="2" t="s">
        <v>165</v>
      </c>
      <c r="E71" s="23">
        <v>10</v>
      </c>
      <c r="F71" s="23">
        <v>10</v>
      </c>
      <c r="G71" s="23">
        <v>10</v>
      </c>
      <c r="H71" s="23">
        <v>10</v>
      </c>
      <c r="I71" s="23" t="s">
        <v>515</v>
      </c>
      <c r="J71" s="23">
        <v>10</v>
      </c>
      <c r="K71" s="23" t="s">
        <v>10</v>
      </c>
      <c r="L71" s="23">
        <v>10</v>
      </c>
      <c r="M71" s="23">
        <v>10</v>
      </c>
      <c r="N71" s="23">
        <v>10</v>
      </c>
      <c r="O71" s="23">
        <v>10</v>
      </c>
      <c r="P71" s="23">
        <v>10</v>
      </c>
      <c r="Q71" s="23">
        <v>10</v>
      </c>
      <c r="R71" s="23" t="s">
        <v>10</v>
      </c>
      <c r="S71" s="23">
        <v>10</v>
      </c>
      <c r="T71" s="23">
        <v>10</v>
      </c>
      <c r="U71" s="23">
        <v>10</v>
      </c>
      <c r="V71" s="23">
        <v>10</v>
      </c>
      <c r="W71" s="23">
        <v>10</v>
      </c>
      <c r="X71" s="23">
        <v>10</v>
      </c>
      <c r="Y71" s="23" t="s">
        <v>10</v>
      </c>
      <c r="Z71" s="23">
        <v>10</v>
      </c>
      <c r="AA71" s="23">
        <v>10</v>
      </c>
      <c r="AB71" s="23">
        <v>10</v>
      </c>
      <c r="AC71" s="23"/>
      <c r="AD71" s="23">
        <v>10</v>
      </c>
      <c r="AE71" s="23">
        <v>10</v>
      </c>
      <c r="AF71" s="23" t="s">
        <v>10</v>
      </c>
      <c r="AG71" s="23">
        <v>10</v>
      </c>
      <c r="AH71" s="23">
        <v>10</v>
      </c>
      <c r="AI71" s="22">
        <f t="shared" si="4"/>
        <v>240</v>
      </c>
      <c r="AJ71" s="2"/>
      <c r="AK71" s="14">
        <f t="shared" si="1"/>
        <v>0</v>
      </c>
      <c r="AL71" s="2" t="s">
        <v>241</v>
      </c>
    </row>
    <row r="72" spans="1:38" ht="19.899999999999999" customHeight="1" x14ac:dyDescent="0.25">
      <c r="A72" s="2">
        <v>70</v>
      </c>
      <c r="B72" s="2" t="s">
        <v>182</v>
      </c>
      <c r="C72" s="4" t="s">
        <v>183</v>
      </c>
      <c r="D72" s="2" t="s">
        <v>165</v>
      </c>
      <c r="E72" s="23">
        <v>10</v>
      </c>
      <c r="F72" s="23">
        <v>10</v>
      </c>
      <c r="G72" s="23">
        <v>10</v>
      </c>
      <c r="H72" s="23">
        <v>10</v>
      </c>
      <c r="I72" s="23" t="s">
        <v>515</v>
      </c>
      <c r="J72" s="23">
        <v>10</v>
      </c>
      <c r="K72" s="23" t="s">
        <v>10</v>
      </c>
      <c r="L72" s="23">
        <v>10</v>
      </c>
      <c r="M72" s="23">
        <v>10</v>
      </c>
      <c r="N72" s="23">
        <v>10</v>
      </c>
      <c r="O72" s="23">
        <v>10</v>
      </c>
      <c r="P72" s="23">
        <v>10</v>
      </c>
      <c r="Q72" s="23">
        <v>10</v>
      </c>
      <c r="R72" s="23" t="s">
        <v>10</v>
      </c>
      <c r="S72" s="23">
        <v>10</v>
      </c>
      <c r="T72" s="23">
        <v>10</v>
      </c>
      <c r="U72" s="23">
        <v>10</v>
      </c>
      <c r="V72" s="23">
        <v>10</v>
      </c>
      <c r="W72" s="23">
        <v>10</v>
      </c>
      <c r="X72" s="23">
        <v>10</v>
      </c>
      <c r="Y72" s="23" t="s">
        <v>10</v>
      </c>
      <c r="Z72" s="23">
        <v>10</v>
      </c>
      <c r="AA72" s="23">
        <v>10</v>
      </c>
      <c r="AB72" s="23">
        <v>10</v>
      </c>
      <c r="AC72" s="23">
        <v>10</v>
      </c>
      <c r="AD72" s="23">
        <v>10</v>
      </c>
      <c r="AE72" s="23">
        <v>10</v>
      </c>
      <c r="AF72" s="23" t="s">
        <v>10</v>
      </c>
      <c r="AG72" s="23">
        <v>10</v>
      </c>
      <c r="AH72" s="23">
        <v>10</v>
      </c>
      <c r="AI72" s="22">
        <f t="shared" si="4"/>
        <v>250</v>
      </c>
      <c r="AJ72" s="2"/>
      <c r="AK72" s="14">
        <f t="shared" si="1"/>
        <v>0</v>
      </c>
      <c r="AL72" s="2" t="s">
        <v>241</v>
      </c>
    </row>
    <row r="73" spans="1:38" ht="19.899999999999999" customHeight="1" x14ac:dyDescent="0.25">
      <c r="A73" s="2">
        <v>71</v>
      </c>
      <c r="B73" s="7" t="s">
        <v>184</v>
      </c>
      <c r="C73" s="4" t="s">
        <v>185</v>
      </c>
      <c r="D73" s="2" t="s">
        <v>165</v>
      </c>
      <c r="E73" s="23"/>
      <c r="F73" s="23">
        <v>10</v>
      </c>
      <c r="G73" s="23">
        <v>10</v>
      </c>
      <c r="H73" s="23">
        <v>10</v>
      </c>
      <c r="I73" s="23" t="s">
        <v>515</v>
      </c>
      <c r="J73" s="23">
        <v>10</v>
      </c>
      <c r="K73" s="23" t="s">
        <v>10</v>
      </c>
      <c r="L73" s="23">
        <v>10</v>
      </c>
      <c r="M73" s="23">
        <v>10</v>
      </c>
      <c r="N73" s="23">
        <v>10</v>
      </c>
      <c r="O73" s="23">
        <v>10</v>
      </c>
      <c r="P73" s="23">
        <v>10</v>
      </c>
      <c r="Q73" s="23">
        <v>10</v>
      </c>
      <c r="R73" s="23" t="s">
        <v>10</v>
      </c>
      <c r="S73" s="23">
        <v>10</v>
      </c>
      <c r="T73" s="23">
        <v>10</v>
      </c>
      <c r="U73" s="23">
        <v>10</v>
      </c>
      <c r="V73" s="23">
        <v>10</v>
      </c>
      <c r="W73" s="23">
        <v>10</v>
      </c>
      <c r="X73" s="23">
        <v>10</v>
      </c>
      <c r="Y73" s="23" t="s">
        <v>10</v>
      </c>
      <c r="Z73" s="23">
        <v>10</v>
      </c>
      <c r="AA73" s="23">
        <v>10</v>
      </c>
      <c r="AB73" s="23">
        <v>10</v>
      </c>
      <c r="AC73" s="23">
        <v>10</v>
      </c>
      <c r="AD73" s="23">
        <v>10</v>
      </c>
      <c r="AE73" s="23">
        <v>10</v>
      </c>
      <c r="AF73" s="23" t="s">
        <v>10</v>
      </c>
      <c r="AG73" s="23">
        <v>10</v>
      </c>
      <c r="AH73" s="23">
        <v>10</v>
      </c>
      <c r="AI73" s="22">
        <f t="shared" si="4"/>
        <v>240</v>
      </c>
      <c r="AJ73" s="2"/>
      <c r="AK73" s="14">
        <f t="shared" si="1"/>
        <v>0</v>
      </c>
      <c r="AL73" s="2" t="s">
        <v>241</v>
      </c>
    </row>
    <row r="74" spans="1:38" ht="19.899999999999999" customHeight="1" x14ac:dyDescent="0.25">
      <c r="A74" s="2">
        <v>72</v>
      </c>
      <c r="B74" s="3" t="s">
        <v>195</v>
      </c>
      <c r="C74" s="4" t="s">
        <v>196</v>
      </c>
      <c r="D74" s="2" t="s">
        <v>165</v>
      </c>
      <c r="E74" s="23">
        <v>10</v>
      </c>
      <c r="F74" s="23">
        <v>10</v>
      </c>
      <c r="G74" s="23">
        <v>10</v>
      </c>
      <c r="H74" s="23">
        <v>10</v>
      </c>
      <c r="I74" s="23" t="s">
        <v>515</v>
      </c>
      <c r="J74" s="23">
        <v>10</v>
      </c>
      <c r="K74" s="23" t="s">
        <v>10</v>
      </c>
      <c r="L74" s="23">
        <v>10</v>
      </c>
      <c r="M74" s="23">
        <v>10</v>
      </c>
      <c r="N74" s="23">
        <v>10</v>
      </c>
      <c r="O74" s="23">
        <v>10</v>
      </c>
      <c r="P74" s="23">
        <v>10</v>
      </c>
      <c r="Q74" s="23">
        <v>10</v>
      </c>
      <c r="R74" s="23" t="s">
        <v>10</v>
      </c>
      <c r="S74" s="23">
        <v>10</v>
      </c>
      <c r="T74" s="23">
        <v>10</v>
      </c>
      <c r="U74" s="23">
        <v>10</v>
      </c>
      <c r="V74" s="23">
        <v>10</v>
      </c>
      <c r="W74" s="23">
        <v>10</v>
      </c>
      <c r="X74" s="23">
        <v>10</v>
      </c>
      <c r="Y74" s="23" t="s">
        <v>10</v>
      </c>
      <c r="Z74" s="23">
        <v>10</v>
      </c>
      <c r="AA74" s="23">
        <v>10</v>
      </c>
      <c r="AB74" s="23">
        <v>10</v>
      </c>
      <c r="AC74" s="23">
        <v>10</v>
      </c>
      <c r="AD74" s="23">
        <v>10</v>
      </c>
      <c r="AE74" s="23">
        <v>10</v>
      </c>
      <c r="AF74" s="23" t="s">
        <v>10</v>
      </c>
      <c r="AG74" s="23">
        <v>10</v>
      </c>
      <c r="AH74" s="23">
        <v>10</v>
      </c>
      <c r="AI74" s="22">
        <f t="shared" si="4"/>
        <v>250</v>
      </c>
      <c r="AJ74" s="2"/>
      <c r="AK74" s="14">
        <f t="shared" si="1"/>
        <v>0</v>
      </c>
      <c r="AL74" s="2" t="s">
        <v>241</v>
      </c>
    </row>
    <row r="75" spans="1:38" ht="19.899999999999999" customHeight="1" x14ac:dyDescent="0.25">
      <c r="A75" s="2">
        <v>73</v>
      </c>
      <c r="B75" s="7">
        <v>372</v>
      </c>
      <c r="C75" s="4" t="s">
        <v>496</v>
      </c>
      <c r="D75" s="2" t="s">
        <v>165</v>
      </c>
      <c r="E75" s="23"/>
      <c r="F75" s="23">
        <v>10</v>
      </c>
      <c r="G75" s="23">
        <v>10</v>
      </c>
      <c r="H75" s="23">
        <v>10</v>
      </c>
      <c r="I75" s="23" t="s">
        <v>515</v>
      </c>
      <c r="J75" s="23">
        <v>10</v>
      </c>
      <c r="K75" s="23" t="s">
        <v>10</v>
      </c>
      <c r="L75" s="23">
        <v>10</v>
      </c>
      <c r="M75" s="23">
        <v>10</v>
      </c>
      <c r="N75" s="23">
        <v>10</v>
      </c>
      <c r="O75" s="23">
        <v>10</v>
      </c>
      <c r="P75" s="23">
        <v>10</v>
      </c>
      <c r="Q75" s="23">
        <v>10</v>
      </c>
      <c r="R75" s="23" t="s">
        <v>10</v>
      </c>
      <c r="S75" s="23">
        <v>10</v>
      </c>
      <c r="T75" s="23">
        <v>10</v>
      </c>
      <c r="U75" s="23">
        <v>10</v>
      </c>
      <c r="V75" s="23">
        <v>10</v>
      </c>
      <c r="W75" s="23">
        <v>10</v>
      </c>
      <c r="X75" s="23">
        <v>10</v>
      </c>
      <c r="Y75" s="23" t="s">
        <v>10</v>
      </c>
      <c r="Z75" s="23">
        <v>10</v>
      </c>
      <c r="AA75" s="23">
        <v>10</v>
      </c>
      <c r="AB75" s="23">
        <v>10</v>
      </c>
      <c r="AC75" s="23">
        <v>10</v>
      </c>
      <c r="AD75" s="23">
        <v>10</v>
      </c>
      <c r="AE75" s="23">
        <v>10</v>
      </c>
      <c r="AF75" s="23" t="s">
        <v>10</v>
      </c>
      <c r="AG75" s="23"/>
      <c r="AH75" s="23">
        <v>10</v>
      </c>
      <c r="AI75" s="22">
        <f t="shared" si="4"/>
        <v>230</v>
      </c>
      <c r="AJ75" s="2"/>
      <c r="AK75" s="14">
        <f t="shared" si="1"/>
        <v>0</v>
      </c>
      <c r="AL75" s="2" t="s">
        <v>241</v>
      </c>
    </row>
    <row r="76" spans="1:38" ht="19.899999999999999" customHeight="1" x14ac:dyDescent="0.25">
      <c r="A76" s="2">
        <v>74</v>
      </c>
      <c r="B76" s="7">
        <v>376</v>
      </c>
      <c r="C76" s="4" t="s">
        <v>497</v>
      </c>
      <c r="D76" s="2" t="s">
        <v>165</v>
      </c>
      <c r="E76" s="23">
        <v>10</v>
      </c>
      <c r="F76" s="23">
        <v>10</v>
      </c>
      <c r="G76" s="23">
        <v>10</v>
      </c>
      <c r="H76" s="23">
        <v>10</v>
      </c>
      <c r="I76" s="23" t="s">
        <v>515</v>
      </c>
      <c r="J76" s="23">
        <v>10</v>
      </c>
      <c r="K76" s="23" t="s">
        <v>10</v>
      </c>
      <c r="L76" s="23">
        <v>10</v>
      </c>
      <c r="M76" s="23">
        <v>10</v>
      </c>
      <c r="N76" s="23">
        <v>10</v>
      </c>
      <c r="O76" s="23">
        <v>10</v>
      </c>
      <c r="P76" s="23">
        <v>10</v>
      </c>
      <c r="Q76" s="23">
        <v>10</v>
      </c>
      <c r="R76" s="23" t="s">
        <v>10</v>
      </c>
      <c r="S76" s="23">
        <v>10</v>
      </c>
      <c r="T76" s="23">
        <v>10</v>
      </c>
      <c r="U76" s="23">
        <v>10</v>
      </c>
      <c r="V76" s="23">
        <v>10</v>
      </c>
      <c r="W76" s="23">
        <v>10</v>
      </c>
      <c r="X76" s="23">
        <v>10</v>
      </c>
      <c r="Y76" s="23" t="s">
        <v>10</v>
      </c>
      <c r="Z76" s="23">
        <v>10</v>
      </c>
      <c r="AA76" s="23">
        <v>10</v>
      </c>
      <c r="AB76" s="23">
        <v>10</v>
      </c>
      <c r="AC76" s="23">
        <v>10</v>
      </c>
      <c r="AD76" s="23">
        <v>10</v>
      </c>
      <c r="AE76" s="23">
        <v>10</v>
      </c>
      <c r="AF76" s="23" t="s">
        <v>10</v>
      </c>
      <c r="AG76" s="23">
        <v>10</v>
      </c>
      <c r="AH76" s="23">
        <v>10</v>
      </c>
      <c r="AI76" s="22">
        <f t="shared" si="4"/>
        <v>250</v>
      </c>
      <c r="AJ76" s="2"/>
      <c r="AK76" s="14">
        <f t="shared" si="1"/>
        <v>0</v>
      </c>
      <c r="AL76" s="2" t="s">
        <v>241</v>
      </c>
    </row>
    <row r="77" spans="1:38" ht="19.899999999999999" customHeight="1" x14ac:dyDescent="0.25">
      <c r="A77" s="2">
        <v>75</v>
      </c>
      <c r="B77" s="7" t="s">
        <v>230</v>
      </c>
      <c r="C77" s="4" t="s">
        <v>231</v>
      </c>
      <c r="D77" s="2" t="s">
        <v>165</v>
      </c>
      <c r="E77" s="23">
        <v>10</v>
      </c>
      <c r="F77" s="23">
        <v>10</v>
      </c>
      <c r="G77" s="23">
        <v>10</v>
      </c>
      <c r="H77" s="23">
        <v>10</v>
      </c>
      <c r="I77" s="23" t="s">
        <v>515</v>
      </c>
      <c r="J77" s="23">
        <v>10</v>
      </c>
      <c r="K77" s="23" t="s">
        <v>10</v>
      </c>
      <c r="L77" s="23">
        <v>10</v>
      </c>
      <c r="M77" s="23">
        <v>10</v>
      </c>
      <c r="N77" s="23">
        <v>10</v>
      </c>
      <c r="O77" s="23">
        <v>10</v>
      </c>
      <c r="P77" s="23">
        <v>10</v>
      </c>
      <c r="Q77" s="23">
        <v>10</v>
      </c>
      <c r="R77" s="23" t="s">
        <v>10</v>
      </c>
      <c r="S77" s="23">
        <v>10</v>
      </c>
      <c r="T77" s="23">
        <v>10</v>
      </c>
      <c r="U77" s="23">
        <v>10</v>
      </c>
      <c r="V77" s="23">
        <v>10</v>
      </c>
      <c r="W77" s="23">
        <v>10</v>
      </c>
      <c r="X77" s="23">
        <v>10</v>
      </c>
      <c r="Y77" s="23" t="s">
        <v>10</v>
      </c>
      <c r="Z77" s="23">
        <v>10</v>
      </c>
      <c r="AA77" s="23">
        <v>10</v>
      </c>
      <c r="AB77" s="23">
        <v>10</v>
      </c>
      <c r="AC77" s="23">
        <v>10</v>
      </c>
      <c r="AD77" s="23">
        <v>10</v>
      </c>
      <c r="AE77" s="23">
        <v>10</v>
      </c>
      <c r="AF77" s="23" t="s">
        <v>10</v>
      </c>
      <c r="AG77" s="23">
        <v>10</v>
      </c>
      <c r="AH77" s="23">
        <v>10</v>
      </c>
      <c r="AI77" s="22">
        <f t="shared" si="4"/>
        <v>250</v>
      </c>
      <c r="AJ77" s="2"/>
      <c r="AK77" s="14">
        <f t="shared" si="1"/>
        <v>0</v>
      </c>
      <c r="AL77" s="2" t="s">
        <v>241</v>
      </c>
    </row>
    <row r="78" spans="1:38" ht="19.899999999999999" customHeight="1" x14ac:dyDescent="0.25">
      <c r="A78" s="2">
        <v>76</v>
      </c>
      <c r="B78" s="2">
        <v>381</v>
      </c>
      <c r="C78" s="4" t="s">
        <v>498</v>
      </c>
      <c r="D78" s="2" t="s">
        <v>165</v>
      </c>
      <c r="E78" s="23">
        <v>10</v>
      </c>
      <c r="F78" s="23">
        <v>10</v>
      </c>
      <c r="G78" s="23">
        <v>10</v>
      </c>
      <c r="H78" s="23">
        <v>10</v>
      </c>
      <c r="I78" s="23" t="s">
        <v>515</v>
      </c>
      <c r="J78" s="23">
        <v>10</v>
      </c>
      <c r="K78" s="23" t="s">
        <v>10</v>
      </c>
      <c r="L78" s="23">
        <v>10</v>
      </c>
      <c r="M78" s="23">
        <v>10</v>
      </c>
      <c r="N78" s="23">
        <v>10</v>
      </c>
      <c r="O78" s="23">
        <v>10</v>
      </c>
      <c r="P78" s="23">
        <v>10</v>
      </c>
      <c r="Q78" s="23">
        <v>10</v>
      </c>
      <c r="R78" s="23" t="s">
        <v>10</v>
      </c>
      <c r="S78" s="23">
        <v>10</v>
      </c>
      <c r="T78" s="23">
        <v>10</v>
      </c>
      <c r="U78" s="23">
        <v>10</v>
      </c>
      <c r="V78" s="23">
        <v>10</v>
      </c>
      <c r="W78" s="23">
        <v>10</v>
      </c>
      <c r="X78" s="23">
        <v>10</v>
      </c>
      <c r="Y78" s="23" t="s">
        <v>10</v>
      </c>
      <c r="Z78" s="23">
        <v>10</v>
      </c>
      <c r="AA78" s="23">
        <v>10</v>
      </c>
      <c r="AB78" s="23">
        <v>10</v>
      </c>
      <c r="AC78" s="23">
        <v>10</v>
      </c>
      <c r="AD78" s="23">
        <v>10</v>
      </c>
      <c r="AE78" s="23">
        <v>10</v>
      </c>
      <c r="AF78" s="23" t="s">
        <v>10</v>
      </c>
      <c r="AG78" s="23">
        <v>10</v>
      </c>
      <c r="AH78" s="23">
        <v>10</v>
      </c>
      <c r="AI78" s="22">
        <f t="shared" si="4"/>
        <v>250</v>
      </c>
      <c r="AJ78" s="2"/>
      <c r="AK78" s="14">
        <f t="shared" si="1"/>
        <v>0</v>
      </c>
      <c r="AL78" s="2" t="s">
        <v>241</v>
      </c>
    </row>
    <row r="79" spans="1:38" ht="19.899999999999999" customHeight="1" x14ac:dyDescent="0.25">
      <c r="A79" s="2">
        <v>77</v>
      </c>
      <c r="B79" s="2" t="s">
        <v>267</v>
      </c>
      <c r="C79" s="4" t="s">
        <v>204</v>
      </c>
      <c r="D79" s="2" t="s">
        <v>165</v>
      </c>
      <c r="E79" s="23">
        <v>10</v>
      </c>
      <c r="F79" s="23">
        <v>10</v>
      </c>
      <c r="G79" s="23">
        <v>10</v>
      </c>
      <c r="H79" s="23">
        <v>10</v>
      </c>
      <c r="I79" s="23" t="s">
        <v>515</v>
      </c>
      <c r="J79" s="23">
        <v>10</v>
      </c>
      <c r="K79" s="23" t="s">
        <v>10</v>
      </c>
      <c r="L79" s="23">
        <v>10</v>
      </c>
      <c r="M79" s="23">
        <v>10</v>
      </c>
      <c r="N79" s="23">
        <v>10</v>
      </c>
      <c r="O79" s="23">
        <v>10</v>
      </c>
      <c r="P79" s="23">
        <v>10</v>
      </c>
      <c r="Q79" s="23">
        <v>10</v>
      </c>
      <c r="R79" s="23" t="s">
        <v>10</v>
      </c>
      <c r="S79" s="23">
        <v>10</v>
      </c>
      <c r="T79" s="23">
        <v>10</v>
      </c>
      <c r="U79" s="23">
        <v>10</v>
      </c>
      <c r="V79" s="23">
        <v>10</v>
      </c>
      <c r="W79" s="23">
        <v>10</v>
      </c>
      <c r="X79" s="23">
        <v>10</v>
      </c>
      <c r="Y79" s="23" t="s">
        <v>10</v>
      </c>
      <c r="Z79" s="23">
        <v>10</v>
      </c>
      <c r="AA79" s="23">
        <v>10</v>
      </c>
      <c r="AB79" s="23">
        <v>10</v>
      </c>
      <c r="AC79" s="23">
        <v>10</v>
      </c>
      <c r="AD79" s="23">
        <v>10</v>
      </c>
      <c r="AE79" s="23">
        <v>10</v>
      </c>
      <c r="AF79" s="23" t="s">
        <v>10</v>
      </c>
      <c r="AG79" s="23">
        <v>10</v>
      </c>
      <c r="AH79" s="23">
        <v>10</v>
      </c>
      <c r="AI79" s="22">
        <f t="shared" si="4"/>
        <v>250</v>
      </c>
      <c r="AJ79" s="2"/>
      <c r="AK79" s="14">
        <f t="shared" si="1"/>
        <v>0</v>
      </c>
      <c r="AL79" s="2" t="s">
        <v>241</v>
      </c>
    </row>
    <row r="80" spans="1:38" ht="19.899999999999999" customHeight="1" x14ac:dyDescent="0.25">
      <c r="A80" s="2">
        <v>78</v>
      </c>
      <c r="B80" s="7" t="s">
        <v>166</v>
      </c>
      <c r="C80" s="4" t="s">
        <v>167</v>
      </c>
      <c r="D80" s="2" t="s">
        <v>165</v>
      </c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>
        <v>10.5</v>
      </c>
      <c r="AB80" s="23">
        <v>10.5</v>
      </c>
      <c r="AC80" s="23"/>
      <c r="AD80" s="23"/>
      <c r="AE80" s="23"/>
      <c r="AF80" s="23"/>
      <c r="AG80" s="23"/>
      <c r="AH80" s="23"/>
      <c r="AI80" s="22">
        <f t="shared" si="4"/>
        <v>21</v>
      </c>
      <c r="AJ80" s="2"/>
      <c r="AK80" s="14">
        <f t="shared" si="1"/>
        <v>0</v>
      </c>
      <c r="AL80" s="2" t="s">
        <v>237</v>
      </c>
    </row>
    <row r="81" spans="1:38" ht="19.899999999999999" customHeight="1" x14ac:dyDescent="0.25">
      <c r="A81" s="2">
        <v>79</v>
      </c>
      <c r="B81" s="2" t="s">
        <v>217</v>
      </c>
      <c r="C81" s="4" t="s">
        <v>218</v>
      </c>
      <c r="D81" s="2" t="s">
        <v>165</v>
      </c>
      <c r="E81" s="23">
        <v>10.5</v>
      </c>
      <c r="F81" s="23">
        <v>10.5</v>
      </c>
      <c r="G81" s="23">
        <v>10.5</v>
      </c>
      <c r="H81" s="23">
        <v>10.5</v>
      </c>
      <c r="I81" s="23">
        <v>10.5</v>
      </c>
      <c r="J81" s="23">
        <v>10.5</v>
      </c>
      <c r="K81" s="23" t="s">
        <v>10</v>
      </c>
      <c r="L81" s="23">
        <v>10.5</v>
      </c>
      <c r="M81" s="23">
        <v>10.5</v>
      </c>
      <c r="N81" s="23">
        <v>10.5</v>
      </c>
      <c r="O81" s="23">
        <v>10.5</v>
      </c>
      <c r="P81" s="23">
        <v>10.5</v>
      </c>
      <c r="Q81" s="23">
        <v>10.5</v>
      </c>
      <c r="R81" s="23" t="s">
        <v>10</v>
      </c>
      <c r="S81" s="23">
        <v>10</v>
      </c>
      <c r="T81" s="23">
        <v>10.5</v>
      </c>
      <c r="U81" s="23">
        <v>10.5</v>
      </c>
      <c r="V81" s="23">
        <v>10.5</v>
      </c>
      <c r="W81" s="23">
        <v>10.5</v>
      </c>
      <c r="X81" s="23">
        <v>10.5</v>
      </c>
      <c r="Y81" s="23" t="s">
        <v>10</v>
      </c>
      <c r="Z81" s="23">
        <v>10.5</v>
      </c>
      <c r="AA81" s="23">
        <v>10.5</v>
      </c>
      <c r="AB81" s="23">
        <v>10.5</v>
      </c>
      <c r="AC81" s="23">
        <v>10.5</v>
      </c>
      <c r="AD81" s="23">
        <v>10.5</v>
      </c>
      <c r="AE81" s="23">
        <v>10.5</v>
      </c>
      <c r="AF81" s="23" t="s">
        <v>10</v>
      </c>
      <c r="AG81" s="23">
        <v>10.5</v>
      </c>
      <c r="AH81" s="23">
        <v>10.5</v>
      </c>
      <c r="AI81" s="22">
        <f t="shared" si="4"/>
        <v>272.5</v>
      </c>
      <c r="AJ81" s="2"/>
      <c r="AK81" s="14">
        <f t="shared" ref="AK81:AK157" si="5">AI81*AJ81</f>
        <v>0</v>
      </c>
      <c r="AL81" s="2" t="s">
        <v>237</v>
      </c>
    </row>
    <row r="82" spans="1:38" ht="19.899999999999999" customHeight="1" x14ac:dyDescent="0.25">
      <c r="A82" s="2">
        <v>80</v>
      </c>
      <c r="B82" s="7" t="s">
        <v>276</v>
      </c>
      <c r="C82" s="4" t="s">
        <v>277</v>
      </c>
      <c r="D82" s="2" t="s">
        <v>165</v>
      </c>
      <c r="E82" s="23"/>
      <c r="F82" s="23"/>
      <c r="G82" s="23"/>
      <c r="H82" s="23"/>
      <c r="I82" s="23"/>
      <c r="J82" s="23"/>
      <c r="K82" s="23"/>
      <c r="L82" s="23"/>
      <c r="M82" s="23"/>
      <c r="N82" s="23">
        <v>10.5</v>
      </c>
      <c r="O82" s="23">
        <v>9</v>
      </c>
      <c r="P82" s="23">
        <v>9</v>
      </c>
      <c r="Q82" s="23">
        <v>9</v>
      </c>
      <c r="R82" s="23" t="s">
        <v>10</v>
      </c>
      <c r="S82" s="23" t="s">
        <v>32</v>
      </c>
      <c r="T82" s="23" t="s">
        <v>32</v>
      </c>
      <c r="U82" s="23">
        <v>10.5</v>
      </c>
      <c r="V82" s="23">
        <v>10.5</v>
      </c>
      <c r="W82" s="23">
        <v>10.5</v>
      </c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2">
        <f t="shared" si="4"/>
        <v>69</v>
      </c>
      <c r="AJ82" s="2"/>
      <c r="AK82" s="14">
        <f t="shared" si="5"/>
        <v>0</v>
      </c>
      <c r="AL82" s="2" t="s">
        <v>237</v>
      </c>
    </row>
    <row r="83" spans="1:38" ht="19.899999999999999" customHeight="1" x14ac:dyDescent="0.25">
      <c r="A83" s="2">
        <v>81</v>
      </c>
      <c r="B83" s="7" t="s">
        <v>226</v>
      </c>
      <c r="C83" s="4" t="s">
        <v>227</v>
      </c>
      <c r="D83" s="2" t="s">
        <v>165</v>
      </c>
      <c r="E83" s="23">
        <v>10.5</v>
      </c>
      <c r="F83" s="23">
        <v>10.5</v>
      </c>
      <c r="G83" s="23">
        <v>10.5</v>
      </c>
      <c r="H83" s="23">
        <v>10.5</v>
      </c>
      <c r="I83" s="23">
        <v>10.5</v>
      </c>
      <c r="J83" s="23">
        <v>10.5</v>
      </c>
      <c r="K83" s="23" t="s">
        <v>10</v>
      </c>
      <c r="L83" s="23">
        <v>10.5</v>
      </c>
      <c r="M83" s="23">
        <v>10.5</v>
      </c>
      <c r="N83" s="23">
        <v>10.5</v>
      </c>
      <c r="O83" s="23">
        <v>10.5</v>
      </c>
      <c r="P83" s="23">
        <v>10.5</v>
      </c>
      <c r="Q83" s="23">
        <v>10.5</v>
      </c>
      <c r="R83" s="23" t="s">
        <v>10</v>
      </c>
      <c r="S83" s="23">
        <v>10</v>
      </c>
      <c r="T83" s="23">
        <v>10.5</v>
      </c>
      <c r="U83" s="23">
        <v>10.5</v>
      </c>
      <c r="V83" s="23">
        <v>10.5</v>
      </c>
      <c r="W83" s="23">
        <v>10.5</v>
      </c>
      <c r="X83" s="23">
        <v>10.5</v>
      </c>
      <c r="Y83" s="23" t="s">
        <v>10</v>
      </c>
      <c r="Z83" s="23">
        <v>10.5</v>
      </c>
      <c r="AA83" s="23">
        <v>10.5</v>
      </c>
      <c r="AB83" s="23">
        <v>10.5</v>
      </c>
      <c r="AC83" s="23">
        <v>10.5</v>
      </c>
      <c r="AD83" s="23">
        <v>10.5</v>
      </c>
      <c r="AE83" s="23">
        <v>10.5</v>
      </c>
      <c r="AF83" s="23" t="s">
        <v>10</v>
      </c>
      <c r="AG83" s="23">
        <v>10.5</v>
      </c>
      <c r="AH83" s="23">
        <v>10.5</v>
      </c>
      <c r="AI83" s="22">
        <f t="shared" si="4"/>
        <v>272.5</v>
      </c>
      <c r="AJ83" s="2"/>
      <c r="AK83" s="14">
        <f t="shared" si="5"/>
        <v>0</v>
      </c>
      <c r="AL83" s="2" t="s">
        <v>237</v>
      </c>
    </row>
    <row r="84" spans="1:38" ht="19.899999999999999" customHeight="1" x14ac:dyDescent="0.25">
      <c r="A84" s="2">
        <v>82</v>
      </c>
      <c r="B84" s="7" t="s">
        <v>278</v>
      </c>
      <c r="C84" s="4" t="s">
        <v>279</v>
      </c>
      <c r="D84" s="2" t="s">
        <v>165</v>
      </c>
      <c r="E84" s="23"/>
      <c r="F84" s="23"/>
      <c r="G84" s="23"/>
      <c r="H84" s="23"/>
      <c r="I84" s="23"/>
      <c r="J84" s="23"/>
      <c r="K84" s="23"/>
      <c r="L84" s="23"/>
      <c r="M84" s="23"/>
      <c r="N84" s="23">
        <v>10.5</v>
      </c>
      <c r="O84" s="23">
        <v>9</v>
      </c>
      <c r="P84" s="23">
        <v>9</v>
      </c>
      <c r="Q84" s="23">
        <v>9</v>
      </c>
      <c r="R84" s="23" t="s">
        <v>10</v>
      </c>
      <c r="S84" s="23">
        <v>9</v>
      </c>
      <c r="T84" s="23">
        <v>10.5</v>
      </c>
      <c r="U84" s="23" t="s">
        <v>32</v>
      </c>
      <c r="V84" s="23">
        <v>10.5</v>
      </c>
      <c r="W84" s="23">
        <v>10.5</v>
      </c>
      <c r="X84" s="23">
        <v>10.5</v>
      </c>
      <c r="Y84" s="23" t="s">
        <v>10</v>
      </c>
      <c r="Z84" s="23" t="s">
        <v>32</v>
      </c>
      <c r="AA84" s="23">
        <v>10.5</v>
      </c>
      <c r="AB84" s="23">
        <v>10.5</v>
      </c>
      <c r="AC84" s="23">
        <v>10.5</v>
      </c>
      <c r="AD84" s="23">
        <v>10.5</v>
      </c>
      <c r="AE84" s="23">
        <v>10.5</v>
      </c>
      <c r="AF84" s="23" t="s">
        <v>10</v>
      </c>
      <c r="AG84" s="23">
        <v>10.5</v>
      </c>
      <c r="AH84" s="23">
        <v>10.5</v>
      </c>
      <c r="AI84" s="22">
        <f t="shared" si="4"/>
        <v>162</v>
      </c>
      <c r="AJ84" s="2"/>
      <c r="AK84" s="14">
        <f t="shared" si="5"/>
        <v>0</v>
      </c>
      <c r="AL84" s="2" t="s">
        <v>237</v>
      </c>
    </row>
    <row r="85" spans="1:38" ht="19.899999999999999" customHeight="1" x14ac:dyDescent="0.25">
      <c r="A85" s="2">
        <v>83</v>
      </c>
      <c r="B85" s="7" t="s">
        <v>175</v>
      </c>
      <c r="C85" s="4" t="s">
        <v>176</v>
      </c>
      <c r="D85" s="2" t="s">
        <v>165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>
        <v>10.5</v>
      </c>
      <c r="AB85" s="23">
        <v>10.5</v>
      </c>
      <c r="AC85" s="23">
        <v>10.5</v>
      </c>
      <c r="AD85" s="23">
        <v>10.5</v>
      </c>
      <c r="AE85" s="23">
        <v>10.5</v>
      </c>
      <c r="AF85" s="23" t="s">
        <v>10</v>
      </c>
      <c r="AG85" s="23">
        <v>10.5</v>
      </c>
      <c r="AH85" s="23">
        <v>10.5</v>
      </c>
      <c r="AI85" s="22">
        <f t="shared" si="4"/>
        <v>73.5</v>
      </c>
      <c r="AJ85" s="2"/>
      <c r="AK85" s="14">
        <f t="shared" si="5"/>
        <v>0</v>
      </c>
      <c r="AL85" s="2" t="s">
        <v>237</v>
      </c>
    </row>
    <row r="86" spans="1:38" ht="19.899999999999999" customHeight="1" x14ac:dyDescent="0.25">
      <c r="A86" s="2">
        <v>84</v>
      </c>
      <c r="B86" s="7" t="s">
        <v>300</v>
      </c>
      <c r="C86" s="4" t="s">
        <v>303</v>
      </c>
      <c r="D86" s="2" t="s">
        <v>165</v>
      </c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>
        <v>10.5</v>
      </c>
      <c r="AC86" s="23">
        <v>10.5</v>
      </c>
      <c r="AD86" s="23">
        <v>10.5</v>
      </c>
      <c r="AE86" s="23">
        <v>10.5</v>
      </c>
      <c r="AF86" s="23" t="s">
        <v>10</v>
      </c>
      <c r="AG86" s="23">
        <v>10.5</v>
      </c>
      <c r="AH86" s="23">
        <v>10.5</v>
      </c>
      <c r="AI86" s="22">
        <f t="shared" si="4"/>
        <v>63</v>
      </c>
      <c r="AJ86" s="2"/>
      <c r="AK86" s="14">
        <f t="shared" si="5"/>
        <v>0</v>
      </c>
      <c r="AL86" s="2" t="s">
        <v>237</v>
      </c>
    </row>
    <row r="87" spans="1:38" ht="19.899999999999999" customHeight="1" x14ac:dyDescent="0.25">
      <c r="A87" s="2">
        <v>85</v>
      </c>
      <c r="B87" s="2">
        <v>375</v>
      </c>
      <c r="C87" s="4" t="s">
        <v>560</v>
      </c>
      <c r="D87" s="2" t="s">
        <v>165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>
        <v>10.5</v>
      </c>
      <c r="AB87" s="23">
        <v>10.5</v>
      </c>
      <c r="AC87" s="23">
        <v>10.5</v>
      </c>
      <c r="AD87" s="23">
        <v>10.5</v>
      </c>
      <c r="AE87" s="23">
        <v>10.5</v>
      </c>
      <c r="AF87" s="23" t="s">
        <v>10</v>
      </c>
      <c r="AG87" s="23">
        <v>10.5</v>
      </c>
      <c r="AH87" s="23">
        <v>10.5</v>
      </c>
      <c r="AI87" s="22">
        <f t="shared" si="4"/>
        <v>73.5</v>
      </c>
      <c r="AJ87" s="2"/>
      <c r="AK87" s="14">
        <f t="shared" si="5"/>
        <v>0</v>
      </c>
      <c r="AL87" s="2" t="s">
        <v>237</v>
      </c>
    </row>
    <row r="88" spans="1:38" ht="19.899999999999999" customHeight="1" x14ac:dyDescent="0.25">
      <c r="A88" s="2">
        <v>86</v>
      </c>
      <c r="B88" s="2" t="s">
        <v>228</v>
      </c>
      <c r="C88" s="4" t="s">
        <v>229</v>
      </c>
      <c r="D88" s="2" t="s">
        <v>165</v>
      </c>
      <c r="E88" s="23">
        <v>9</v>
      </c>
      <c r="F88" s="23">
        <v>9</v>
      </c>
      <c r="G88" s="23">
        <v>9</v>
      </c>
      <c r="H88" s="23">
        <v>9</v>
      </c>
      <c r="I88" s="23">
        <v>9</v>
      </c>
      <c r="J88" s="23">
        <v>9</v>
      </c>
      <c r="K88" s="23" t="s">
        <v>10</v>
      </c>
      <c r="L88" s="23">
        <v>9</v>
      </c>
      <c r="M88" s="23">
        <v>9</v>
      </c>
      <c r="N88" s="23">
        <v>9</v>
      </c>
      <c r="O88" s="23">
        <v>10.5</v>
      </c>
      <c r="P88" s="23">
        <v>10.5</v>
      </c>
      <c r="Q88" s="23">
        <v>10.5</v>
      </c>
      <c r="R88" s="23" t="s">
        <v>10</v>
      </c>
      <c r="S88" s="23">
        <v>9</v>
      </c>
      <c r="T88" s="23">
        <v>10.5</v>
      </c>
      <c r="U88" s="23">
        <v>10.5</v>
      </c>
      <c r="V88" s="23">
        <v>10.5</v>
      </c>
      <c r="W88" s="23">
        <v>10.5</v>
      </c>
      <c r="X88" s="23">
        <v>10.5</v>
      </c>
      <c r="Y88" s="23" t="s">
        <v>10</v>
      </c>
      <c r="Z88" s="23">
        <v>10.5</v>
      </c>
      <c r="AA88" s="23">
        <v>10.5</v>
      </c>
      <c r="AB88" s="23">
        <v>10.5</v>
      </c>
      <c r="AC88" s="23">
        <v>10.5</v>
      </c>
      <c r="AD88" s="23">
        <v>10.5</v>
      </c>
      <c r="AE88" s="23">
        <v>10.5</v>
      </c>
      <c r="AF88" s="23" t="s">
        <v>10</v>
      </c>
      <c r="AG88" s="23">
        <v>10.5</v>
      </c>
      <c r="AH88" s="23">
        <v>10.5</v>
      </c>
      <c r="AI88" s="22">
        <f t="shared" si="4"/>
        <v>258</v>
      </c>
      <c r="AJ88" s="2"/>
      <c r="AK88" s="14">
        <f t="shared" si="5"/>
        <v>0</v>
      </c>
      <c r="AL88" s="2" t="s">
        <v>237</v>
      </c>
    </row>
    <row r="89" spans="1:38" ht="19.899999999999999" customHeight="1" x14ac:dyDescent="0.25">
      <c r="A89" s="2">
        <v>87</v>
      </c>
      <c r="B89" s="7" t="s">
        <v>193</v>
      </c>
      <c r="C89" s="4" t="s">
        <v>194</v>
      </c>
      <c r="D89" s="2" t="s">
        <v>165</v>
      </c>
      <c r="E89" s="23">
        <v>9</v>
      </c>
      <c r="F89" s="23">
        <v>9</v>
      </c>
      <c r="G89" s="23">
        <v>9</v>
      </c>
      <c r="H89" s="23">
        <v>9</v>
      </c>
      <c r="I89" s="23">
        <v>9</v>
      </c>
      <c r="J89" s="23">
        <v>9</v>
      </c>
      <c r="K89" s="23" t="s">
        <v>10</v>
      </c>
      <c r="L89" s="23">
        <v>9</v>
      </c>
      <c r="M89" s="23">
        <v>9</v>
      </c>
      <c r="N89" s="23">
        <v>9</v>
      </c>
      <c r="O89" s="23">
        <v>9</v>
      </c>
      <c r="P89" s="23">
        <v>9</v>
      </c>
      <c r="Q89" s="23">
        <v>10.5</v>
      </c>
      <c r="R89" s="23" t="s">
        <v>10</v>
      </c>
      <c r="S89" s="23">
        <v>9</v>
      </c>
      <c r="T89" s="23">
        <v>10.5</v>
      </c>
      <c r="U89" s="23">
        <v>10.5</v>
      </c>
      <c r="V89" s="23">
        <v>10.5</v>
      </c>
      <c r="W89" s="23">
        <v>10.5</v>
      </c>
      <c r="X89" s="23">
        <v>10.5</v>
      </c>
      <c r="Y89" s="23" t="s">
        <v>10</v>
      </c>
      <c r="Z89" s="23">
        <v>10.5</v>
      </c>
      <c r="AA89" s="23">
        <v>10.5</v>
      </c>
      <c r="AB89" s="23">
        <v>10.5</v>
      </c>
      <c r="AC89" s="23">
        <v>10.5</v>
      </c>
      <c r="AD89" s="23">
        <v>10.5</v>
      </c>
      <c r="AE89" s="23">
        <v>10.5</v>
      </c>
      <c r="AF89" s="23" t="s">
        <v>10</v>
      </c>
      <c r="AG89" s="23">
        <v>10.5</v>
      </c>
      <c r="AH89" s="23">
        <v>10.5</v>
      </c>
      <c r="AI89" s="22">
        <f t="shared" si="4"/>
        <v>255</v>
      </c>
      <c r="AJ89" s="2"/>
      <c r="AK89" s="14">
        <f t="shared" si="5"/>
        <v>0</v>
      </c>
      <c r="AL89" s="2" t="s">
        <v>237</v>
      </c>
    </row>
    <row r="90" spans="1:38" ht="19.899999999999999" customHeight="1" x14ac:dyDescent="0.25">
      <c r="A90" s="2">
        <v>88</v>
      </c>
      <c r="B90" s="7" t="s">
        <v>363</v>
      </c>
      <c r="C90" s="4" t="s">
        <v>364</v>
      </c>
      <c r="D90" s="2" t="s">
        <v>165</v>
      </c>
      <c r="E90" s="23">
        <v>10.5</v>
      </c>
      <c r="F90" s="23">
        <v>10.5</v>
      </c>
      <c r="G90" s="23">
        <v>10.5</v>
      </c>
      <c r="H90" s="23">
        <v>10.5</v>
      </c>
      <c r="I90" s="23">
        <v>10.5</v>
      </c>
      <c r="J90" s="23">
        <v>10.5</v>
      </c>
      <c r="K90" s="23" t="s">
        <v>10</v>
      </c>
      <c r="L90" s="23">
        <v>10.5</v>
      </c>
      <c r="M90" s="23">
        <v>10.5</v>
      </c>
      <c r="N90" s="23">
        <v>10.5</v>
      </c>
      <c r="O90" s="23">
        <v>10.5</v>
      </c>
      <c r="P90" s="23">
        <v>10.5</v>
      </c>
      <c r="Q90" s="23">
        <v>10.5</v>
      </c>
      <c r="R90" s="23" t="s">
        <v>10</v>
      </c>
      <c r="S90" s="23">
        <v>10</v>
      </c>
      <c r="T90" s="23">
        <v>10.5</v>
      </c>
      <c r="U90" s="23">
        <v>10.5</v>
      </c>
      <c r="V90" s="23">
        <v>10.5</v>
      </c>
      <c r="W90" s="23">
        <v>10.5</v>
      </c>
      <c r="X90" s="23">
        <v>10.5</v>
      </c>
      <c r="Y90" s="23" t="s">
        <v>10</v>
      </c>
      <c r="Z90" s="23">
        <v>10.5</v>
      </c>
      <c r="AA90" s="23">
        <v>10.5</v>
      </c>
      <c r="AB90" s="23">
        <v>10.5</v>
      </c>
      <c r="AC90" s="23">
        <v>10.5</v>
      </c>
      <c r="AD90" s="23">
        <v>10.5</v>
      </c>
      <c r="AE90" s="23">
        <v>10.5</v>
      </c>
      <c r="AF90" s="23" t="s">
        <v>10</v>
      </c>
      <c r="AG90" s="23">
        <v>10.5</v>
      </c>
      <c r="AH90" s="23">
        <v>10.5</v>
      </c>
      <c r="AI90" s="22">
        <f t="shared" si="4"/>
        <v>272.5</v>
      </c>
      <c r="AJ90" s="2"/>
      <c r="AK90" s="14">
        <f t="shared" si="5"/>
        <v>0</v>
      </c>
      <c r="AL90" s="2" t="s">
        <v>237</v>
      </c>
    </row>
    <row r="91" spans="1:38" ht="19.899999999999999" customHeight="1" x14ac:dyDescent="0.25">
      <c r="A91" s="2">
        <v>89</v>
      </c>
      <c r="B91" s="7" t="s">
        <v>455</v>
      </c>
      <c r="C91" s="4" t="s">
        <v>456</v>
      </c>
      <c r="D91" s="2" t="s">
        <v>165</v>
      </c>
      <c r="E91" s="23">
        <v>13</v>
      </c>
      <c r="F91" s="23">
        <v>12</v>
      </c>
      <c r="G91" s="23">
        <v>12</v>
      </c>
      <c r="H91" s="23">
        <v>12</v>
      </c>
      <c r="I91" s="23">
        <v>12</v>
      </c>
      <c r="J91" s="23">
        <v>12</v>
      </c>
      <c r="K91" s="23" t="s">
        <v>10</v>
      </c>
      <c r="L91" s="23">
        <v>10</v>
      </c>
      <c r="M91" s="23">
        <v>12</v>
      </c>
      <c r="N91" s="23">
        <v>10</v>
      </c>
      <c r="O91" s="23">
        <v>10</v>
      </c>
      <c r="P91" s="23">
        <v>10</v>
      </c>
      <c r="Q91" s="23">
        <v>10</v>
      </c>
      <c r="R91" s="23" t="s">
        <v>10</v>
      </c>
      <c r="S91" s="23">
        <v>10</v>
      </c>
      <c r="T91" s="23">
        <v>10</v>
      </c>
      <c r="U91" s="23">
        <v>10</v>
      </c>
      <c r="V91" s="23">
        <v>10</v>
      </c>
      <c r="W91" s="23">
        <v>10</v>
      </c>
      <c r="X91" s="23">
        <v>10</v>
      </c>
      <c r="Y91" s="23">
        <v>10</v>
      </c>
      <c r="Z91" s="23">
        <v>10</v>
      </c>
      <c r="AA91" s="23">
        <v>10</v>
      </c>
      <c r="AB91" s="23">
        <v>10</v>
      </c>
      <c r="AC91" s="23">
        <v>10</v>
      </c>
      <c r="AD91" s="23">
        <v>12</v>
      </c>
      <c r="AE91" s="23">
        <v>11</v>
      </c>
      <c r="AF91" s="23">
        <v>10</v>
      </c>
      <c r="AG91" s="23">
        <v>11</v>
      </c>
      <c r="AH91" s="23">
        <v>11</v>
      </c>
      <c r="AI91" s="22">
        <f t="shared" si="4"/>
        <v>300</v>
      </c>
      <c r="AJ91" s="2"/>
      <c r="AK91" s="14">
        <f t="shared" si="5"/>
        <v>0</v>
      </c>
      <c r="AL91" s="2" t="s">
        <v>458</v>
      </c>
    </row>
    <row r="92" spans="1:38" ht="19.899999999999999" customHeight="1" x14ac:dyDescent="0.25">
      <c r="A92" s="2">
        <v>90</v>
      </c>
      <c r="B92" s="7" t="s">
        <v>255</v>
      </c>
      <c r="C92" s="4" t="s">
        <v>256</v>
      </c>
      <c r="D92" s="2" t="s">
        <v>165</v>
      </c>
      <c r="E92" s="23">
        <v>13</v>
      </c>
      <c r="F92" s="23">
        <v>12</v>
      </c>
      <c r="G92" s="23">
        <v>12</v>
      </c>
      <c r="H92" s="23">
        <v>12</v>
      </c>
      <c r="I92" s="23">
        <v>12</v>
      </c>
      <c r="J92" s="23">
        <v>12</v>
      </c>
      <c r="K92" s="23" t="s">
        <v>10</v>
      </c>
      <c r="L92" s="23">
        <v>10</v>
      </c>
      <c r="M92" s="23">
        <v>12</v>
      </c>
      <c r="N92" s="23">
        <v>10</v>
      </c>
      <c r="O92" s="23">
        <v>10</v>
      </c>
      <c r="P92" s="23">
        <v>10</v>
      </c>
      <c r="Q92" s="23">
        <v>10</v>
      </c>
      <c r="R92" s="23" t="s">
        <v>10</v>
      </c>
      <c r="S92" s="23">
        <v>10</v>
      </c>
      <c r="T92" s="23">
        <v>10</v>
      </c>
      <c r="U92" s="23">
        <v>8</v>
      </c>
      <c r="V92" s="23">
        <v>10</v>
      </c>
      <c r="W92" s="23">
        <v>10</v>
      </c>
      <c r="X92" s="23">
        <v>10</v>
      </c>
      <c r="Y92" s="23">
        <v>11</v>
      </c>
      <c r="Z92" s="23">
        <v>10</v>
      </c>
      <c r="AA92" s="23">
        <v>12</v>
      </c>
      <c r="AB92" s="23">
        <v>10</v>
      </c>
      <c r="AC92" s="23">
        <v>10</v>
      </c>
      <c r="AD92" s="23">
        <v>12</v>
      </c>
      <c r="AE92" s="23">
        <v>11</v>
      </c>
      <c r="AF92" s="23">
        <v>10</v>
      </c>
      <c r="AG92" s="23">
        <v>11</v>
      </c>
      <c r="AH92" s="23">
        <v>11</v>
      </c>
      <c r="AI92" s="22">
        <f t="shared" si="4"/>
        <v>301</v>
      </c>
      <c r="AJ92" s="2"/>
      <c r="AK92" s="14">
        <f t="shared" si="5"/>
        <v>0</v>
      </c>
      <c r="AL92" s="2" t="s">
        <v>458</v>
      </c>
    </row>
    <row r="93" spans="1:38" ht="19.899999999999999" customHeight="1" x14ac:dyDescent="0.25">
      <c r="A93" s="2">
        <v>91</v>
      </c>
      <c r="B93" s="7" t="s">
        <v>242</v>
      </c>
      <c r="C93" s="4" t="s">
        <v>243</v>
      </c>
      <c r="D93" s="2" t="s">
        <v>165</v>
      </c>
      <c r="E93" s="23">
        <v>13</v>
      </c>
      <c r="F93" s="23">
        <v>12</v>
      </c>
      <c r="G93" s="23">
        <v>12</v>
      </c>
      <c r="H93" s="23">
        <v>12</v>
      </c>
      <c r="I93" s="23">
        <v>12</v>
      </c>
      <c r="J93" s="23">
        <v>12</v>
      </c>
      <c r="K93" s="23" t="s">
        <v>10</v>
      </c>
      <c r="L93" s="23">
        <v>10</v>
      </c>
      <c r="M93" s="23">
        <v>12</v>
      </c>
      <c r="N93" s="23">
        <v>10</v>
      </c>
      <c r="O93" s="23">
        <v>10</v>
      </c>
      <c r="P93" s="23">
        <v>10</v>
      </c>
      <c r="Q93" s="23">
        <v>10</v>
      </c>
      <c r="R93" s="23" t="s">
        <v>10</v>
      </c>
      <c r="S93" s="23">
        <v>10</v>
      </c>
      <c r="T93" s="23">
        <v>10</v>
      </c>
      <c r="U93" s="23">
        <v>8</v>
      </c>
      <c r="V93" s="23">
        <v>10</v>
      </c>
      <c r="W93" s="23">
        <v>10</v>
      </c>
      <c r="X93" s="23">
        <v>10</v>
      </c>
      <c r="Y93" s="23">
        <v>10</v>
      </c>
      <c r="Z93" s="23">
        <v>10</v>
      </c>
      <c r="AA93" s="23">
        <v>10</v>
      </c>
      <c r="AB93" s="23">
        <v>10</v>
      </c>
      <c r="AC93" s="23">
        <v>10</v>
      </c>
      <c r="AD93" s="23">
        <v>12</v>
      </c>
      <c r="AE93" s="23">
        <v>11</v>
      </c>
      <c r="AF93" s="23">
        <v>10</v>
      </c>
      <c r="AG93" s="23">
        <v>11</v>
      </c>
      <c r="AH93" s="23">
        <v>11</v>
      </c>
      <c r="AI93" s="22">
        <f t="shared" si="4"/>
        <v>298</v>
      </c>
      <c r="AJ93" s="2"/>
      <c r="AK93" s="14">
        <f t="shared" si="5"/>
        <v>0</v>
      </c>
      <c r="AL93" s="2" t="s">
        <v>458</v>
      </c>
    </row>
    <row r="94" spans="1:38" ht="19.899999999999999" customHeight="1" x14ac:dyDescent="0.25">
      <c r="A94" s="2">
        <v>92</v>
      </c>
      <c r="B94" s="7" t="s">
        <v>249</v>
      </c>
      <c r="C94" s="4" t="s">
        <v>250</v>
      </c>
      <c r="D94" s="2" t="s">
        <v>165</v>
      </c>
      <c r="E94" s="23">
        <v>13</v>
      </c>
      <c r="F94" s="23">
        <v>12</v>
      </c>
      <c r="G94" s="23">
        <v>12</v>
      </c>
      <c r="H94" s="23">
        <v>12</v>
      </c>
      <c r="I94" s="23">
        <v>12</v>
      </c>
      <c r="J94" s="23">
        <v>12</v>
      </c>
      <c r="K94" s="23" t="s">
        <v>10</v>
      </c>
      <c r="L94" s="23">
        <v>10</v>
      </c>
      <c r="M94" s="23">
        <v>12</v>
      </c>
      <c r="N94" s="23">
        <v>10</v>
      </c>
      <c r="O94" s="23">
        <v>10</v>
      </c>
      <c r="P94" s="23">
        <v>10</v>
      </c>
      <c r="Q94" s="23">
        <v>10</v>
      </c>
      <c r="R94" s="23" t="s">
        <v>10</v>
      </c>
      <c r="S94" s="23">
        <v>10</v>
      </c>
      <c r="T94" s="23">
        <v>10</v>
      </c>
      <c r="U94" s="23">
        <v>8</v>
      </c>
      <c r="V94" s="23">
        <v>10</v>
      </c>
      <c r="W94" s="23">
        <v>10</v>
      </c>
      <c r="X94" s="23">
        <v>10</v>
      </c>
      <c r="Y94" s="23">
        <v>10</v>
      </c>
      <c r="Z94" s="23">
        <v>10</v>
      </c>
      <c r="AA94" s="23">
        <v>12</v>
      </c>
      <c r="AB94" s="23">
        <v>11</v>
      </c>
      <c r="AC94" s="23">
        <v>10</v>
      </c>
      <c r="AD94" s="23">
        <v>12</v>
      </c>
      <c r="AE94" s="23">
        <v>11</v>
      </c>
      <c r="AF94" s="23">
        <v>11</v>
      </c>
      <c r="AG94" s="23">
        <v>11</v>
      </c>
      <c r="AH94" s="23">
        <v>11</v>
      </c>
      <c r="AI94" s="22">
        <f t="shared" si="4"/>
        <v>302</v>
      </c>
      <c r="AJ94" s="2"/>
      <c r="AK94" s="14">
        <f t="shared" si="5"/>
        <v>0</v>
      </c>
      <c r="AL94" s="2" t="s">
        <v>458</v>
      </c>
    </row>
    <row r="95" spans="1:38" ht="19.899999999999999" customHeight="1" x14ac:dyDescent="0.25">
      <c r="A95" s="2">
        <v>93</v>
      </c>
      <c r="B95" s="2" t="s">
        <v>162</v>
      </c>
      <c r="C95" s="4" t="s">
        <v>163</v>
      </c>
      <c r="D95" s="2" t="s">
        <v>165</v>
      </c>
      <c r="E95" s="23">
        <v>13</v>
      </c>
      <c r="F95" s="23">
        <v>12</v>
      </c>
      <c r="G95" s="23">
        <v>12</v>
      </c>
      <c r="H95" s="23">
        <v>12</v>
      </c>
      <c r="I95" s="23">
        <v>12</v>
      </c>
      <c r="J95" s="23">
        <v>12</v>
      </c>
      <c r="K95" s="23" t="s">
        <v>10</v>
      </c>
      <c r="L95" s="23">
        <v>10</v>
      </c>
      <c r="M95" s="23">
        <v>12</v>
      </c>
      <c r="N95" s="23">
        <v>10</v>
      </c>
      <c r="O95" s="23">
        <v>10</v>
      </c>
      <c r="P95" s="23">
        <v>10</v>
      </c>
      <c r="Q95" s="23" t="s">
        <v>32</v>
      </c>
      <c r="R95" s="23" t="s">
        <v>10</v>
      </c>
      <c r="S95" s="23">
        <v>10</v>
      </c>
      <c r="T95" s="23">
        <v>10</v>
      </c>
      <c r="U95" s="23">
        <v>8</v>
      </c>
      <c r="V95" s="23">
        <v>10</v>
      </c>
      <c r="W95" s="23">
        <v>10</v>
      </c>
      <c r="X95" s="23">
        <v>10</v>
      </c>
      <c r="Y95" s="23">
        <v>10</v>
      </c>
      <c r="Z95" s="23">
        <v>10</v>
      </c>
      <c r="AA95" s="23">
        <v>12</v>
      </c>
      <c r="AB95" s="23">
        <v>10</v>
      </c>
      <c r="AC95" s="23">
        <v>10</v>
      </c>
      <c r="AD95" s="23">
        <v>12</v>
      </c>
      <c r="AE95" s="23">
        <v>11</v>
      </c>
      <c r="AF95" s="23">
        <v>10</v>
      </c>
      <c r="AG95" s="23">
        <v>11</v>
      </c>
      <c r="AH95" s="23">
        <v>11</v>
      </c>
      <c r="AI95" s="22">
        <f t="shared" si="4"/>
        <v>290</v>
      </c>
      <c r="AJ95" s="2"/>
      <c r="AK95" s="14">
        <f t="shared" si="5"/>
        <v>0</v>
      </c>
      <c r="AL95" s="2" t="s">
        <v>458</v>
      </c>
    </row>
    <row r="96" spans="1:38" ht="19.899999999999999" customHeight="1" x14ac:dyDescent="0.25">
      <c r="A96" s="2">
        <v>94</v>
      </c>
      <c r="B96" s="7" t="s">
        <v>361</v>
      </c>
      <c r="C96" s="4" t="s">
        <v>362</v>
      </c>
      <c r="D96" s="2" t="s">
        <v>165</v>
      </c>
      <c r="E96" s="23">
        <v>13</v>
      </c>
      <c r="F96" s="23">
        <v>12</v>
      </c>
      <c r="G96" s="23">
        <v>12</v>
      </c>
      <c r="H96" s="23">
        <v>12</v>
      </c>
      <c r="I96" s="23">
        <v>12</v>
      </c>
      <c r="J96" s="23">
        <v>12</v>
      </c>
      <c r="K96" s="23" t="s">
        <v>10</v>
      </c>
      <c r="L96" s="23">
        <v>10</v>
      </c>
      <c r="M96" s="23">
        <v>12</v>
      </c>
      <c r="N96" s="23">
        <v>10</v>
      </c>
      <c r="O96" s="23">
        <v>10</v>
      </c>
      <c r="P96" s="23">
        <v>10</v>
      </c>
      <c r="Q96" s="23">
        <v>10</v>
      </c>
      <c r="R96" s="23" t="s">
        <v>10</v>
      </c>
      <c r="S96" s="23">
        <v>10</v>
      </c>
      <c r="T96" s="23">
        <v>10</v>
      </c>
      <c r="U96" s="23">
        <v>10</v>
      </c>
      <c r="V96" s="23">
        <v>10</v>
      </c>
      <c r="W96" s="23">
        <v>10</v>
      </c>
      <c r="X96" s="23">
        <v>10</v>
      </c>
      <c r="Y96" s="23">
        <v>10</v>
      </c>
      <c r="Z96" s="23">
        <v>10</v>
      </c>
      <c r="AA96" s="23">
        <v>10</v>
      </c>
      <c r="AB96" s="23">
        <v>10</v>
      </c>
      <c r="AC96" s="23">
        <v>10</v>
      </c>
      <c r="AD96" s="23">
        <v>12</v>
      </c>
      <c r="AE96" s="23">
        <v>11</v>
      </c>
      <c r="AF96" s="23">
        <v>10</v>
      </c>
      <c r="AG96" s="23">
        <v>11</v>
      </c>
      <c r="AH96" s="23">
        <v>11</v>
      </c>
      <c r="AI96" s="22">
        <f t="shared" si="4"/>
        <v>300</v>
      </c>
      <c r="AJ96" s="2"/>
      <c r="AK96" s="14">
        <f t="shared" si="5"/>
        <v>0</v>
      </c>
      <c r="AL96" s="2" t="s">
        <v>458</v>
      </c>
    </row>
    <row r="97" spans="1:38" ht="19.899999999999999" customHeight="1" x14ac:dyDescent="0.25">
      <c r="A97" s="2">
        <v>95</v>
      </c>
      <c r="B97" s="2">
        <v>355</v>
      </c>
      <c r="C97" s="4" t="s">
        <v>418</v>
      </c>
      <c r="D97" s="2" t="s">
        <v>165</v>
      </c>
      <c r="E97" s="23">
        <v>13</v>
      </c>
      <c r="F97" s="23">
        <v>12</v>
      </c>
      <c r="G97" s="23">
        <v>12</v>
      </c>
      <c r="H97" s="23">
        <v>12</v>
      </c>
      <c r="I97" s="23">
        <v>12</v>
      </c>
      <c r="J97" s="23">
        <v>12</v>
      </c>
      <c r="K97" s="23" t="s">
        <v>10</v>
      </c>
      <c r="L97" s="23">
        <v>10</v>
      </c>
      <c r="M97" s="23">
        <v>12</v>
      </c>
      <c r="N97" s="23">
        <v>10</v>
      </c>
      <c r="O97" s="23">
        <v>10</v>
      </c>
      <c r="P97" s="23">
        <v>10</v>
      </c>
      <c r="Q97" s="23">
        <v>10</v>
      </c>
      <c r="R97" s="23" t="s">
        <v>10</v>
      </c>
      <c r="S97" s="23">
        <v>10</v>
      </c>
      <c r="T97" s="23">
        <v>10</v>
      </c>
      <c r="U97" s="23">
        <v>8</v>
      </c>
      <c r="V97" s="23">
        <v>10</v>
      </c>
      <c r="W97" s="23">
        <v>10</v>
      </c>
      <c r="X97" s="23">
        <v>10</v>
      </c>
      <c r="Y97" s="23">
        <v>10</v>
      </c>
      <c r="Z97" s="23">
        <v>10</v>
      </c>
      <c r="AA97" s="23">
        <v>12</v>
      </c>
      <c r="AB97" s="23">
        <v>11</v>
      </c>
      <c r="AC97" s="23">
        <v>10</v>
      </c>
      <c r="AD97" s="23">
        <v>12</v>
      </c>
      <c r="AE97" s="23">
        <v>11</v>
      </c>
      <c r="AF97" s="23">
        <v>10</v>
      </c>
      <c r="AG97" s="23">
        <v>11</v>
      </c>
      <c r="AH97" s="23">
        <v>11</v>
      </c>
      <c r="AI97" s="22">
        <f t="shared" si="4"/>
        <v>301</v>
      </c>
      <c r="AJ97" s="2"/>
      <c r="AK97" s="14">
        <f t="shared" si="5"/>
        <v>0</v>
      </c>
      <c r="AL97" s="2" t="s">
        <v>458</v>
      </c>
    </row>
    <row r="98" spans="1:38" ht="19.899999999999999" customHeight="1" x14ac:dyDescent="0.25">
      <c r="A98" s="2">
        <v>96</v>
      </c>
      <c r="B98" s="2">
        <v>356</v>
      </c>
      <c r="C98" s="4" t="s">
        <v>419</v>
      </c>
      <c r="D98" s="2" t="s">
        <v>165</v>
      </c>
      <c r="E98" s="23">
        <v>13</v>
      </c>
      <c r="F98" s="23">
        <v>12</v>
      </c>
      <c r="G98" s="23">
        <v>12</v>
      </c>
      <c r="H98" s="23">
        <v>12</v>
      </c>
      <c r="I98" s="23">
        <v>12</v>
      </c>
      <c r="J98" s="23">
        <v>12</v>
      </c>
      <c r="K98" s="23" t="s">
        <v>10</v>
      </c>
      <c r="L98" s="23">
        <v>10</v>
      </c>
      <c r="M98" s="23">
        <v>12</v>
      </c>
      <c r="N98" s="23">
        <v>10</v>
      </c>
      <c r="O98" s="23">
        <v>10</v>
      </c>
      <c r="P98" s="23">
        <v>10</v>
      </c>
      <c r="Q98" s="23">
        <v>10</v>
      </c>
      <c r="R98" s="23" t="s">
        <v>10</v>
      </c>
      <c r="S98" s="23">
        <v>10</v>
      </c>
      <c r="T98" s="23">
        <v>10</v>
      </c>
      <c r="U98" s="23">
        <v>8</v>
      </c>
      <c r="V98" s="23">
        <v>10</v>
      </c>
      <c r="W98" s="23">
        <v>10</v>
      </c>
      <c r="X98" s="23">
        <v>10</v>
      </c>
      <c r="Y98" s="23" t="s">
        <v>10</v>
      </c>
      <c r="Z98" s="23">
        <v>10</v>
      </c>
      <c r="AA98" s="23">
        <v>10</v>
      </c>
      <c r="AB98" s="23">
        <v>10</v>
      </c>
      <c r="AC98" s="23">
        <v>10</v>
      </c>
      <c r="AD98" s="23">
        <v>12</v>
      </c>
      <c r="AE98" s="23">
        <v>11</v>
      </c>
      <c r="AF98" s="23">
        <v>10</v>
      </c>
      <c r="AG98" s="23">
        <v>11</v>
      </c>
      <c r="AH98" s="23">
        <v>11</v>
      </c>
      <c r="AI98" s="22">
        <f t="shared" si="4"/>
        <v>288</v>
      </c>
      <c r="AJ98" s="2"/>
      <c r="AK98" s="14">
        <f t="shared" si="5"/>
        <v>0</v>
      </c>
      <c r="AL98" s="2" t="s">
        <v>458</v>
      </c>
    </row>
    <row r="99" spans="1:38" ht="19.899999999999999" customHeight="1" x14ac:dyDescent="0.25">
      <c r="A99" s="2">
        <v>97</v>
      </c>
      <c r="B99" s="2">
        <v>357</v>
      </c>
      <c r="C99" s="4" t="s">
        <v>420</v>
      </c>
      <c r="D99" s="2" t="s">
        <v>165</v>
      </c>
      <c r="E99" s="23">
        <v>13</v>
      </c>
      <c r="F99" s="23">
        <v>12</v>
      </c>
      <c r="G99" s="23">
        <v>12</v>
      </c>
      <c r="H99" s="23">
        <v>12</v>
      </c>
      <c r="I99" s="23">
        <v>12</v>
      </c>
      <c r="J99" s="23">
        <v>12</v>
      </c>
      <c r="K99" s="23" t="s">
        <v>10</v>
      </c>
      <c r="L99" s="23">
        <v>10</v>
      </c>
      <c r="M99" s="23">
        <v>12</v>
      </c>
      <c r="N99" s="23">
        <v>10</v>
      </c>
      <c r="O99" s="23">
        <v>10</v>
      </c>
      <c r="P99" s="23">
        <v>10</v>
      </c>
      <c r="Q99" s="23">
        <v>10</v>
      </c>
      <c r="R99" s="23" t="s">
        <v>10</v>
      </c>
      <c r="S99" s="23">
        <v>10</v>
      </c>
      <c r="T99" s="23">
        <v>10</v>
      </c>
      <c r="U99" s="23">
        <v>8</v>
      </c>
      <c r="V99" s="23">
        <v>10</v>
      </c>
      <c r="W99" s="23">
        <v>10</v>
      </c>
      <c r="X99" s="23">
        <v>10</v>
      </c>
      <c r="Y99" s="23" t="s">
        <v>10</v>
      </c>
      <c r="Z99" s="23">
        <v>10</v>
      </c>
      <c r="AA99" s="23">
        <v>10</v>
      </c>
      <c r="AB99" s="23">
        <v>10</v>
      </c>
      <c r="AC99" s="23">
        <v>10</v>
      </c>
      <c r="AD99" s="23">
        <v>12</v>
      </c>
      <c r="AE99" s="23">
        <v>11</v>
      </c>
      <c r="AF99" s="23">
        <v>10</v>
      </c>
      <c r="AG99" s="23">
        <v>11</v>
      </c>
      <c r="AH99" s="23">
        <v>11</v>
      </c>
      <c r="AI99" s="22">
        <f t="shared" ref="AI99:AI130" si="6">SUM(E99:AH99)</f>
        <v>288</v>
      </c>
      <c r="AJ99" s="2"/>
      <c r="AK99" s="14">
        <f t="shared" si="5"/>
        <v>0</v>
      </c>
      <c r="AL99" s="2" t="s">
        <v>458</v>
      </c>
    </row>
    <row r="100" spans="1:38" ht="19.899999999999999" customHeight="1" x14ac:dyDescent="0.25">
      <c r="A100" s="2">
        <v>98</v>
      </c>
      <c r="B100" s="7" t="s">
        <v>453</v>
      </c>
      <c r="C100" s="4" t="s">
        <v>457</v>
      </c>
      <c r="D100" s="2" t="s">
        <v>165</v>
      </c>
      <c r="E100" s="23">
        <v>13</v>
      </c>
      <c r="F100" s="23">
        <v>12</v>
      </c>
      <c r="G100" s="23">
        <v>12</v>
      </c>
      <c r="H100" s="23">
        <v>12</v>
      </c>
      <c r="I100" s="23">
        <v>12</v>
      </c>
      <c r="J100" s="23">
        <v>12</v>
      </c>
      <c r="K100" s="23" t="s">
        <v>10</v>
      </c>
      <c r="L100" s="23">
        <v>10</v>
      </c>
      <c r="M100" s="23">
        <v>12</v>
      </c>
      <c r="N100" s="23">
        <v>10</v>
      </c>
      <c r="O100" s="23">
        <v>10</v>
      </c>
      <c r="P100" s="23">
        <v>10</v>
      </c>
      <c r="Q100" s="23">
        <v>10</v>
      </c>
      <c r="R100" s="23" t="s">
        <v>10</v>
      </c>
      <c r="S100" s="23">
        <v>10</v>
      </c>
      <c r="T100" s="23">
        <v>10</v>
      </c>
      <c r="U100" s="23">
        <v>8</v>
      </c>
      <c r="V100" s="23">
        <v>10</v>
      </c>
      <c r="W100" s="23">
        <v>10</v>
      </c>
      <c r="X100" s="23">
        <v>10</v>
      </c>
      <c r="Y100" s="23">
        <v>10</v>
      </c>
      <c r="Z100" s="23">
        <v>10</v>
      </c>
      <c r="AA100" s="23">
        <v>10</v>
      </c>
      <c r="AB100" s="23">
        <v>10</v>
      </c>
      <c r="AC100" s="23">
        <v>10</v>
      </c>
      <c r="AD100" s="23">
        <v>12</v>
      </c>
      <c r="AE100" s="23">
        <v>11</v>
      </c>
      <c r="AF100" s="23">
        <v>10</v>
      </c>
      <c r="AG100" s="23">
        <v>11</v>
      </c>
      <c r="AH100" s="23">
        <v>11</v>
      </c>
      <c r="AI100" s="22">
        <f t="shared" si="6"/>
        <v>298</v>
      </c>
      <c r="AJ100" s="2"/>
      <c r="AK100" s="14">
        <f t="shared" si="5"/>
        <v>0</v>
      </c>
      <c r="AL100" s="2" t="s">
        <v>458</v>
      </c>
    </row>
    <row r="101" spans="1:38" ht="19.899999999999999" customHeight="1" x14ac:dyDescent="0.25">
      <c r="A101" s="2">
        <v>99</v>
      </c>
      <c r="B101" s="7" t="s">
        <v>549</v>
      </c>
      <c r="C101" s="4" t="s">
        <v>540</v>
      </c>
      <c r="D101" s="2" t="s">
        <v>165</v>
      </c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>
        <v>10</v>
      </c>
      <c r="AD101" s="23">
        <v>12</v>
      </c>
      <c r="AE101" s="23"/>
      <c r="AF101" s="23"/>
      <c r="AG101" s="23"/>
      <c r="AH101" s="23"/>
      <c r="AI101" s="22">
        <f t="shared" si="6"/>
        <v>22</v>
      </c>
      <c r="AJ101" s="2"/>
      <c r="AK101" s="14">
        <f t="shared" si="5"/>
        <v>0</v>
      </c>
      <c r="AL101" s="2" t="s">
        <v>458</v>
      </c>
    </row>
    <row r="102" spans="1:38" ht="19.899999999999999" customHeight="1" x14ac:dyDescent="0.25">
      <c r="A102" s="2">
        <v>100</v>
      </c>
      <c r="B102" s="7" t="s">
        <v>177</v>
      </c>
      <c r="C102" s="4" t="s">
        <v>178</v>
      </c>
      <c r="D102" s="2" t="s">
        <v>165</v>
      </c>
      <c r="E102" s="23">
        <v>9.5</v>
      </c>
      <c r="F102" s="23">
        <v>9.5</v>
      </c>
      <c r="G102" s="23">
        <v>9.5</v>
      </c>
      <c r="H102" s="23">
        <v>9.5</v>
      </c>
      <c r="I102" s="23">
        <v>9.5</v>
      </c>
      <c r="J102" s="23">
        <v>9.5</v>
      </c>
      <c r="K102" s="23" t="s">
        <v>10</v>
      </c>
      <c r="L102" s="23">
        <v>9.5</v>
      </c>
      <c r="M102" s="23">
        <v>9.5</v>
      </c>
      <c r="N102" s="23">
        <v>9.5</v>
      </c>
      <c r="O102" s="23">
        <v>9.5</v>
      </c>
      <c r="P102" s="23">
        <v>9.5</v>
      </c>
      <c r="Q102" s="23">
        <v>9.5</v>
      </c>
      <c r="R102" s="23" t="s">
        <v>10</v>
      </c>
      <c r="S102" s="23">
        <v>11</v>
      </c>
      <c r="T102" s="23">
        <v>11</v>
      </c>
      <c r="U102" s="23">
        <v>11</v>
      </c>
      <c r="V102" s="23">
        <v>11</v>
      </c>
      <c r="W102" s="23">
        <v>11</v>
      </c>
      <c r="X102" s="23">
        <v>11</v>
      </c>
      <c r="Y102" s="23" t="s">
        <v>10</v>
      </c>
      <c r="Z102" s="23">
        <v>11</v>
      </c>
      <c r="AA102" s="23">
        <v>11</v>
      </c>
      <c r="AB102" s="23">
        <v>11</v>
      </c>
      <c r="AC102" s="23">
        <v>11</v>
      </c>
      <c r="AD102" s="23"/>
      <c r="AE102" s="23"/>
      <c r="AF102" s="23"/>
      <c r="AG102" s="23"/>
      <c r="AH102" s="23"/>
      <c r="AI102" s="22">
        <f t="shared" si="6"/>
        <v>224</v>
      </c>
      <c r="AJ102" s="2"/>
      <c r="AK102" s="14">
        <f t="shared" si="5"/>
        <v>0</v>
      </c>
      <c r="AL102" s="2" t="s">
        <v>284</v>
      </c>
    </row>
    <row r="103" spans="1:38" ht="19.899999999999999" customHeight="1" x14ac:dyDescent="0.25">
      <c r="A103" s="2">
        <v>101</v>
      </c>
      <c r="B103" s="7" t="s">
        <v>463</v>
      </c>
      <c r="C103" s="4" t="s">
        <v>464</v>
      </c>
      <c r="D103" s="2" t="s">
        <v>165</v>
      </c>
      <c r="E103" s="23">
        <v>11</v>
      </c>
      <c r="F103" s="23">
        <v>11</v>
      </c>
      <c r="G103" s="23">
        <v>11</v>
      </c>
      <c r="H103" s="23">
        <v>11</v>
      </c>
      <c r="I103" s="23">
        <v>11</v>
      </c>
      <c r="J103" s="23">
        <v>11</v>
      </c>
      <c r="K103" s="23" t="s">
        <v>10</v>
      </c>
      <c r="L103" s="23">
        <v>11</v>
      </c>
      <c r="M103" s="23" t="s">
        <v>32</v>
      </c>
      <c r="N103" s="23">
        <v>11</v>
      </c>
      <c r="O103" s="23">
        <v>11</v>
      </c>
      <c r="P103" s="23">
        <v>11</v>
      </c>
      <c r="Q103" s="23">
        <v>11</v>
      </c>
      <c r="R103" s="23" t="s">
        <v>10</v>
      </c>
      <c r="S103" s="23">
        <v>11</v>
      </c>
      <c r="T103" s="23">
        <v>11</v>
      </c>
      <c r="U103" s="23">
        <v>11</v>
      </c>
      <c r="V103" s="23">
        <v>11</v>
      </c>
      <c r="W103" s="23">
        <v>11</v>
      </c>
      <c r="X103" s="23">
        <v>11</v>
      </c>
      <c r="Y103" s="23" t="s">
        <v>10</v>
      </c>
      <c r="Z103" s="23">
        <v>11</v>
      </c>
      <c r="AA103" s="23">
        <v>11</v>
      </c>
      <c r="AB103" s="23">
        <v>11</v>
      </c>
      <c r="AC103" s="23">
        <v>11</v>
      </c>
      <c r="AD103" s="23"/>
      <c r="AE103" s="23"/>
      <c r="AF103" s="23"/>
      <c r="AG103" s="23"/>
      <c r="AH103" s="23"/>
      <c r="AI103" s="22">
        <f t="shared" si="6"/>
        <v>231</v>
      </c>
      <c r="AJ103" s="2"/>
      <c r="AK103" s="14">
        <f t="shared" si="5"/>
        <v>0</v>
      </c>
      <c r="AL103" s="2" t="s">
        <v>284</v>
      </c>
    </row>
    <row r="104" spans="1:38" ht="19.899999999999999" customHeight="1" x14ac:dyDescent="0.25">
      <c r="A104" s="2">
        <v>102</v>
      </c>
      <c r="B104" s="7" t="s">
        <v>239</v>
      </c>
      <c r="C104" s="4" t="s">
        <v>240</v>
      </c>
      <c r="D104" s="2" t="s">
        <v>165</v>
      </c>
      <c r="E104" s="23">
        <v>11</v>
      </c>
      <c r="F104" s="23">
        <v>11</v>
      </c>
      <c r="G104" s="23">
        <v>11</v>
      </c>
      <c r="H104" s="23">
        <v>11</v>
      </c>
      <c r="I104" s="23">
        <v>11</v>
      </c>
      <c r="J104" s="23">
        <v>11</v>
      </c>
      <c r="K104" s="23">
        <v>11</v>
      </c>
      <c r="L104" s="23">
        <v>11</v>
      </c>
      <c r="M104" s="23">
        <v>11</v>
      </c>
      <c r="N104" s="23">
        <v>11</v>
      </c>
      <c r="O104" s="23">
        <v>11</v>
      </c>
      <c r="P104" s="23">
        <v>11</v>
      </c>
      <c r="Q104" s="23">
        <v>11</v>
      </c>
      <c r="R104" s="23">
        <v>11</v>
      </c>
      <c r="S104" s="23">
        <v>11</v>
      </c>
      <c r="T104" s="23">
        <v>11</v>
      </c>
      <c r="U104" s="23">
        <v>11</v>
      </c>
      <c r="V104" s="23">
        <v>11</v>
      </c>
      <c r="W104" s="23">
        <v>11</v>
      </c>
      <c r="X104" s="23">
        <v>11</v>
      </c>
      <c r="Y104" s="23" t="s">
        <v>10</v>
      </c>
      <c r="Z104" s="23" t="s">
        <v>32</v>
      </c>
      <c r="AA104" s="23">
        <v>8</v>
      </c>
      <c r="AB104" s="23">
        <v>11</v>
      </c>
      <c r="AC104" s="23">
        <v>11</v>
      </c>
      <c r="AD104" s="23"/>
      <c r="AE104" s="23"/>
      <c r="AF104" s="23"/>
      <c r="AG104" s="23"/>
      <c r="AH104" s="23"/>
      <c r="AI104" s="22">
        <f t="shared" si="6"/>
        <v>250</v>
      </c>
      <c r="AJ104" s="2"/>
      <c r="AK104" s="14">
        <f t="shared" si="5"/>
        <v>0</v>
      </c>
      <c r="AL104" s="2" t="s">
        <v>284</v>
      </c>
    </row>
    <row r="105" spans="1:38" ht="19.899999999999999" customHeight="1" x14ac:dyDescent="0.25">
      <c r="A105" s="2">
        <v>103</v>
      </c>
      <c r="B105" s="7" t="s">
        <v>319</v>
      </c>
      <c r="C105" s="4" t="s">
        <v>320</v>
      </c>
      <c r="D105" s="2" t="s">
        <v>179</v>
      </c>
      <c r="E105" s="23">
        <v>12</v>
      </c>
      <c r="F105" s="23">
        <v>11</v>
      </c>
      <c r="G105" s="23">
        <v>12</v>
      </c>
      <c r="H105" s="23">
        <v>11</v>
      </c>
      <c r="I105" s="23">
        <v>11</v>
      </c>
      <c r="J105" s="23">
        <v>11</v>
      </c>
      <c r="K105" s="23">
        <v>11</v>
      </c>
      <c r="L105" s="23">
        <v>12</v>
      </c>
      <c r="M105" s="23">
        <v>11</v>
      </c>
      <c r="N105" s="23">
        <v>11</v>
      </c>
      <c r="O105" s="23">
        <v>12</v>
      </c>
      <c r="P105" s="23">
        <v>11</v>
      </c>
      <c r="Q105" s="23">
        <v>12</v>
      </c>
      <c r="R105" s="23">
        <v>11</v>
      </c>
      <c r="S105" s="23">
        <v>11</v>
      </c>
      <c r="T105" s="23">
        <v>12</v>
      </c>
      <c r="U105" s="23">
        <v>11</v>
      </c>
      <c r="V105" s="23" t="s">
        <v>32</v>
      </c>
      <c r="W105" s="23">
        <v>11</v>
      </c>
      <c r="X105" s="23">
        <v>11</v>
      </c>
      <c r="Y105" s="23" t="s">
        <v>10</v>
      </c>
      <c r="Z105" s="23">
        <v>11</v>
      </c>
      <c r="AA105" s="23">
        <v>11</v>
      </c>
      <c r="AB105" s="23">
        <v>11</v>
      </c>
      <c r="AC105" s="23">
        <v>12</v>
      </c>
      <c r="AD105" s="23"/>
      <c r="AE105" s="23"/>
      <c r="AF105" s="23"/>
      <c r="AG105" s="23"/>
      <c r="AH105" s="23"/>
      <c r="AI105" s="22">
        <f t="shared" si="6"/>
        <v>260</v>
      </c>
      <c r="AJ105" s="2"/>
      <c r="AK105" s="14">
        <f t="shared" si="5"/>
        <v>0</v>
      </c>
      <c r="AL105" s="2" t="s">
        <v>284</v>
      </c>
    </row>
    <row r="106" spans="1:38" ht="19.899999999999999" customHeight="1" x14ac:dyDescent="0.25">
      <c r="A106" s="2">
        <v>104</v>
      </c>
      <c r="B106" s="7" t="s">
        <v>180</v>
      </c>
      <c r="C106" s="4" t="s">
        <v>181</v>
      </c>
      <c r="D106" s="2" t="s">
        <v>165</v>
      </c>
      <c r="E106" s="23">
        <v>9.5</v>
      </c>
      <c r="F106" s="23">
        <v>9.5</v>
      </c>
      <c r="G106" s="23">
        <v>9.5</v>
      </c>
      <c r="H106" s="23" t="s">
        <v>32</v>
      </c>
      <c r="I106" s="23">
        <v>9.5</v>
      </c>
      <c r="J106" s="23">
        <v>9.5</v>
      </c>
      <c r="K106" s="23">
        <v>10</v>
      </c>
      <c r="L106" s="23">
        <v>9.5</v>
      </c>
      <c r="M106" s="23">
        <v>9.5</v>
      </c>
      <c r="N106" s="23">
        <v>9.5</v>
      </c>
      <c r="O106" s="23">
        <v>9.5</v>
      </c>
      <c r="P106" s="23">
        <v>9.5</v>
      </c>
      <c r="Q106" s="23">
        <v>9.5</v>
      </c>
      <c r="R106" s="23">
        <v>10</v>
      </c>
      <c r="S106" s="23">
        <v>11</v>
      </c>
      <c r="T106" s="23">
        <v>11</v>
      </c>
      <c r="U106" s="23">
        <v>11</v>
      </c>
      <c r="V106" s="23">
        <v>11</v>
      </c>
      <c r="W106" s="23">
        <v>11</v>
      </c>
      <c r="X106" s="23">
        <v>11</v>
      </c>
      <c r="Y106" s="23">
        <v>11</v>
      </c>
      <c r="Z106" s="23">
        <v>11</v>
      </c>
      <c r="AA106" s="23">
        <v>11</v>
      </c>
      <c r="AB106" s="23">
        <v>11</v>
      </c>
      <c r="AC106" s="23">
        <v>11</v>
      </c>
      <c r="AD106" s="23"/>
      <c r="AE106" s="23"/>
      <c r="AF106" s="23"/>
      <c r="AG106" s="23"/>
      <c r="AH106" s="23"/>
      <c r="AI106" s="22">
        <f t="shared" si="6"/>
        <v>245.5</v>
      </c>
      <c r="AJ106" s="2"/>
      <c r="AK106" s="14">
        <f t="shared" si="5"/>
        <v>0</v>
      </c>
      <c r="AL106" s="2" t="s">
        <v>284</v>
      </c>
    </row>
    <row r="107" spans="1:38" ht="19.899999999999999" customHeight="1" x14ac:dyDescent="0.25">
      <c r="A107" s="2">
        <v>105</v>
      </c>
      <c r="B107" s="2">
        <v>111</v>
      </c>
      <c r="C107" s="4" t="s">
        <v>214</v>
      </c>
      <c r="D107" s="2" t="s">
        <v>165</v>
      </c>
      <c r="E107" s="23">
        <v>11</v>
      </c>
      <c r="F107" s="23">
        <v>11</v>
      </c>
      <c r="G107" s="23">
        <v>11</v>
      </c>
      <c r="H107" s="23">
        <v>11</v>
      </c>
      <c r="I107" s="23">
        <v>11</v>
      </c>
      <c r="J107" s="23">
        <v>11</v>
      </c>
      <c r="K107" s="23" t="s">
        <v>10</v>
      </c>
      <c r="L107" s="23">
        <v>11</v>
      </c>
      <c r="M107" s="23">
        <v>11</v>
      </c>
      <c r="N107" s="23">
        <v>11</v>
      </c>
      <c r="O107" s="23">
        <v>11</v>
      </c>
      <c r="P107" s="23">
        <v>11</v>
      </c>
      <c r="Q107" s="23">
        <v>11</v>
      </c>
      <c r="R107" s="23" t="s">
        <v>10</v>
      </c>
      <c r="S107" s="23">
        <v>11</v>
      </c>
      <c r="T107" s="23">
        <v>11</v>
      </c>
      <c r="U107" s="23">
        <v>11</v>
      </c>
      <c r="V107" s="23">
        <v>11</v>
      </c>
      <c r="W107" s="23">
        <v>11</v>
      </c>
      <c r="X107" s="23">
        <v>11</v>
      </c>
      <c r="Y107" s="23" t="s">
        <v>10</v>
      </c>
      <c r="Z107" s="23">
        <v>11</v>
      </c>
      <c r="AA107" s="23">
        <v>11</v>
      </c>
      <c r="AB107" s="23">
        <v>11</v>
      </c>
      <c r="AC107" s="23">
        <v>11</v>
      </c>
      <c r="AD107" s="23"/>
      <c r="AE107" s="23"/>
      <c r="AF107" s="23"/>
      <c r="AG107" s="23"/>
      <c r="AH107" s="23"/>
      <c r="AI107" s="22">
        <f t="shared" si="6"/>
        <v>242</v>
      </c>
      <c r="AJ107" s="2"/>
      <c r="AK107" s="14">
        <f t="shared" si="5"/>
        <v>0</v>
      </c>
      <c r="AL107" s="2" t="s">
        <v>284</v>
      </c>
    </row>
    <row r="108" spans="1:38" ht="19.899999999999999" customHeight="1" x14ac:dyDescent="0.25">
      <c r="A108" s="2">
        <v>106</v>
      </c>
      <c r="B108" s="2" t="s">
        <v>262</v>
      </c>
      <c r="C108" s="4" t="s">
        <v>263</v>
      </c>
      <c r="D108" s="2" t="s">
        <v>165</v>
      </c>
      <c r="E108" s="23">
        <v>11</v>
      </c>
      <c r="F108" s="23">
        <v>11</v>
      </c>
      <c r="G108" s="23">
        <v>10</v>
      </c>
      <c r="H108" s="23">
        <v>11</v>
      </c>
      <c r="I108" s="23" t="s">
        <v>32</v>
      </c>
      <c r="J108" s="23">
        <v>11</v>
      </c>
      <c r="K108" s="23">
        <v>10</v>
      </c>
      <c r="L108" s="23">
        <v>11</v>
      </c>
      <c r="M108" s="23">
        <v>10</v>
      </c>
      <c r="N108" s="23">
        <v>11</v>
      </c>
      <c r="O108" s="23">
        <v>11</v>
      </c>
      <c r="P108" s="23">
        <v>11</v>
      </c>
      <c r="Q108" s="23">
        <v>11</v>
      </c>
      <c r="R108" s="23" t="s">
        <v>10</v>
      </c>
      <c r="S108" s="23">
        <v>11</v>
      </c>
      <c r="T108" s="23">
        <v>11</v>
      </c>
      <c r="U108" s="23">
        <v>11</v>
      </c>
      <c r="V108" s="23">
        <v>11</v>
      </c>
      <c r="W108" s="23"/>
      <c r="X108" s="23"/>
      <c r="Y108" s="23" t="s">
        <v>10</v>
      </c>
      <c r="Z108" s="23"/>
      <c r="AA108" s="23"/>
      <c r="AB108" s="23"/>
      <c r="AC108" s="23"/>
      <c r="AD108" s="23"/>
      <c r="AE108" s="23"/>
      <c r="AF108" s="23"/>
      <c r="AG108" s="23"/>
      <c r="AH108" s="23"/>
      <c r="AI108" s="22">
        <f t="shared" si="6"/>
        <v>173</v>
      </c>
      <c r="AJ108" s="2"/>
      <c r="AK108" s="14">
        <f t="shared" si="5"/>
        <v>0</v>
      </c>
      <c r="AL108" s="2" t="s">
        <v>284</v>
      </c>
    </row>
    <row r="109" spans="1:38" ht="19.899999999999999" customHeight="1" x14ac:dyDescent="0.25">
      <c r="A109" s="2">
        <v>107</v>
      </c>
      <c r="B109" s="2" t="s">
        <v>205</v>
      </c>
      <c r="C109" s="4" t="s">
        <v>417</v>
      </c>
      <c r="D109" s="2" t="s">
        <v>179</v>
      </c>
      <c r="E109" s="23">
        <v>11</v>
      </c>
      <c r="F109" s="23">
        <v>11</v>
      </c>
      <c r="G109" s="23">
        <v>11</v>
      </c>
      <c r="H109" s="23">
        <v>11</v>
      </c>
      <c r="I109" s="23">
        <v>11</v>
      </c>
      <c r="J109" s="23">
        <v>11</v>
      </c>
      <c r="K109" s="23" t="s">
        <v>10</v>
      </c>
      <c r="L109" s="23">
        <v>11</v>
      </c>
      <c r="M109" s="23">
        <v>11</v>
      </c>
      <c r="N109" s="23">
        <v>11</v>
      </c>
      <c r="O109" s="23">
        <v>11</v>
      </c>
      <c r="P109" s="23">
        <v>11</v>
      </c>
      <c r="Q109" s="23">
        <v>11</v>
      </c>
      <c r="R109" s="23" t="s">
        <v>10</v>
      </c>
      <c r="S109" s="23">
        <v>11</v>
      </c>
      <c r="T109" s="23">
        <v>11</v>
      </c>
      <c r="U109" s="23">
        <v>11</v>
      </c>
      <c r="V109" s="23">
        <v>11</v>
      </c>
      <c r="W109" s="23">
        <v>11</v>
      </c>
      <c r="X109" s="23">
        <v>11</v>
      </c>
      <c r="Y109" s="23" t="s">
        <v>10</v>
      </c>
      <c r="Z109" s="23">
        <v>11</v>
      </c>
      <c r="AA109" s="23">
        <v>11</v>
      </c>
      <c r="AB109" s="23">
        <v>11</v>
      </c>
      <c r="AC109" s="23">
        <v>12</v>
      </c>
      <c r="AD109" s="23"/>
      <c r="AE109" s="23"/>
      <c r="AF109" s="23"/>
      <c r="AG109" s="23"/>
      <c r="AH109" s="23"/>
      <c r="AI109" s="22">
        <f t="shared" si="6"/>
        <v>243</v>
      </c>
      <c r="AJ109" s="2"/>
      <c r="AK109" s="14">
        <f t="shared" si="5"/>
        <v>0</v>
      </c>
      <c r="AL109" s="2" t="s">
        <v>284</v>
      </c>
    </row>
    <row r="110" spans="1:38" ht="19.899999999999999" customHeight="1" x14ac:dyDescent="0.25">
      <c r="A110" s="2">
        <v>108</v>
      </c>
      <c r="B110" s="7" t="s">
        <v>276</v>
      </c>
      <c r="C110" s="4" t="s">
        <v>277</v>
      </c>
      <c r="D110" s="2" t="s">
        <v>165</v>
      </c>
      <c r="E110" s="23">
        <v>11</v>
      </c>
      <c r="F110" s="23">
        <v>11</v>
      </c>
      <c r="G110" s="23">
        <v>11</v>
      </c>
      <c r="H110" s="23">
        <v>11</v>
      </c>
      <c r="I110" s="23">
        <v>11</v>
      </c>
      <c r="J110" s="23">
        <v>11</v>
      </c>
      <c r="K110" s="23">
        <v>11</v>
      </c>
      <c r="L110" s="23" t="s">
        <v>32</v>
      </c>
      <c r="M110" s="23">
        <v>11</v>
      </c>
      <c r="N110" s="23"/>
      <c r="O110" s="23"/>
      <c r="P110" s="23"/>
      <c r="Q110" s="23"/>
      <c r="R110" s="23" t="s">
        <v>10</v>
      </c>
      <c r="S110" s="23"/>
      <c r="T110" s="23"/>
      <c r="U110" s="23"/>
      <c r="V110" s="23"/>
      <c r="W110" s="23"/>
      <c r="X110" s="23"/>
      <c r="Y110" s="23" t="s">
        <v>10</v>
      </c>
      <c r="Z110" s="23"/>
      <c r="AA110" s="23"/>
      <c r="AB110" s="23"/>
      <c r="AC110" s="23"/>
      <c r="AD110" s="23"/>
      <c r="AE110" s="23"/>
      <c r="AF110" s="23"/>
      <c r="AG110" s="23"/>
      <c r="AH110" s="23"/>
      <c r="AI110" s="22">
        <f t="shared" si="6"/>
        <v>88</v>
      </c>
      <c r="AJ110" s="2"/>
      <c r="AK110" s="14">
        <f t="shared" si="5"/>
        <v>0</v>
      </c>
      <c r="AL110" s="2" t="s">
        <v>284</v>
      </c>
    </row>
    <row r="111" spans="1:38" ht="19.899999999999999" customHeight="1" x14ac:dyDescent="0.25">
      <c r="A111" s="2">
        <v>109</v>
      </c>
      <c r="B111" s="2" t="s">
        <v>186</v>
      </c>
      <c r="C111" s="4" t="s">
        <v>187</v>
      </c>
      <c r="D111" s="2" t="s">
        <v>165</v>
      </c>
      <c r="E111" s="23">
        <v>9.5</v>
      </c>
      <c r="F111" s="23">
        <v>9.5</v>
      </c>
      <c r="G111" s="23">
        <v>9.5</v>
      </c>
      <c r="H111" s="23">
        <v>9.5</v>
      </c>
      <c r="I111" s="23">
        <v>9.5</v>
      </c>
      <c r="J111" s="23">
        <v>9.5</v>
      </c>
      <c r="K111" s="23">
        <v>10</v>
      </c>
      <c r="L111" s="23">
        <v>9.5</v>
      </c>
      <c r="M111" s="23">
        <v>9.5</v>
      </c>
      <c r="N111" s="23">
        <v>9.5</v>
      </c>
      <c r="O111" s="23">
        <v>9.5</v>
      </c>
      <c r="P111" s="23">
        <v>9.5</v>
      </c>
      <c r="Q111" s="23">
        <v>9.5</v>
      </c>
      <c r="R111" s="23">
        <v>10</v>
      </c>
      <c r="S111" s="23">
        <v>11</v>
      </c>
      <c r="T111" s="23">
        <v>11</v>
      </c>
      <c r="U111" s="23">
        <v>11</v>
      </c>
      <c r="V111" s="23">
        <v>11</v>
      </c>
      <c r="W111" s="23">
        <v>11</v>
      </c>
      <c r="X111" s="23">
        <v>11</v>
      </c>
      <c r="Y111" s="23">
        <v>11</v>
      </c>
      <c r="Z111" s="23">
        <v>11</v>
      </c>
      <c r="AA111" s="23">
        <v>11</v>
      </c>
      <c r="AB111" s="23">
        <v>11</v>
      </c>
      <c r="AC111" s="23">
        <v>11</v>
      </c>
      <c r="AD111" s="23"/>
      <c r="AE111" s="23"/>
      <c r="AF111" s="23"/>
      <c r="AG111" s="23"/>
      <c r="AH111" s="23"/>
      <c r="AI111" s="22">
        <f t="shared" si="6"/>
        <v>255</v>
      </c>
      <c r="AJ111" s="2"/>
      <c r="AK111" s="14">
        <f t="shared" si="5"/>
        <v>0</v>
      </c>
      <c r="AL111" s="2" t="s">
        <v>284</v>
      </c>
    </row>
    <row r="112" spans="1:38" ht="19.899999999999999" customHeight="1" x14ac:dyDescent="0.25">
      <c r="A112" s="2">
        <v>110</v>
      </c>
      <c r="B112" s="7">
        <v>223</v>
      </c>
      <c r="C112" s="4" t="s">
        <v>499</v>
      </c>
      <c r="D112" s="2" t="s">
        <v>84</v>
      </c>
      <c r="E112" s="23">
        <v>11</v>
      </c>
      <c r="F112" s="23">
        <v>11</v>
      </c>
      <c r="G112" s="23">
        <v>11</v>
      </c>
      <c r="H112" s="23">
        <v>11</v>
      </c>
      <c r="I112" s="23">
        <v>11</v>
      </c>
      <c r="J112" s="23">
        <v>11</v>
      </c>
      <c r="K112" s="23">
        <v>11</v>
      </c>
      <c r="L112" s="23">
        <v>11</v>
      </c>
      <c r="M112" s="23">
        <v>11</v>
      </c>
      <c r="N112" s="23" t="s">
        <v>32</v>
      </c>
      <c r="O112" s="23" t="s">
        <v>32</v>
      </c>
      <c r="P112" s="23">
        <v>11</v>
      </c>
      <c r="Q112" s="23">
        <v>11</v>
      </c>
      <c r="R112" s="23" t="s">
        <v>10</v>
      </c>
      <c r="S112" s="23" t="s">
        <v>32</v>
      </c>
      <c r="T112" s="23" t="s">
        <v>32</v>
      </c>
      <c r="U112" s="23">
        <v>11</v>
      </c>
      <c r="V112" s="23">
        <v>11</v>
      </c>
      <c r="W112" s="23">
        <v>11</v>
      </c>
      <c r="X112" s="23">
        <v>11</v>
      </c>
      <c r="Y112" s="23" t="s">
        <v>10</v>
      </c>
      <c r="Z112" s="23">
        <v>11</v>
      </c>
      <c r="AA112" s="23">
        <v>11</v>
      </c>
      <c r="AB112" s="23">
        <v>11</v>
      </c>
      <c r="AC112" s="23">
        <v>11</v>
      </c>
      <c r="AD112" s="23"/>
      <c r="AE112" s="23"/>
      <c r="AF112" s="23"/>
      <c r="AG112" s="23"/>
      <c r="AH112" s="23"/>
      <c r="AI112" s="22">
        <f t="shared" si="6"/>
        <v>209</v>
      </c>
      <c r="AJ112" s="2"/>
      <c r="AK112" s="14">
        <f t="shared" si="5"/>
        <v>0</v>
      </c>
      <c r="AL112" s="2" t="s">
        <v>284</v>
      </c>
    </row>
    <row r="113" spans="1:38" ht="19.899999999999999" customHeight="1" x14ac:dyDescent="0.25">
      <c r="A113" s="2">
        <v>111</v>
      </c>
      <c r="B113" s="7" t="s">
        <v>168</v>
      </c>
      <c r="C113" s="4" t="s">
        <v>368</v>
      </c>
      <c r="D113" s="2" t="s">
        <v>165</v>
      </c>
      <c r="E113" s="23">
        <v>11</v>
      </c>
      <c r="F113" s="23">
        <v>12</v>
      </c>
      <c r="G113" s="23">
        <v>11</v>
      </c>
      <c r="H113" s="23">
        <v>11</v>
      </c>
      <c r="I113" s="23" t="s">
        <v>32</v>
      </c>
      <c r="J113" s="23">
        <v>11</v>
      </c>
      <c r="K113" s="23">
        <v>12</v>
      </c>
      <c r="L113" s="23">
        <v>11</v>
      </c>
      <c r="M113" s="23">
        <v>11</v>
      </c>
      <c r="N113" s="23">
        <v>11</v>
      </c>
      <c r="O113" s="23">
        <v>11</v>
      </c>
      <c r="P113" s="23">
        <v>11</v>
      </c>
      <c r="Q113" s="23">
        <v>11</v>
      </c>
      <c r="R113" s="23">
        <v>12</v>
      </c>
      <c r="S113" s="23">
        <v>11</v>
      </c>
      <c r="T113" s="23">
        <v>11</v>
      </c>
      <c r="U113" s="23" t="s">
        <v>32</v>
      </c>
      <c r="V113" s="23">
        <v>11</v>
      </c>
      <c r="W113" s="23">
        <v>11</v>
      </c>
      <c r="X113" s="23">
        <v>11</v>
      </c>
      <c r="Y113" s="23">
        <v>12</v>
      </c>
      <c r="Z113" s="23">
        <v>11</v>
      </c>
      <c r="AA113" s="23">
        <v>11</v>
      </c>
      <c r="AB113" s="23">
        <v>12</v>
      </c>
      <c r="AC113" s="23">
        <v>11</v>
      </c>
      <c r="AD113" s="23"/>
      <c r="AE113" s="23"/>
      <c r="AF113" s="23"/>
      <c r="AG113" s="23"/>
      <c r="AH113" s="23"/>
      <c r="AI113" s="22">
        <f t="shared" si="6"/>
        <v>258</v>
      </c>
      <c r="AJ113" s="2"/>
      <c r="AK113" s="14">
        <f t="shared" si="5"/>
        <v>0</v>
      </c>
      <c r="AL113" s="2" t="s">
        <v>284</v>
      </c>
    </row>
    <row r="114" spans="1:38" ht="19.899999999999999" customHeight="1" x14ac:dyDescent="0.25">
      <c r="A114" s="2">
        <v>112</v>
      </c>
      <c r="B114" s="7" t="s">
        <v>260</v>
      </c>
      <c r="C114" s="4" t="s">
        <v>261</v>
      </c>
      <c r="D114" s="2" t="s">
        <v>165</v>
      </c>
      <c r="E114" s="23">
        <v>11</v>
      </c>
      <c r="F114" s="23">
        <v>12</v>
      </c>
      <c r="G114" s="23">
        <v>11</v>
      </c>
      <c r="H114" s="23">
        <v>11</v>
      </c>
      <c r="I114" s="23">
        <v>11</v>
      </c>
      <c r="J114" s="23">
        <v>11</v>
      </c>
      <c r="K114" s="23">
        <v>12</v>
      </c>
      <c r="L114" s="23">
        <v>8</v>
      </c>
      <c r="M114" s="23" t="s">
        <v>32</v>
      </c>
      <c r="N114" s="23">
        <v>11</v>
      </c>
      <c r="O114" s="23">
        <v>11</v>
      </c>
      <c r="P114" s="23">
        <v>11</v>
      </c>
      <c r="Q114" s="23">
        <v>11</v>
      </c>
      <c r="R114" s="23">
        <v>11</v>
      </c>
      <c r="S114" s="23">
        <v>11</v>
      </c>
      <c r="T114" s="23">
        <v>11</v>
      </c>
      <c r="U114" s="23">
        <v>11</v>
      </c>
      <c r="V114" s="23">
        <v>11</v>
      </c>
      <c r="W114" s="23">
        <v>11</v>
      </c>
      <c r="X114" s="23">
        <v>11</v>
      </c>
      <c r="Y114" s="23">
        <v>12</v>
      </c>
      <c r="Z114" s="23">
        <v>11</v>
      </c>
      <c r="AA114" s="23" t="s">
        <v>32</v>
      </c>
      <c r="AB114" s="23">
        <v>11</v>
      </c>
      <c r="AC114" s="23">
        <v>11</v>
      </c>
      <c r="AD114" s="23"/>
      <c r="AE114" s="23"/>
      <c r="AF114" s="23"/>
      <c r="AG114" s="23"/>
      <c r="AH114" s="23"/>
      <c r="AI114" s="22">
        <f t="shared" si="6"/>
        <v>253</v>
      </c>
      <c r="AJ114" s="2"/>
      <c r="AK114" s="14">
        <f t="shared" si="5"/>
        <v>0</v>
      </c>
      <c r="AL114" s="2" t="s">
        <v>284</v>
      </c>
    </row>
    <row r="115" spans="1:38" ht="19.899999999999999" customHeight="1" x14ac:dyDescent="0.25">
      <c r="A115" s="2">
        <v>113</v>
      </c>
      <c r="B115" s="7">
        <v>246</v>
      </c>
      <c r="C115" s="4" t="s">
        <v>500</v>
      </c>
      <c r="D115" s="2" t="s">
        <v>165</v>
      </c>
      <c r="E115" s="23">
        <v>11</v>
      </c>
      <c r="F115" s="23">
        <v>11</v>
      </c>
      <c r="G115" s="23">
        <v>11</v>
      </c>
      <c r="H115" s="23">
        <v>11</v>
      </c>
      <c r="I115" s="23">
        <v>11</v>
      </c>
      <c r="J115" s="23">
        <v>11</v>
      </c>
      <c r="K115" s="23" t="s">
        <v>10</v>
      </c>
      <c r="L115" s="23">
        <v>11</v>
      </c>
      <c r="M115" s="23">
        <v>11</v>
      </c>
      <c r="N115" s="23">
        <v>11</v>
      </c>
      <c r="O115" s="23">
        <v>11</v>
      </c>
      <c r="P115" s="23">
        <v>11</v>
      </c>
      <c r="Q115" s="23">
        <v>11</v>
      </c>
      <c r="R115" s="23">
        <v>11</v>
      </c>
      <c r="S115" s="23">
        <v>11</v>
      </c>
      <c r="T115" s="23">
        <v>11</v>
      </c>
      <c r="U115" s="23">
        <v>11</v>
      </c>
      <c r="V115" s="23">
        <v>11</v>
      </c>
      <c r="W115" s="23">
        <v>11</v>
      </c>
      <c r="X115" s="23">
        <v>11</v>
      </c>
      <c r="Y115" s="23" t="s">
        <v>10</v>
      </c>
      <c r="Z115" s="23">
        <v>11</v>
      </c>
      <c r="AA115" s="23">
        <v>11</v>
      </c>
      <c r="AB115" s="23">
        <v>11</v>
      </c>
      <c r="AC115" s="23">
        <v>11</v>
      </c>
      <c r="AD115" s="23"/>
      <c r="AE115" s="23"/>
      <c r="AF115" s="23"/>
      <c r="AG115" s="23"/>
      <c r="AH115" s="23"/>
      <c r="AI115" s="22">
        <f t="shared" si="6"/>
        <v>253</v>
      </c>
      <c r="AJ115" s="2"/>
      <c r="AK115" s="14">
        <f t="shared" si="5"/>
        <v>0</v>
      </c>
      <c r="AL115" s="2" t="s">
        <v>284</v>
      </c>
    </row>
    <row r="116" spans="1:38" ht="19.899999999999999" customHeight="1" x14ac:dyDescent="0.25">
      <c r="A116" s="2">
        <v>114</v>
      </c>
      <c r="B116" s="7" t="s">
        <v>268</v>
      </c>
      <c r="C116" s="4" t="s">
        <v>269</v>
      </c>
      <c r="D116" s="2" t="s">
        <v>165</v>
      </c>
      <c r="E116" s="23">
        <v>11</v>
      </c>
      <c r="F116" s="23">
        <v>12</v>
      </c>
      <c r="G116" s="23">
        <v>11</v>
      </c>
      <c r="H116" s="23">
        <v>11</v>
      </c>
      <c r="I116" s="23">
        <v>11</v>
      </c>
      <c r="J116" s="23">
        <v>11</v>
      </c>
      <c r="K116" s="23">
        <v>12</v>
      </c>
      <c r="L116" s="23">
        <v>11</v>
      </c>
      <c r="M116" s="23">
        <v>11</v>
      </c>
      <c r="N116" s="23">
        <v>11</v>
      </c>
      <c r="O116" s="23">
        <v>11</v>
      </c>
      <c r="P116" s="23">
        <v>11</v>
      </c>
      <c r="Q116" s="23">
        <v>11</v>
      </c>
      <c r="R116" s="23">
        <v>12</v>
      </c>
      <c r="S116" s="23">
        <v>11</v>
      </c>
      <c r="T116" s="23">
        <v>11</v>
      </c>
      <c r="U116" s="23">
        <v>11</v>
      </c>
      <c r="V116" s="23">
        <v>11</v>
      </c>
      <c r="W116" s="23">
        <v>11</v>
      </c>
      <c r="X116" s="23">
        <v>11</v>
      </c>
      <c r="Y116" s="23">
        <v>12</v>
      </c>
      <c r="Z116" s="23">
        <v>11</v>
      </c>
      <c r="AA116" s="23">
        <v>11</v>
      </c>
      <c r="AB116" s="23">
        <v>12</v>
      </c>
      <c r="AC116" s="23">
        <v>11</v>
      </c>
      <c r="AD116" s="23"/>
      <c r="AE116" s="23"/>
      <c r="AF116" s="23"/>
      <c r="AG116" s="23"/>
      <c r="AH116" s="23"/>
      <c r="AI116" s="22">
        <f t="shared" si="6"/>
        <v>280</v>
      </c>
      <c r="AJ116" s="2"/>
      <c r="AK116" s="14">
        <f t="shared" si="5"/>
        <v>0</v>
      </c>
      <c r="AL116" s="2" t="s">
        <v>284</v>
      </c>
    </row>
    <row r="117" spans="1:38" ht="19.899999999999999" customHeight="1" x14ac:dyDescent="0.25">
      <c r="A117" s="2">
        <v>115</v>
      </c>
      <c r="B117" s="7" t="s">
        <v>265</v>
      </c>
      <c r="C117" s="4" t="s">
        <v>266</v>
      </c>
      <c r="D117" s="2" t="s">
        <v>165</v>
      </c>
      <c r="E117" s="23" t="s">
        <v>32</v>
      </c>
      <c r="F117" s="23">
        <v>11</v>
      </c>
      <c r="G117" s="23">
        <v>11</v>
      </c>
      <c r="H117" s="23">
        <v>11</v>
      </c>
      <c r="I117" s="23">
        <v>11</v>
      </c>
      <c r="J117" s="23">
        <v>11</v>
      </c>
      <c r="K117" s="23" t="s">
        <v>10</v>
      </c>
      <c r="L117" s="23" t="s">
        <v>32</v>
      </c>
      <c r="M117" s="23" t="s">
        <v>32</v>
      </c>
      <c r="N117" s="23">
        <v>11</v>
      </c>
      <c r="O117" s="23">
        <v>11</v>
      </c>
      <c r="P117" s="23">
        <v>11</v>
      </c>
      <c r="Q117" s="23"/>
      <c r="R117" s="23" t="s">
        <v>10</v>
      </c>
      <c r="S117" s="23"/>
      <c r="T117" s="23"/>
      <c r="U117" s="23"/>
      <c r="V117" s="23"/>
      <c r="W117" s="23"/>
      <c r="X117" s="23"/>
      <c r="Y117" s="23" t="s">
        <v>10</v>
      </c>
      <c r="Z117" s="23"/>
      <c r="AA117" s="23"/>
      <c r="AB117" s="23"/>
      <c r="AC117" s="23"/>
      <c r="AD117" s="23"/>
      <c r="AE117" s="23"/>
      <c r="AF117" s="23"/>
      <c r="AG117" s="23"/>
      <c r="AH117" s="23"/>
      <c r="AI117" s="22">
        <f t="shared" si="6"/>
        <v>88</v>
      </c>
      <c r="AJ117" s="2"/>
      <c r="AK117" s="14">
        <f t="shared" si="5"/>
        <v>0</v>
      </c>
      <c r="AL117" s="2" t="s">
        <v>284</v>
      </c>
    </row>
    <row r="118" spans="1:38" ht="19.899999999999999" customHeight="1" x14ac:dyDescent="0.25">
      <c r="A118" s="2">
        <v>116</v>
      </c>
      <c r="B118" s="7" t="s">
        <v>272</v>
      </c>
      <c r="C118" s="4" t="s">
        <v>197</v>
      </c>
      <c r="D118" s="2" t="s">
        <v>165</v>
      </c>
      <c r="E118" s="23">
        <v>11</v>
      </c>
      <c r="F118" s="23">
        <v>11</v>
      </c>
      <c r="G118" s="23">
        <v>11</v>
      </c>
      <c r="H118" s="23">
        <v>11</v>
      </c>
      <c r="I118" s="23">
        <v>11</v>
      </c>
      <c r="J118" s="23">
        <v>11</v>
      </c>
      <c r="K118" s="23" t="s">
        <v>10</v>
      </c>
      <c r="L118" s="23">
        <v>11</v>
      </c>
      <c r="M118" s="23">
        <v>11</v>
      </c>
      <c r="N118" s="23">
        <v>11</v>
      </c>
      <c r="O118" s="23">
        <v>11</v>
      </c>
      <c r="P118" s="23">
        <v>11</v>
      </c>
      <c r="Q118" s="23">
        <v>11</v>
      </c>
      <c r="R118" s="23" t="s">
        <v>10</v>
      </c>
      <c r="S118" s="23">
        <v>11</v>
      </c>
      <c r="T118" s="23">
        <v>11</v>
      </c>
      <c r="U118" s="23">
        <v>11</v>
      </c>
      <c r="V118" s="23">
        <v>11</v>
      </c>
      <c r="W118" s="23">
        <v>11</v>
      </c>
      <c r="X118" s="23">
        <v>11</v>
      </c>
      <c r="Y118" s="23">
        <v>11</v>
      </c>
      <c r="Z118" s="23">
        <v>11</v>
      </c>
      <c r="AA118" s="23">
        <v>11</v>
      </c>
      <c r="AB118" s="23">
        <v>11</v>
      </c>
      <c r="AC118" s="23">
        <v>11</v>
      </c>
      <c r="AD118" s="23"/>
      <c r="AE118" s="23"/>
      <c r="AF118" s="23"/>
      <c r="AG118" s="23"/>
      <c r="AH118" s="23"/>
      <c r="AI118" s="22">
        <f t="shared" si="6"/>
        <v>253</v>
      </c>
      <c r="AJ118" s="2"/>
      <c r="AK118" s="14">
        <f t="shared" si="5"/>
        <v>0</v>
      </c>
      <c r="AL118" s="2" t="s">
        <v>284</v>
      </c>
    </row>
    <row r="119" spans="1:38" ht="19.899999999999999" customHeight="1" x14ac:dyDescent="0.25">
      <c r="A119" s="2">
        <v>117</v>
      </c>
      <c r="B119" s="2">
        <v>261</v>
      </c>
      <c r="C119" s="4" t="s">
        <v>279</v>
      </c>
      <c r="D119" s="2" t="s">
        <v>165</v>
      </c>
      <c r="E119" s="23">
        <v>11</v>
      </c>
      <c r="F119" s="23">
        <v>11</v>
      </c>
      <c r="G119" s="23">
        <v>11</v>
      </c>
      <c r="H119" s="23">
        <v>11</v>
      </c>
      <c r="I119" s="23" t="s">
        <v>32</v>
      </c>
      <c r="J119" s="23">
        <v>11</v>
      </c>
      <c r="K119" s="23" t="s">
        <v>10</v>
      </c>
      <c r="L119" s="23">
        <v>11</v>
      </c>
      <c r="M119" s="23">
        <v>11</v>
      </c>
      <c r="N119" s="23"/>
      <c r="O119" s="23"/>
      <c r="P119" s="23"/>
      <c r="Q119" s="23"/>
      <c r="R119" s="23" t="s">
        <v>10</v>
      </c>
      <c r="S119" s="23"/>
      <c r="T119" s="23"/>
      <c r="U119" s="23"/>
      <c r="V119" s="23"/>
      <c r="W119" s="23"/>
      <c r="X119" s="23"/>
      <c r="Y119" s="23" t="s">
        <v>10</v>
      </c>
      <c r="Z119" s="23"/>
      <c r="AA119" s="23"/>
      <c r="AB119" s="23"/>
      <c r="AC119" s="23"/>
      <c r="AD119" s="23"/>
      <c r="AE119" s="23"/>
      <c r="AF119" s="23"/>
      <c r="AG119" s="23"/>
      <c r="AH119" s="23"/>
      <c r="AI119" s="22">
        <f t="shared" si="6"/>
        <v>77</v>
      </c>
      <c r="AJ119" s="2"/>
      <c r="AK119" s="14">
        <f t="shared" si="5"/>
        <v>0</v>
      </c>
      <c r="AL119" s="2" t="s">
        <v>284</v>
      </c>
    </row>
    <row r="120" spans="1:38" ht="19.899999999999999" customHeight="1" x14ac:dyDescent="0.25">
      <c r="A120" s="2">
        <v>118</v>
      </c>
      <c r="B120" s="2">
        <v>275</v>
      </c>
      <c r="C120" s="4" t="s">
        <v>259</v>
      </c>
      <c r="D120" s="2" t="s">
        <v>165</v>
      </c>
      <c r="E120" s="23">
        <v>11</v>
      </c>
      <c r="F120" s="23">
        <v>11</v>
      </c>
      <c r="G120" s="23">
        <v>11</v>
      </c>
      <c r="H120" s="23">
        <v>11</v>
      </c>
      <c r="I120" s="23">
        <v>11</v>
      </c>
      <c r="J120" s="23">
        <v>11</v>
      </c>
      <c r="K120" s="23" t="s">
        <v>10</v>
      </c>
      <c r="L120" s="23">
        <v>11</v>
      </c>
      <c r="M120" s="23">
        <v>11</v>
      </c>
      <c r="N120" s="23">
        <v>11</v>
      </c>
      <c r="O120" s="23">
        <v>11</v>
      </c>
      <c r="P120" s="23">
        <v>11</v>
      </c>
      <c r="Q120" s="23">
        <v>11</v>
      </c>
      <c r="R120" s="23" t="s">
        <v>10</v>
      </c>
      <c r="S120" s="23">
        <v>11</v>
      </c>
      <c r="T120" s="23">
        <v>11</v>
      </c>
      <c r="U120" s="23">
        <v>11</v>
      </c>
      <c r="V120" s="23">
        <v>11</v>
      </c>
      <c r="W120" s="23">
        <v>11</v>
      </c>
      <c r="X120" s="23">
        <v>11</v>
      </c>
      <c r="Y120" s="23" t="s">
        <v>10</v>
      </c>
      <c r="Z120" s="23">
        <v>11</v>
      </c>
      <c r="AA120" s="23">
        <v>11</v>
      </c>
      <c r="AB120" s="23">
        <v>11</v>
      </c>
      <c r="AC120" s="23">
        <v>11</v>
      </c>
      <c r="AD120" s="23"/>
      <c r="AE120" s="23"/>
      <c r="AF120" s="23"/>
      <c r="AG120" s="23"/>
      <c r="AH120" s="23"/>
      <c r="AI120" s="22">
        <f t="shared" si="6"/>
        <v>242</v>
      </c>
      <c r="AJ120" s="2"/>
      <c r="AK120" s="14">
        <f t="shared" si="5"/>
        <v>0</v>
      </c>
      <c r="AL120" s="2" t="s">
        <v>284</v>
      </c>
    </row>
    <row r="121" spans="1:38" ht="19.899999999999999" customHeight="1" x14ac:dyDescent="0.25">
      <c r="A121" s="2">
        <v>119</v>
      </c>
      <c r="B121" s="7">
        <v>277</v>
      </c>
      <c r="C121" s="4" t="s">
        <v>501</v>
      </c>
      <c r="D121" s="2" t="s">
        <v>165</v>
      </c>
      <c r="E121" s="23">
        <v>11</v>
      </c>
      <c r="F121" s="23">
        <v>11</v>
      </c>
      <c r="G121" s="23">
        <v>11</v>
      </c>
      <c r="H121" s="23">
        <v>11</v>
      </c>
      <c r="I121" s="23" t="s">
        <v>32</v>
      </c>
      <c r="J121" s="23">
        <v>11</v>
      </c>
      <c r="K121" s="23" t="s">
        <v>10</v>
      </c>
      <c r="L121" s="23">
        <v>11</v>
      </c>
      <c r="M121" s="23">
        <v>11</v>
      </c>
      <c r="N121" s="23">
        <v>11</v>
      </c>
      <c r="O121" s="23">
        <v>11</v>
      </c>
      <c r="P121" s="23">
        <v>11</v>
      </c>
      <c r="Q121" s="23" t="s">
        <v>32</v>
      </c>
      <c r="R121" s="23" t="s">
        <v>10</v>
      </c>
      <c r="S121" s="23">
        <v>11</v>
      </c>
      <c r="T121" s="23">
        <v>11</v>
      </c>
      <c r="U121" s="23">
        <v>11</v>
      </c>
      <c r="V121" s="23">
        <v>11</v>
      </c>
      <c r="W121" s="23">
        <v>11</v>
      </c>
      <c r="X121" s="23">
        <v>11</v>
      </c>
      <c r="Y121" s="23" t="s">
        <v>10</v>
      </c>
      <c r="Z121" s="23" t="s">
        <v>32</v>
      </c>
      <c r="AA121" s="23">
        <v>11</v>
      </c>
      <c r="AB121" s="23">
        <v>11</v>
      </c>
      <c r="AC121" s="23">
        <v>11</v>
      </c>
      <c r="AD121" s="23"/>
      <c r="AE121" s="23"/>
      <c r="AF121" s="23"/>
      <c r="AG121" s="23"/>
      <c r="AH121" s="23"/>
      <c r="AI121" s="22">
        <f t="shared" si="6"/>
        <v>209</v>
      </c>
      <c r="AJ121" s="2"/>
      <c r="AK121" s="14">
        <f t="shared" si="5"/>
        <v>0</v>
      </c>
      <c r="AL121" s="2" t="s">
        <v>284</v>
      </c>
    </row>
    <row r="122" spans="1:38" ht="19.899999999999999" customHeight="1" x14ac:dyDescent="0.25">
      <c r="A122" s="2">
        <v>120</v>
      </c>
      <c r="B122" s="7" t="s">
        <v>280</v>
      </c>
      <c r="C122" s="4" t="s">
        <v>281</v>
      </c>
      <c r="D122" s="2" t="s">
        <v>165</v>
      </c>
      <c r="E122" s="23">
        <v>11</v>
      </c>
      <c r="F122" s="23">
        <v>11</v>
      </c>
      <c r="G122" s="23">
        <v>11</v>
      </c>
      <c r="H122" s="23">
        <v>11</v>
      </c>
      <c r="I122" s="23">
        <v>11</v>
      </c>
      <c r="J122" s="23">
        <v>11</v>
      </c>
      <c r="K122" s="23">
        <v>11</v>
      </c>
      <c r="L122" s="23" t="s">
        <v>32</v>
      </c>
      <c r="M122" s="23">
        <v>11</v>
      </c>
      <c r="N122" s="23">
        <v>11</v>
      </c>
      <c r="O122" s="23">
        <v>11</v>
      </c>
      <c r="P122" s="23">
        <v>11</v>
      </c>
      <c r="Q122" s="23">
        <v>11</v>
      </c>
      <c r="R122" s="23">
        <v>11</v>
      </c>
      <c r="S122" s="23">
        <v>11</v>
      </c>
      <c r="T122" s="23">
        <v>11</v>
      </c>
      <c r="U122" s="23">
        <v>11</v>
      </c>
      <c r="V122" s="23">
        <v>11</v>
      </c>
      <c r="W122" s="23">
        <v>11</v>
      </c>
      <c r="X122" s="23">
        <v>11</v>
      </c>
      <c r="Y122" s="23">
        <v>11</v>
      </c>
      <c r="Z122" s="23" t="s">
        <v>32</v>
      </c>
      <c r="AA122" s="23">
        <v>11</v>
      </c>
      <c r="AB122" s="23">
        <v>11</v>
      </c>
      <c r="AC122" s="23">
        <v>11</v>
      </c>
      <c r="AD122" s="23"/>
      <c r="AE122" s="23"/>
      <c r="AF122" s="23"/>
      <c r="AG122" s="23"/>
      <c r="AH122" s="23"/>
      <c r="AI122" s="22">
        <f t="shared" si="6"/>
        <v>253</v>
      </c>
      <c r="AJ122" s="2"/>
      <c r="AK122" s="14">
        <f t="shared" si="5"/>
        <v>0</v>
      </c>
      <c r="AL122" s="2" t="s">
        <v>284</v>
      </c>
    </row>
    <row r="123" spans="1:38" ht="19.899999999999999" customHeight="1" x14ac:dyDescent="0.25">
      <c r="A123" s="2">
        <v>121</v>
      </c>
      <c r="B123" s="7" t="s">
        <v>235</v>
      </c>
      <c r="C123" s="4" t="s">
        <v>236</v>
      </c>
      <c r="D123" s="2" t="s">
        <v>165</v>
      </c>
      <c r="E123" s="23">
        <v>11</v>
      </c>
      <c r="F123" s="23">
        <v>11</v>
      </c>
      <c r="G123" s="23">
        <v>11</v>
      </c>
      <c r="H123" s="23">
        <v>11</v>
      </c>
      <c r="I123" s="23">
        <v>11</v>
      </c>
      <c r="J123" s="23">
        <v>11</v>
      </c>
      <c r="K123" s="23" t="s">
        <v>10</v>
      </c>
      <c r="L123" s="23" t="s">
        <v>32</v>
      </c>
      <c r="M123" s="23">
        <v>11</v>
      </c>
      <c r="N123" s="23">
        <v>12</v>
      </c>
      <c r="O123" s="23">
        <v>12</v>
      </c>
      <c r="P123" s="23">
        <v>11</v>
      </c>
      <c r="Q123" s="23">
        <v>11</v>
      </c>
      <c r="R123" s="23" t="s">
        <v>10</v>
      </c>
      <c r="S123" s="23">
        <v>11</v>
      </c>
      <c r="T123" s="23" t="s">
        <v>32</v>
      </c>
      <c r="U123" s="23">
        <v>11</v>
      </c>
      <c r="V123" s="23">
        <v>11</v>
      </c>
      <c r="W123" s="23">
        <v>11</v>
      </c>
      <c r="X123" s="23">
        <v>11</v>
      </c>
      <c r="Y123" s="23" t="s">
        <v>10</v>
      </c>
      <c r="Z123" s="23"/>
      <c r="AA123" s="23"/>
      <c r="AB123" s="23"/>
      <c r="AC123" s="23"/>
      <c r="AD123" s="23"/>
      <c r="AE123" s="23"/>
      <c r="AF123" s="23"/>
      <c r="AG123" s="23"/>
      <c r="AH123" s="23"/>
      <c r="AI123" s="22">
        <f t="shared" si="6"/>
        <v>178</v>
      </c>
      <c r="AJ123" s="2"/>
      <c r="AK123" s="14">
        <f t="shared" si="5"/>
        <v>0</v>
      </c>
      <c r="AL123" s="2" t="s">
        <v>284</v>
      </c>
    </row>
    <row r="124" spans="1:38" ht="19.899999999999999" customHeight="1" x14ac:dyDescent="0.25">
      <c r="A124" s="2">
        <v>122</v>
      </c>
      <c r="B124" s="7">
        <v>297</v>
      </c>
      <c r="C124" s="4" t="s">
        <v>502</v>
      </c>
      <c r="D124" s="2" t="s">
        <v>84</v>
      </c>
      <c r="E124" s="23">
        <v>11</v>
      </c>
      <c r="F124" s="23">
        <v>11</v>
      </c>
      <c r="G124" s="23">
        <v>11</v>
      </c>
      <c r="H124" s="23">
        <v>11</v>
      </c>
      <c r="I124" s="23">
        <v>11</v>
      </c>
      <c r="J124" s="23">
        <v>11</v>
      </c>
      <c r="K124" s="23" t="s">
        <v>10</v>
      </c>
      <c r="L124" s="23">
        <v>11</v>
      </c>
      <c r="M124" s="23">
        <v>11</v>
      </c>
      <c r="N124" s="23">
        <v>11</v>
      </c>
      <c r="O124" s="23">
        <v>11</v>
      </c>
      <c r="P124" s="23">
        <v>11</v>
      </c>
      <c r="Q124" s="23">
        <v>11</v>
      </c>
      <c r="R124" s="23" t="s">
        <v>10</v>
      </c>
      <c r="S124" s="23">
        <v>11</v>
      </c>
      <c r="T124" s="23">
        <v>11</v>
      </c>
      <c r="U124" s="23">
        <v>11</v>
      </c>
      <c r="V124" s="23">
        <v>11</v>
      </c>
      <c r="W124" s="23">
        <v>11</v>
      </c>
      <c r="X124" s="23">
        <v>11</v>
      </c>
      <c r="Y124" s="23" t="s">
        <v>10</v>
      </c>
      <c r="Z124" s="23">
        <v>11</v>
      </c>
      <c r="AA124" s="23">
        <v>11</v>
      </c>
      <c r="AB124" s="23">
        <v>11</v>
      </c>
      <c r="AC124" s="23">
        <v>11</v>
      </c>
      <c r="AD124" s="23"/>
      <c r="AE124" s="23"/>
      <c r="AF124" s="23"/>
      <c r="AG124" s="23"/>
      <c r="AH124" s="23"/>
      <c r="AI124" s="22">
        <f t="shared" si="6"/>
        <v>242</v>
      </c>
      <c r="AJ124" s="2"/>
      <c r="AK124" s="14">
        <f t="shared" si="5"/>
        <v>0</v>
      </c>
      <c r="AL124" s="2" t="s">
        <v>284</v>
      </c>
    </row>
    <row r="125" spans="1:38" ht="19.899999999999999" customHeight="1" x14ac:dyDescent="0.25">
      <c r="A125" s="2">
        <v>123</v>
      </c>
      <c r="B125" s="7" t="s">
        <v>297</v>
      </c>
      <c r="C125" s="4" t="s">
        <v>298</v>
      </c>
      <c r="D125" s="2" t="s">
        <v>165</v>
      </c>
      <c r="E125" s="23">
        <v>11</v>
      </c>
      <c r="F125" s="23" t="s">
        <v>32</v>
      </c>
      <c r="G125" s="23">
        <v>10</v>
      </c>
      <c r="H125" s="23">
        <v>11</v>
      </c>
      <c r="I125" s="23">
        <v>11</v>
      </c>
      <c r="J125" s="23">
        <v>10</v>
      </c>
      <c r="K125" s="23" t="s">
        <v>10</v>
      </c>
      <c r="L125" s="23">
        <v>10</v>
      </c>
      <c r="M125" s="23">
        <v>10</v>
      </c>
      <c r="N125" s="23">
        <v>11</v>
      </c>
      <c r="O125" s="23">
        <v>11</v>
      </c>
      <c r="P125" s="23">
        <v>11</v>
      </c>
      <c r="Q125" s="23">
        <v>11</v>
      </c>
      <c r="R125" s="23" t="s">
        <v>10</v>
      </c>
      <c r="S125" s="23">
        <v>11</v>
      </c>
      <c r="T125" s="23" t="s">
        <v>32</v>
      </c>
      <c r="U125" s="23">
        <v>11</v>
      </c>
      <c r="V125" s="23">
        <v>11</v>
      </c>
      <c r="W125" s="23"/>
      <c r="X125" s="23"/>
      <c r="Y125" s="23" t="s">
        <v>10</v>
      </c>
      <c r="Z125" s="23"/>
      <c r="AA125" s="23"/>
      <c r="AB125" s="23"/>
      <c r="AC125" s="23"/>
      <c r="AD125" s="23"/>
      <c r="AE125" s="23"/>
      <c r="AF125" s="23"/>
      <c r="AG125" s="23"/>
      <c r="AH125" s="23"/>
      <c r="AI125" s="22">
        <f t="shared" si="6"/>
        <v>150</v>
      </c>
      <c r="AJ125" s="2"/>
      <c r="AK125" s="14">
        <f t="shared" si="5"/>
        <v>0</v>
      </c>
      <c r="AL125" s="2" t="s">
        <v>284</v>
      </c>
    </row>
    <row r="126" spans="1:38" ht="19.899999999999999" customHeight="1" x14ac:dyDescent="0.25">
      <c r="A126" s="2">
        <v>124</v>
      </c>
      <c r="B126" s="7">
        <v>323</v>
      </c>
      <c r="C126" s="4" t="s">
        <v>326</v>
      </c>
      <c r="D126" s="2" t="s">
        <v>165</v>
      </c>
      <c r="E126" s="23">
        <v>11</v>
      </c>
      <c r="F126" s="23">
        <v>11</v>
      </c>
      <c r="G126" s="23">
        <v>11</v>
      </c>
      <c r="H126" s="23">
        <v>11</v>
      </c>
      <c r="I126" s="23" t="s">
        <v>32</v>
      </c>
      <c r="J126" s="23">
        <v>11</v>
      </c>
      <c r="K126" s="23" t="s">
        <v>10</v>
      </c>
      <c r="L126" s="23">
        <v>11</v>
      </c>
      <c r="M126" s="23">
        <v>10</v>
      </c>
      <c r="N126" s="23">
        <v>11</v>
      </c>
      <c r="O126" s="23">
        <v>11</v>
      </c>
      <c r="P126" s="23">
        <v>11</v>
      </c>
      <c r="Q126" s="23">
        <v>11</v>
      </c>
      <c r="R126" s="23" t="s">
        <v>10</v>
      </c>
      <c r="S126" s="23">
        <v>11</v>
      </c>
      <c r="T126" s="23">
        <v>11</v>
      </c>
      <c r="U126" s="23">
        <v>12</v>
      </c>
      <c r="V126" s="23">
        <v>10</v>
      </c>
      <c r="W126" s="23">
        <v>11</v>
      </c>
      <c r="X126" s="23">
        <v>11</v>
      </c>
      <c r="Y126" s="23" t="s">
        <v>10</v>
      </c>
      <c r="Z126" s="23">
        <v>11</v>
      </c>
      <c r="AA126" s="23">
        <v>10</v>
      </c>
      <c r="AB126" s="23">
        <v>11</v>
      </c>
      <c r="AC126" s="23">
        <v>11</v>
      </c>
      <c r="AD126" s="23"/>
      <c r="AE126" s="23"/>
      <c r="AF126" s="23"/>
      <c r="AG126" s="23"/>
      <c r="AH126" s="23"/>
      <c r="AI126" s="22">
        <f t="shared" si="6"/>
        <v>229</v>
      </c>
      <c r="AJ126" s="2"/>
      <c r="AK126" s="14">
        <f t="shared" si="5"/>
        <v>0</v>
      </c>
      <c r="AL126" s="2" t="s">
        <v>284</v>
      </c>
    </row>
    <row r="127" spans="1:38" ht="19.899999999999999" customHeight="1" x14ac:dyDescent="0.25">
      <c r="A127" s="2">
        <v>125</v>
      </c>
      <c r="B127" s="7">
        <v>339</v>
      </c>
      <c r="C127" s="4" t="s">
        <v>503</v>
      </c>
      <c r="D127" s="2" t="s">
        <v>165</v>
      </c>
      <c r="E127" s="23" t="s">
        <v>32</v>
      </c>
      <c r="F127" s="23" t="s">
        <v>32</v>
      </c>
      <c r="G127" s="23" t="s">
        <v>32</v>
      </c>
      <c r="H127" s="23">
        <v>11</v>
      </c>
      <c r="I127" s="23">
        <v>11</v>
      </c>
      <c r="J127" s="23">
        <v>11</v>
      </c>
      <c r="K127" s="23" t="s">
        <v>10</v>
      </c>
      <c r="L127" s="23">
        <v>11</v>
      </c>
      <c r="M127" s="23">
        <v>11</v>
      </c>
      <c r="N127" s="23">
        <v>11</v>
      </c>
      <c r="O127" s="23">
        <v>11</v>
      </c>
      <c r="P127" s="23">
        <v>11</v>
      </c>
      <c r="Q127" s="23">
        <v>11</v>
      </c>
      <c r="R127" s="23" t="s">
        <v>10</v>
      </c>
      <c r="S127" s="23">
        <v>11</v>
      </c>
      <c r="T127" s="23">
        <v>11</v>
      </c>
      <c r="U127" s="23">
        <v>11</v>
      </c>
      <c r="V127" s="23">
        <v>11</v>
      </c>
      <c r="W127" s="23">
        <v>11</v>
      </c>
      <c r="X127" s="23">
        <v>11</v>
      </c>
      <c r="Y127" s="23" t="s">
        <v>10</v>
      </c>
      <c r="Z127" s="23">
        <v>11</v>
      </c>
      <c r="AA127" s="23">
        <v>11</v>
      </c>
      <c r="AB127" s="23">
        <v>11</v>
      </c>
      <c r="AC127" s="23">
        <v>11</v>
      </c>
      <c r="AD127" s="23"/>
      <c r="AE127" s="23"/>
      <c r="AF127" s="23"/>
      <c r="AG127" s="23"/>
      <c r="AH127" s="23"/>
      <c r="AI127" s="22">
        <f t="shared" si="6"/>
        <v>209</v>
      </c>
      <c r="AJ127" s="2"/>
      <c r="AK127" s="14">
        <f t="shared" si="5"/>
        <v>0</v>
      </c>
      <c r="AL127" s="2" t="s">
        <v>284</v>
      </c>
    </row>
    <row r="128" spans="1:38" ht="19.899999999999999" customHeight="1" x14ac:dyDescent="0.25">
      <c r="A128" s="2">
        <v>126</v>
      </c>
      <c r="B128" s="2">
        <v>340</v>
      </c>
      <c r="C128" s="4" t="s">
        <v>504</v>
      </c>
      <c r="D128" s="2" t="s">
        <v>165</v>
      </c>
      <c r="E128" s="23">
        <v>11</v>
      </c>
      <c r="F128" s="23">
        <v>11</v>
      </c>
      <c r="G128" s="23">
        <v>11</v>
      </c>
      <c r="H128" s="23">
        <v>11</v>
      </c>
      <c r="I128" s="23">
        <v>11</v>
      </c>
      <c r="J128" s="23">
        <v>11</v>
      </c>
      <c r="K128" s="23">
        <v>11</v>
      </c>
      <c r="L128" s="23">
        <v>11</v>
      </c>
      <c r="M128" s="23">
        <v>11</v>
      </c>
      <c r="N128" s="23">
        <v>11</v>
      </c>
      <c r="O128" s="23">
        <v>11</v>
      </c>
      <c r="P128" s="23">
        <v>11</v>
      </c>
      <c r="Q128" s="23">
        <v>11</v>
      </c>
      <c r="R128" s="23">
        <v>11</v>
      </c>
      <c r="S128" s="23">
        <v>11</v>
      </c>
      <c r="T128" s="23">
        <v>11</v>
      </c>
      <c r="U128" s="23">
        <v>11</v>
      </c>
      <c r="V128" s="23">
        <v>11</v>
      </c>
      <c r="W128" s="23">
        <v>11</v>
      </c>
      <c r="X128" s="23">
        <v>11</v>
      </c>
      <c r="Y128" s="23">
        <v>11</v>
      </c>
      <c r="Z128" s="23">
        <v>11</v>
      </c>
      <c r="AA128" s="23">
        <v>11</v>
      </c>
      <c r="AB128" s="23">
        <v>11</v>
      </c>
      <c r="AC128" s="23">
        <v>11</v>
      </c>
      <c r="AD128" s="23"/>
      <c r="AE128" s="23"/>
      <c r="AF128" s="23"/>
      <c r="AG128" s="23"/>
      <c r="AH128" s="23"/>
      <c r="AI128" s="22">
        <f t="shared" si="6"/>
        <v>275</v>
      </c>
      <c r="AJ128" s="2"/>
      <c r="AK128" s="14">
        <f t="shared" si="5"/>
        <v>0</v>
      </c>
      <c r="AL128" s="2" t="s">
        <v>284</v>
      </c>
    </row>
    <row r="129" spans="1:38" ht="19.899999999999999" customHeight="1" x14ac:dyDescent="0.25">
      <c r="A129" s="2">
        <v>127</v>
      </c>
      <c r="B129" s="2">
        <v>348</v>
      </c>
      <c r="C129" s="4" t="s">
        <v>505</v>
      </c>
      <c r="D129" s="2" t="s">
        <v>165</v>
      </c>
      <c r="E129" s="23">
        <v>11</v>
      </c>
      <c r="F129" s="23" t="s">
        <v>32</v>
      </c>
      <c r="G129" s="23">
        <v>11</v>
      </c>
      <c r="H129" s="23">
        <v>11</v>
      </c>
      <c r="I129" s="23">
        <v>11</v>
      </c>
      <c r="J129" s="23">
        <v>11</v>
      </c>
      <c r="K129" s="23" t="s">
        <v>10</v>
      </c>
      <c r="L129" s="23" t="s">
        <v>32</v>
      </c>
      <c r="M129" s="23" t="s">
        <v>32</v>
      </c>
      <c r="N129" s="23" t="s">
        <v>32</v>
      </c>
      <c r="O129" s="23" t="s">
        <v>32</v>
      </c>
      <c r="P129" s="23" t="s">
        <v>32</v>
      </c>
      <c r="Q129" s="23" t="s">
        <v>32</v>
      </c>
      <c r="R129" s="23" t="s">
        <v>10</v>
      </c>
      <c r="S129" s="23" t="s">
        <v>32</v>
      </c>
      <c r="T129" s="23" t="s">
        <v>32</v>
      </c>
      <c r="U129" s="23" t="s">
        <v>32</v>
      </c>
      <c r="V129" s="23">
        <v>11</v>
      </c>
      <c r="W129" s="23">
        <v>11</v>
      </c>
      <c r="X129" s="23">
        <v>11</v>
      </c>
      <c r="Y129" s="23" t="s">
        <v>10</v>
      </c>
      <c r="Z129" s="23">
        <v>11</v>
      </c>
      <c r="AA129" s="23" t="s">
        <v>32</v>
      </c>
      <c r="AB129" s="23" t="s">
        <v>32</v>
      </c>
      <c r="AC129" s="23" t="s">
        <v>32</v>
      </c>
      <c r="AD129" s="23"/>
      <c r="AE129" s="23"/>
      <c r="AF129" s="23"/>
      <c r="AG129" s="23"/>
      <c r="AH129" s="23"/>
      <c r="AI129" s="22">
        <f t="shared" si="6"/>
        <v>99</v>
      </c>
      <c r="AJ129" s="2"/>
      <c r="AK129" s="14">
        <f t="shared" si="5"/>
        <v>0</v>
      </c>
      <c r="AL129" s="2" t="s">
        <v>284</v>
      </c>
    </row>
    <row r="130" spans="1:38" ht="19.899999999999999" customHeight="1" x14ac:dyDescent="0.25">
      <c r="A130" s="2">
        <v>128</v>
      </c>
      <c r="B130" s="7">
        <v>358</v>
      </c>
      <c r="C130" s="4" t="s">
        <v>421</v>
      </c>
      <c r="D130" s="2" t="s">
        <v>165</v>
      </c>
      <c r="E130" s="23">
        <v>11</v>
      </c>
      <c r="F130" s="23">
        <v>11</v>
      </c>
      <c r="G130" s="23">
        <v>11</v>
      </c>
      <c r="H130" s="23">
        <v>11</v>
      </c>
      <c r="I130" s="23">
        <v>11</v>
      </c>
      <c r="J130" s="23">
        <v>11</v>
      </c>
      <c r="K130" s="23" t="s">
        <v>10</v>
      </c>
      <c r="L130" s="23">
        <v>11</v>
      </c>
      <c r="M130" s="23">
        <v>11</v>
      </c>
      <c r="N130" s="23">
        <v>11</v>
      </c>
      <c r="O130" s="23">
        <v>11</v>
      </c>
      <c r="P130" s="23">
        <v>11</v>
      </c>
      <c r="Q130" s="23">
        <v>11</v>
      </c>
      <c r="R130" s="23" t="s">
        <v>10</v>
      </c>
      <c r="S130" s="23">
        <v>11</v>
      </c>
      <c r="T130" s="23">
        <v>11</v>
      </c>
      <c r="U130" s="23">
        <v>11</v>
      </c>
      <c r="V130" s="23">
        <v>11</v>
      </c>
      <c r="W130" s="23">
        <v>8</v>
      </c>
      <c r="X130" s="23">
        <v>11</v>
      </c>
      <c r="Y130" s="23" t="s">
        <v>10</v>
      </c>
      <c r="Z130" s="23">
        <v>11</v>
      </c>
      <c r="AA130" s="23">
        <v>11</v>
      </c>
      <c r="AB130" s="23">
        <v>11</v>
      </c>
      <c r="AC130" s="23">
        <v>11</v>
      </c>
      <c r="AD130" s="23"/>
      <c r="AE130" s="23"/>
      <c r="AF130" s="23"/>
      <c r="AG130" s="23"/>
      <c r="AH130" s="23"/>
      <c r="AI130" s="22">
        <f t="shared" si="6"/>
        <v>239</v>
      </c>
      <c r="AJ130" s="2"/>
      <c r="AK130" s="14">
        <f t="shared" si="5"/>
        <v>0</v>
      </c>
      <c r="AL130" s="2" t="s">
        <v>284</v>
      </c>
    </row>
    <row r="131" spans="1:38" ht="19.899999999999999" customHeight="1" x14ac:dyDescent="0.25">
      <c r="A131" s="2">
        <v>129</v>
      </c>
      <c r="B131" s="7">
        <v>359</v>
      </c>
      <c r="C131" s="4" t="s">
        <v>422</v>
      </c>
      <c r="D131" s="2" t="s">
        <v>165</v>
      </c>
      <c r="E131" s="23">
        <v>11</v>
      </c>
      <c r="F131" s="23">
        <v>11</v>
      </c>
      <c r="G131" s="23">
        <v>11</v>
      </c>
      <c r="H131" s="23">
        <v>11</v>
      </c>
      <c r="I131" s="23">
        <v>11</v>
      </c>
      <c r="J131" s="23">
        <v>11</v>
      </c>
      <c r="K131" s="23" t="s">
        <v>10</v>
      </c>
      <c r="L131" s="23">
        <v>11</v>
      </c>
      <c r="M131" s="23">
        <v>11</v>
      </c>
      <c r="N131" s="23">
        <v>11</v>
      </c>
      <c r="O131" s="23">
        <v>11</v>
      </c>
      <c r="P131" s="23">
        <v>11</v>
      </c>
      <c r="Q131" s="23">
        <v>11</v>
      </c>
      <c r="R131" s="23">
        <v>11</v>
      </c>
      <c r="S131" s="23">
        <v>11</v>
      </c>
      <c r="T131" s="23">
        <v>11</v>
      </c>
      <c r="U131" s="23">
        <v>11</v>
      </c>
      <c r="V131" s="23">
        <v>11</v>
      </c>
      <c r="W131" s="23">
        <v>11</v>
      </c>
      <c r="X131" s="23">
        <v>11</v>
      </c>
      <c r="Y131" s="23" t="s">
        <v>10</v>
      </c>
      <c r="Z131" s="23">
        <v>11</v>
      </c>
      <c r="AA131" s="23">
        <v>11</v>
      </c>
      <c r="AB131" s="23">
        <v>11</v>
      </c>
      <c r="AC131" s="23">
        <v>11</v>
      </c>
      <c r="AD131" s="23"/>
      <c r="AE131" s="23"/>
      <c r="AF131" s="23"/>
      <c r="AG131" s="23"/>
      <c r="AH131" s="23"/>
      <c r="AI131" s="22">
        <f t="shared" ref="AI131:AI148" si="7">SUM(E131:AH131)</f>
        <v>253</v>
      </c>
      <c r="AJ131" s="2"/>
      <c r="AK131" s="14">
        <f t="shared" si="5"/>
        <v>0</v>
      </c>
      <c r="AL131" s="2" t="s">
        <v>284</v>
      </c>
    </row>
    <row r="132" spans="1:38" ht="19.899999999999999" customHeight="1" x14ac:dyDescent="0.25">
      <c r="A132" s="2">
        <v>130</v>
      </c>
      <c r="B132" s="2">
        <v>362</v>
      </c>
      <c r="C132" s="4" t="s">
        <v>459</v>
      </c>
      <c r="D132" s="2" t="s">
        <v>165</v>
      </c>
      <c r="E132" s="23">
        <v>11</v>
      </c>
      <c r="F132" s="23">
        <v>11</v>
      </c>
      <c r="G132" s="23">
        <v>11</v>
      </c>
      <c r="H132" s="23">
        <v>11</v>
      </c>
      <c r="I132" s="23">
        <v>11</v>
      </c>
      <c r="J132" s="23">
        <v>11</v>
      </c>
      <c r="K132" s="23" t="s">
        <v>10</v>
      </c>
      <c r="L132" s="23">
        <v>11</v>
      </c>
      <c r="M132" s="23">
        <v>11</v>
      </c>
      <c r="N132" s="23">
        <v>11</v>
      </c>
      <c r="O132" s="23">
        <v>11</v>
      </c>
      <c r="P132" s="23">
        <v>11</v>
      </c>
      <c r="Q132" s="23">
        <v>11</v>
      </c>
      <c r="R132" s="23" t="s">
        <v>10</v>
      </c>
      <c r="S132" s="23">
        <v>11</v>
      </c>
      <c r="T132" s="23">
        <v>11</v>
      </c>
      <c r="U132" s="23">
        <v>11</v>
      </c>
      <c r="V132" s="23">
        <v>11</v>
      </c>
      <c r="W132" s="23">
        <v>11</v>
      </c>
      <c r="X132" s="23">
        <v>11</v>
      </c>
      <c r="Y132" s="23" t="s">
        <v>10</v>
      </c>
      <c r="Z132" s="23" t="s">
        <v>32</v>
      </c>
      <c r="AA132" s="23">
        <v>11</v>
      </c>
      <c r="AB132" s="23">
        <v>11</v>
      </c>
      <c r="AC132" s="23">
        <v>11</v>
      </c>
      <c r="AD132" s="23"/>
      <c r="AE132" s="23"/>
      <c r="AF132" s="23"/>
      <c r="AG132" s="23"/>
      <c r="AH132" s="23"/>
      <c r="AI132" s="22">
        <f t="shared" si="7"/>
        <v>231</v>
      </c>
      <c r="AJ132" s="2"/>
      <c r="AK132" s="14">
        <f t="shared" si="5"/>
        <v>0</v>
      </c>
      <c r="AL132" s="2" t="s">
        <v>284</v>
      </c>
    </row>
    <row r="133" spans="1:38" ht="19.899999999999999" customHeight="1" x14ac:dyDescent="0.25">
      <c r="A133" s="2">
        <v>131</v>
      </c>
      <c r="B133" s="2">
        <v>363</v>
      </c>
      <c r="C133" s="4" t="s">
        <v>460</v>
      </c>
      <c r="D133" s="2" t="s">
        <v>165</v>
      </c>
      <c r="E133" s="23">
        <v>11</v>
      </c>
      <c r="F133" s="23">
        <v>11</v>
      </c>
      <c r="G133" s="23" t="s">
        <v>32</v>
      </c>
      <c r="H133" s="23">
        <v>11</v>
      </c>
      <c r="I133" s="23">
        <v>11</v>
      </c>
      <c r="J133" s="23">
        <v>11</v>
      </c>
      <c r="K133" s="23" t="s">
        <v>10</v>
      </c>
      <c r="L133" s="23">
        <v>11</v>
      </c>
      <c r="M133" s="23">
        <v>11</v>
      </c>
      <c r="N133" s="23">
        <v>11</v>
      </c>
      <c r="O133" s="23">
        <v>11</v>
      </c>
      <c r="P133" s="23">
        <v>11</v>
      </c>
      <c r="Q133" s="23">
        <v>11</v>
      </c>
      <c r="R133" s="23">
        <v>11</v>
      </c>
      <c r="S133" s="23">
        <v>11</v>
      </c>
      <c r="T133" s="23">
        <v>11</v>
      </c>
      <c r="U133" s="23">
        <v>11</v>
      </c>
      <c r="V133" s="23">
        <v>11</v>
      </c>
      <c r="W133" s="23">
        <v>11</v>
      </c>
      <c r="X133" s="23">
        <v>11</v>
      </c>
      <c r="Y133" s="23" t="s">
        <v>10</v>
      </c>
      <c r="Z133" s="23">
        <v>11</v>
      </c>
      <c r="AA133" s="23">
        <v>11</v>
      </c>
      <c r="AB133" s="23">
        <v>11</v>
      </c>
      <c r="AC133" s="23">
        <v>11</v>
      </c>
      <c r="AD133" s="23"/>
      <c r="AE133" s="23"/>
      <c r="AF133" s="23"/>
      <c r="AG133" s="23"/>
      <c r="AH133" s="23"/>
      <c r="AI133" s="22">
        <f t="shared" si="7"/>
        <v>242</v>
      </c>
      <c r="AJ133" s="2"/>
      <c r="AK133" s="14">
        <f t="shared" si="5"/>
        <v>0</v>
      </c>
      <c r="AL133" s="2" t="s">
        <v>284</v>
      </c>
    </row>
    <row r="134" spans="1:38" ht="19.899999999999999" customHeight="1" x14ac:dyDescent="0.25">
      <c r="A134" s="2">
        <v>132</v>
      </c>
      <c r="B134" s="7">
        <v>364</v>
      </c>
      <c r="C134" s="4" t="s">
        <v>461</v>
      </c>
      <c r="D134" s="2" t="s">
        <v>165</v>
      </c>
      <c r="E134" s="23">
        <v>11</v>
      </c>
      <c r="F134" s="23">
        <v>11</v>
      </c>
      <c r="G134" s="23">
        <v>11</v>
      </c>
      <c r="H134" s="23">
        <v>11</v>
      </c>
      <c r="I134" s="23">
        <v>11</v>
      </c>
      <c r="J134" s="23">
        <v>11</v>
      </c>
      <c r="K134" s="23" t="s">
        <v>10</v>
      </c>
      <c r="L134" s="23">
        <v>11</v>
      </c>
      <c r="M134" s="23">
        <v>11</v>
      </c>
      <c r="N134" s="23">
        <v>11</v>
      </c>
      <c r="O134" s="23">
        <v>11</v>
      </c>
      <c r="P134" s="23">
        <v>11</v>
      </c>
      <c r="Q134" s="23">
        <v>11</v>
      </c>
      <c r="R134" s="23" t="s">
        <v>10</v>
      </c>
      <c r="S134" s="23">
        <v>11</v>
      </c>
      <c r="T134" s="23">
        <v>11</v>
      </c>
      <c r="U134" s="23">
        <v>11</v>
      </c>
      <c r="V134" s="23">
        <v>11</v>
      </c>
      <c r="W134" s="23">
        <v>11</v>
      </c>
      <c r="X134" s="23">
        <v>11</v>
      </c>
      <c r="Y134" s="23" t="s">
        <v>10</v>
      </c>
      <c r="Z134" s="23">
        <v>11</v>
      </c>
      <c r="AA134" s="23">
        <v>11</v>
      </c>
      <c r="AB134" s="23">
        <v>11</v>
      </c>
      <c r="AC134" s="23">
        <v>11</v>
      </c>
      <c r="AD134" s="23"/>
      <c r="AE134" s="23"/>
      <c r="AF134" s="23"/>
      <c r="AG134" s="23"/>
      <c r="AH134" s="23"/>
      <c r="AI134" s="22">
        <f t="shared" si="7"/>
        <v>242</v>
      </c>
      <c r="AJ134" s="2"/>
      <c r="AK134" s="14">
        <f t="shared" si="5"/>
        <v>0</v>
      </c>
      <c r="AL134" s="2" t="s">
        <v>284</v>
      </c>
    </row>
    <row r="135" spans="1:38" ht="19.899999999999999" customHeight="1" x14ac:dyDescent="0.25">
      <c r="A135" s="2">
        <v>133</v>
      </c>
      <c r="B135" s="7">
        <v>371</v>
      </c>
      <c r="C135" s="4" t="s">
        <v>462</v>
      </c>
      <c r="D135" s="2" t="s">
        <v>165</v>
      </c>
      <c r="E135" s="23">
        <v>11</v>
      </c>
      <c r="F135" s="23">
        <v>11</v>
      </c>
      <c r="G135" s="23">
        <v>11</v>
      </c>
      <c r="H135" s="23">
        <v>11</v>
      </c>
      <c r="I135" s="23">
        <v>11</v>
      </c>
      <c r="J135" s="23">
        <v>11</v>
      </c>
      <c r="K135" s="23" t="s">
        <v>10</v>
      </c>
      <c r="L135" s="23">
        <v>11</v>
      </c>
      <c r="M135" s="23">
        <v>11</v>
      </c>
      <c r="N135" s="23">
        <v>11</v>
      </c>
      <c r="O135" s="23">
        <v>11</v>
      </c>
      <c r="P135" s="23">
        <v>11</v>
      </c>
      <c r="Q135" s="23">
        <v>11</v>
      </c>
      <c r="R135" s="23" t="s">
        <v>10</v>
      </c>
      <c r="S135" s="23">
        <v>11</v>
      </c>
      <c r="T135" s="23">
        <v>11</v>
      </c>
      <c r="U135" s="23">
        <v>11</v>
      </c>
      <c r="V135" s="23">
        <v>11</v>
      </c>
      <c r="W135" s="23">
        <v>11</v>
      </c>
      <c r="X135" s="23">
        <v>11</v>
      </c>
      <c r="Y135" s="23" t="s">
        <v>10</v>
      </c>
      <c r="Z135" s="23">
        <v>11</v>
      </c>
      <c r="AA135" s="23">
        <v>11</v>
      </c>
      <c r="AB135" s="23">
        <v>11</v>
      </c>
      <c r="AC135" s="23">
        <v>11</v>
      </c>
      <c r="AD135" s="23"/>
      <c r="AE135" s="23"/>
      <c r="AF135" s="23"/>
      <c r="AG135" s="23"/>
      <c r="AH135" s="23"/>
      <c r="AI135" s="22">
        <f t="shared" si="7"/>
        <v>242</v>
      </c>
      <c r="AJ135" s="2"/>
      <c r="AK135" s="14">
        <f t="shared" si="5"/>
        <v>0</v>
      </c>
      <c r="AL135" s="2" t="s">
        <v>284</v>
      </c>
    </row>
    <row r="136" spans="1:38" ht="19.899999999999999" customHeight="1" x14ac:dyDescent="0.25">
      <c r="A136" s="2">
        <v>134</v>
      </c>
      <c r="B136" s="2">
        <v>379</v>
      </c>
      <c r="C136" s="4" t="s">
        <v>506</v>
      </c>
      <c r="D136" s="2" t="s">
        <v>165</v>
      </c>
      <c r="E136" s="23">
        <v>11</v>
      </c>
      <c r="F136" s="23">
        <v>11</v>
      </c>
      <c r="G136" s="23">
        <v>11</v>
      </c>
      <c r="H136" s="23">
        <v>11</v>
      </c>
      <c r="I136" s="23">
        <v>11</v>
      </c>
      <c r="J136" s="23">
        <v>11</v>
      </c>
      <c r="K136" s="23" t="s">
        <v>10</v>
      </c>
      <c r="L136" s="23">
        <v>11</v>
      </c>
      <c r="M136" s="23">
        <v>11</v>
      </c>
      <c r="N136" s="23">
        <v>11</v>
      </c>
      <c r="O136" s="23">
        <v>11</v>
      </c>
      <c r="P136" s="23">
        <v>11</v>
      </c>
      <c r="Q136" s="23">
        <v>11</v>
      </c>
      <c r="R136" s="23" t="s">
        <v>10</v>
      </c>
      <c r="S136" s="23">
        <v>11</v>
      </c>
      <c r="T136" s="23" t="s">
        <v>32</v>
      </c>
      <c r="U136" s="23">
        <v>11</v>
      </c>
      <c r="V136" s="23">
        <v>11</v>
      </c>
      <c r="W136" s="23">
        <v>11</v>
      </c>
      <c r="X136" s="23">
        <v>11</v>
      </c>
      <c r="Y136" s="23" t="s">
        <v>10</v>
      </c>
      <c r="Z136" s="23">
        <v>11</v>
      </c>
      <c r="AA136" s="23">
        <v>11</v>
      </c>
      <c r="AB136" s="23">
        <v>11</v>
      </c>
      <c r="AC136" s="23">
        <v>11</v>
      </c>
      <c r="AD136" s="23"/>
      <c r="AE136" s="23"/>
      <c r="AF136" s="23"/>
      <c r="AG136" s="23"/>
      <c r="AH136" s="23"/>
      <c r="AI136" s="22">
        <f t="shared" si="7"/>
        <v>231</v>
      </c>
      <c r="AJ136" s="2"/>
      <c r="AK136" s="14">
        <f t="shared" si="5"/>
        <v>0</v>
      </c>
      <c r="AL136" s="2" t="s">
        <v>284</v>
      </c>
    </row>
    <row r="137" spans="1:38" ht="19.899999999999999" customHeight="1" x14ac:dyDescent="0.25">
      <c r="A137" s="2">
        <v>135</v>
      </c>
      <c r="B137" s="7" t="s">
        <v>238</v>
      </c>
      <c r="C137" s="4" t="s">
        <v>322</v>
      </c>
      <c r="D137" s="2" t="s">
        <v>244</v>
      </c>
      <c r="E137" s="23">
        <v>11</v>
      </c>
      <c r="F137" s="23">
        <v>11</v>
      </c>
      <c r="G137" s="23">
        <v>11</v>
      </c>
      <c r="H137" s="23">
        <v>11</v>
      </c>
      <c r="I137" s="23">
        <v>11</v>
      </c>
      <c r="J137" s="23">
        <v>11</v>
      </c>
      <c r="K137" s="23" t="s">
        <v>10</v>
      </c>
      <c r="L137" s="23">
        <v>11</v>
      </c>
      <c r="M137" s="23">
        <v>11</v>
      </c>
      <c r="N137" s="23">
        <v>11</v>
      </c>
      <c r="O137" s="23">
        <v>11</v>
      </c>
      <c r="P137" s="23">
        <v>11</v>
      </c>
      <c r="Q137" s="23">
        <v>11</v>
      </c>
      <c r="R137" s="23" t="s">
        <v>10</v>
      </c>
      <c r="S137" s="23">
        <v>11</v>
      </c>
      <c r="T137" s="23">
        <v>11</v>
      </c>
      <c r="U137" s="23">
        <v>11</v>
      </c>
      <c r="V137" s="23">
        <v>11</v>
      </c>
      <c r="W137" s="23">
        <v>11</v>
      </c>
      <c r="X137" s="23">
        <v>11</v>
      </c>
      <c r="Y137" s="23" t="s">
        <v>10</v>
      </c>
      <c r="Z137" s="23">
        <v>11</v>
      </c>
      <c r="AA137" s="23">
        <v>11</v>
      </c>
      <c r="AB137" s="23">
        <v>11</v>
      </c>
      <c r="AC137" s="23">
        <v>11</v>
      </c>
      <c r="AD137" s="23"/>
      <c r="AE137" s="23"/>
      <c r="AF137" s="23"/>
      <c r="AG137" s="23"/>
      <c r="AH137" s="23"/>
      <c r="AI137" s="22">
        <f t="shared" si="7"/>
        <v>242</v>
      </c>
      <c r="AJ137" s="2"/>
      <c r="AK137" s="14">
        <f t="shared" ref="AK137:AK150" si="8">AI137*AJ137</f>
        <v>0</v>
      </c>
      <c r="AL137" s="2" t="s">
        <v>275</v>
      </c>
    </row>
    <row r="138" spans="1:38" ht="19.899999999999999" customHeight="1" x14ac:dyDescent="0.25">
      <c r="A138" s="2">
        <v>136</v>
      </c>
      <c r="B138" s="2" t="s">
        <v>251</v>
      </c>
      <c r="C138" s="4" t="s">
        <v>252</v>
      </c>
      <c r="D138" s="2" t="s">
        <v>244</v>
      </c>
      <c r="E138" s="23">
        <v>11</v>
      </c>
      <c r="F138" s="23">
        <v>11</v>
      </c>
      <c r="G138" s="23">
        <v>11</v>
      </c>
      <c r="H138" s="23">
        <v>11</v>
      </c>
      <c r="I138" s="23">
        <v>11</v>
      </c>
      <c r="J138" s="23">
        <v>11</v>
      </c>
      <c r="K138" s="23" t="s">
        <v>10</v>
      </c>
      <c r="L138" s="23">
        <v>11</v>
      </c>
      <c r="M138" s="23">
        <v>11</v>
      </c>
      <c r="N138" s="23">
        <v>11</v>
      </c>
      <c r="O138" s="23">
        <v>11</v>
      </c>
      <c r="P138" s="23">
        <v>11</v>
      </c>
      <c r="Q138" s="23">
        <v>11</v>
      </c>
      <c r="R138" s="23" t="s">
        <v>10</v>
      </c>
      <c r="S138" s="23">
        <v>11</v>
      </c>
      <c r="T138" s="23">
        <v>11</v>
      </c>
      <c r="U138" s="23">
        <v>11</v>
      </c>
      <c r="V138" s="23">
        <v>11</v>
      </c>
      <c r="W138" s="23">
        <v>11</v>
      </c>
      <c r="X138" s="23">
        <v>11</v>
      </c>
      <c r="Y138" s="23" t="s">
        <v>10</v>
      </c>
      <c r="Z138" s="23">
        <v>11</v>
      </c>
      <c r="AA138" s="23">
        <v>11</v>
      </c>
      <c r="AB138" s="23">
        <v>11</v>
      </c>
      <c r="AC138" s="23">
        <v>11</v>
      </c>
      <c r="AD138" s="23"/>
      <c r="AE138" s="23"/>
      <c r="AF138" s="23"/>
      <c r="AG138" s="23"/>
      <c r="AH138" s="23"/>
      <c r="AI138" s="22">
        <f t="shared" si="7"/>
        <v>242</v>
      </c>
      <c r="AJ138" s="21"/>
      <c r="AK138" s="14">
        <f t="shared" si="8"/>
        <v>0</v>
      </c>
      <c r="AL138" s="2" t="s">
        <v>275</v>
      </c>
    </row>
    <row r="139" spans="1:38" ht="19.899999999999999" customHeight="1" x14ac:dyDescent="0.25">
      <c r="A139" s="2">
        <v>137</v>
      </c>
      <c r="B139" s="2" t="s">
        <v>247</v>
      </c>
      <c r="C139" s="4" t="s">
        <v>248</v>
      </c>
      <c r="D139" s="2" t="s">
        <v>244</v>
      </c>
      <c r="E139" s="23">
        <v>11</v>
      </c>
      <c r="F139" s="23">
        <v>11</v>
      </c>
      <c r="G139" s="23">
        <v>11</v>
      </c>
      <c r="H139" s="23">
        <v>11</v>
      </c>
      <c r="I139" s="23" t="s">
        <v>32</v>
      </c>
      <c r="J139" s="23">
        <v>11</v>
      </c>
      <c r="K139" s="23" t="s">
        <v>10</v>
      </c>
      <c r="L139" s="23">
        <v>11</v>
      </c>
      <c r="M139" s="23">
        <v>11</v>
      </c>
      <c r="N139" s="23">
        <v>11</v>
      </c>
      <c r="O139" s="23">
        <v>11</v>
      </c>
      <c r="P139" s="23">
        <v>11</v>
      </c>
      <c r="Q139" s="23">
        <v>11</v>
      </c>
      <c r="R139" s="23" t="s">
        <v>10</v>
      </c>
      <c r="S139" s="23">
        <v>11</v>
      </c>
      <c r="T139" s="23">
        <v>11</v>
      </c>
      <c r="U139" s="23">
        <v>11</v>
      </c>
      <c r="V139" s="23">
        <v>11</v>
      </c>
      <c r="W139" s="23">
        <v>11</v>
      </c>
      <c r="X139" s="23" t="s">
        <v>32</v>
      </c>
      <c r="Y139" s="23" t="s">
        <v>10</v>
      </c>
      <c r="Z139" s="23">
        <v>11</v>
      </c>
      <c r="AA139" s="23">
        <v>11</v>
      </c>
      <c r="AB139" s="23" t="s">
        <v>32</v>
      </c>
      <c r="AC139" s="23">
        <v>11</v>
      </c>
      <c r="AD139" s="23"/>
      <c r="AE139" s="23"/>
      <c r="AF139" s="23"/>
      <c r="AG139" s="23"/>
      <c r="AH139" s="23"/>
      <c r="AI139" s="22">
        <f t="shared" si="7"/>
        <v>209</v>
      </c>
      <c r="AJ139" s="21"/>
      <c r="AK139" s="14">
        <f t="shared" si="8"/>
        <v>0</v>
      </c>
      <c r="AL139" s="2" t="s">
        <v>275</v>
      </c>
    </row>
    <row r="140" spans="1:38" ht="19.899999999999999" customHeight="1" x14ac:dyDescent="0.25">
      <c r="A140" s="2">
        <v>138</v>
      </c>
      <c r="B140" s="2" t="s">
        <v>190</v>
      </c>
      <c r="C140" s="4" t="s">
        <v>191</v>
      </c>
      <c r="D140" s="2" t="s">
        <v>244</v>
      </c>
      <c r="E140" s="23">
        <v>11</v>
      </c>
      <c r="F140" s="23">
        <v>11</v>
      </c>
      <c r="G140" s="23">
        <v>11</v>
      </c>
      <c r="H140" s="23">
        <v>11</v>
      </c>
      <c r="I140" s="23">
        <v>11</v>
      </c>
      <c r="J140" s="23">
        <v>11</v>
      </c>
      <c r="K140" s="23">
        <v>11</v>
      </c>
      <c r="L140" s="23">
        <v>11</v>
      </c>
      <c r="M140" s="23">
        <v>11</v>
      </c>
      <c r="N140" s="23">
        <v>11</v>
      </c>
      <c r="O140" s="23">
        <v>11</v>
      </c>
      <c r="P140" s="23">
        <v>11</v>
      </c>
      <c r="Q140" s="23">
        <v>11</v>
      </c>
      <c r="R140" s="23">
        <v>11</v>
      </c>
      <c r="S140" s="23" t="s">
        <v>32</v>
      </c>
      <c r="T140" s="23">
        <v>11</v>
      </c>
      <c r="U140" s="23">
        <v>11</v>
      </c>
      <c r="V140" s="23">
        <v>11</v>
      </c>
      <c r="W140" s="23">
        <v>11</v>
      </c>
      <c r="X140" s="23">
        <v>11</v>
      </c>
      <c r="Y140" s="23">
        <v>11</v>
      </c>
      <c r="Z140" s="23">
        <v>11</v>
      </c>
      <c r="AA140" s="23">
        <v>11</v>
      </c>
      <c r="AB140" s="23">
        <v>11</v>
      </c>
      <c r="AC140" s="23">
        <v>11</v>
      </c>
      <c r="AD140" s="23"/>
      <c r="AE140" s="23"/>
      <c r="AF140" s="23"/>
      <c r="AG140" s="23"/>
      <c r="AH140" s="23"/>
      <c r="AI140" s="22">
        <f t="shared" si="7"/>
        <v>264</v>
      </c>
      <c r="AJ140" s="21"/>
      <c r="AK140" s="14">
        <f t="shared" si="8"/>
        <v>0</v>
      </c>
      <c r="AL140" s="2" t="s">
        <v>275</v>
      </c>
    </row>
    <row r="141" spans="1:38" ht="19.899999999999999" customHeight="1" x14ac:dyDescent="0.25">
      <c r="A141" s="2">
        <v>139</v>
      </c>
      <c r="B141" s="7" t="s">
        <v>169</v>
      </c>
      <c r="C141" s="4" t="s">
        <v>321</v>
      </c>
      <c r="D141" s="2" t="s">
        <v>244</v>
      </c>
      <c r="E141" s="23">
        <v>11</v>
      </c>
      <c r="F141" s="23">
        <v>11</v>
      </c>
      <c r="G141" s="23">
        <v>11</v>
      </c>
      <c r="H141" s="23">
        <v>11</v>
      </c>
      <c r="I141" s="23">
        <v>11</v>
      </c>
      <c r="J141" s="23">
        <v>11</v>
      </c>
      <c r="K141" s="23">
        <v>10</v>
      </c>
      <c r="L141" s="23">
        <v>11</v>
      </c>
      <c r="M141" s="23">
        <v>11</v>
      </c>
      <c r="N141" s="23">
        <v>11</v>
      </c>
      <c r="O141" s="23">
        <v>11</v>
      </c>
      <c r="P141" s="23">
        <v>11</v>
      </c>
      <c r="Q141" s="23">
        <v>11</v>
      </c>
      <c r="R141" s="23">
        <v>10</v>
      </c>
      <c r="S141" s="23">
        <v>11</v>
      </c>
      <c r="T141" s="23">
        <v>11</v>
      </c>
      <c r="U141" s="23">
        <v>11</v>
      </c>
      <c r="V141" s="23">
        <v>11</v>
      </c>
      <c r="W141" s="23">
        <v>11</v>
      </c>
      <c r="X141" s="23">
        <v>11</v>
      </c>
      <c r="Y141" s="23">
        <v>10</v>
      </c>
      <c r="Z141" s="23">
        <v>11</v>
      </c>
      <c r="AA141" s="23">
        <v>11</v>
      </c>
      <c r="AB141" s="23">
        <v>11</v>
      </c>
      <c r="AC141" s="23">
        <v>11</v>
      </c>
      <c r="AD141" s="23"/>
      <c r="AE141" s="23"/>
      <c r="AF141" s="23"/>
      <c r="AG141" s="23"/>
      <c r="AH141" s="23"/>
      <c r="AI141" s="22">
        <f t="shared" si="7"/>
        <v>272</v>
      </c>
      <c r="AJ141" s="2"/>
      <c r="AK141" s="14">
        <f t="shared" si="8"/>
        <v>0</v>
      </c>
      <c r="AL141" s="2" t="s">
        <v>275</v>
      </c>
    </row>
    <row r="142" spans="1:38" ht="19.899999999999999" customHeight="1" x14ac:dyDescent="0.25">
      <c r="A142" s="2">
        <v>140</v>
      </c>
      <c r="B142" s="7" t="s">
        <v>170</v>
      </c>
      <c r="C142" s="4" t="s">
        <v>323</v>
      </c>
      <c r="D142" s="2" t="s">
        <v>244</v>
      </c>
      <c r="E142" s="23">
        <v>11</v>
      </c>
      <c r="F142" s="23">
        <v>11</v>
      </c>
      <c r="G142" s="23">
        <v>11</v>
      </c>
      <c r="H142" s="23">
        <v>11</v>
      </c>
      <c r="I142" s="23">
        <v>11</v>
      </c>
      <c r="J142" s="23">
        <v>11</v>
      </c>
      <c r="K142" s="23" t="s">
        <v>10</v>
      </c>
      <c r="L142" s="23">
        <v>11</v>
      </c>
      <c r="M142" s="23">
        <v>11</v>
      </c>
      <c r="N142" s="23">
        <v>11</v>
      </c>
      <c r="O142" s="23">
        <v>11</v>
      </c>
      <c r="P142" s="23">
        <v>11</v>
      </c>
      <c r="Q142" s="23">
        <v>11</v>
      </c>
      <c r="R142" s="23">
        <v>11</v>
      </c>
      <c r="S142" s="23">
        <v>11</v>
      </c>
      <c r="T142" s="23">
        <v>11</v>
      </c>
      <c r="U142" s="23">
        <v>11</v>
      </c>
      <c r="V142" s="23">
        <v>11</v>
      </c>
      <c r="W142" s="23">
        <v>11</v>
      </c>
      <c r="X142" s="23">
        <v>11</v>
      </c>
      <c r="Y142" s="23">
        <v>11</v>
      </c>
      <c r="Z142" s="23">
        <v>11</v>
      </c>
      <c r="AA142" s="23">
        <v>11</v>
      </c>
      <c r="AB142" s="23">
        <v>11</v>
      </c>
      <c r="AC142" s="23">
        <v>11</v>
      </c>
      <c r="AD142" s="23"/>
      <c r="AE142" s="23"/>
      <c r="AF142" s="23"/>
      <c r="AG142" s="23"/>
      <c r="AH142" s="23"/>
      <c r="AI142" s="22">
        <f t="shared" si="7"/>
        <v>264</v>
      </c>
      <c r="AJ142" s="2"/>
      <c r="AK142" s="14">
        <f t="shared" si="8"/>
        <v>0</v>
      </c>
      <c r="AL142" s="2" t="s">
        <v>275</v>
      </c>
    </row>
    <row r="143" spans="1:38" ht="19.899999999999999" customHeight="1" x14ac:dyDescent="0.25">
      <c r="A143" s="2">
        <v>141</v>
      </c>
      <c r="B143" s="7" t="s">
        <v>245</v>
      </c>
      <c r="C143" s="4" t="s">
        <v>246</v>
      </c>
      <c r="D143" s="2" t="s">
        <v>244</v>
      </c>
      <c r="E143" s="23">
        <v>11</v>
      </c>
      <c r="F143" s="23">
        <v>11</v>
      </c>
      <c r="G143" s="23">
        <v>11</v>
      </c>
      <c r="H143" s="23">
        <v>11</v>
      </c>
      <c r="I143" s="23" t="s">
        <v>32</v>
      </c>
      <c r="J143" s="23">
        <v>11</v>
      </c>
      <c r="K143" s="23" t="s">
        <v>10</v>
      </c>
      <c r="L143" s="23">
        <v>11</v>
      </c>
      <c r="M143" s="23">
        <v>11</v>
      </c>
      <c r="N143" s="23">
        <v>11</v>
      </c>
      <c r="O143" s="23">
        <v>11</v>
      </c>
      <c r="P143" s="23">
        <v>11</v>
      </c>
      <c r="Q143" s="23">
        <v>11</v>
      </c>
      <c r="R143" s="23">
        <v>10</v>
      </c>
      <c r="S143" s="23">
        <v>11</v>
      </c>
      <c r="T143" s="23">
        <v>11</v>
      </c>
      <c r="U143" s="23">
        <v>11</v>
      </c>
      <c r="V143" s="23">
        <v>11</v>
      </c>
      <c r="W143" s="23">
        <v>11</v>
      </c>
      <c r="X143" s="23">
        <v>11</v>
      </c>
      <c r="Y143" s="23">
        <v>10</v>
      </c>
      <c r="Z143" s="23">
        <v>11</v>
      </c>
      <c r="AA143" s="23">
        <v>11</v>
      </c>
      <c r="AB143" s="23">
        <v>11</v>
      </c>
      <c r="AC143" s="23">
        <v>11</v>
      </c>
      <c r="AD143" s="23"/>
      <c r="AE143" s="23"/>
      <c r="AF143" s="23"/>
      <c r="AG143" s="23"/>
      <c r="AH143" s="23"/>
      <c r="AI143" s="22">
        <f t="shared" si="7"/>
        <v>251</v>
      </c>
      <c r="AJ143" s="2"/>
      <c r="AK143" s="14">
        <f t="shared" si="8"/>
        <v>0</v>
      </c>
      <c r="AL143" s="2" t="s">
        <v>275</v>
      </c>
    </row>
    <row r="144" spans="1:38" ht="19.899999999999999" customHeight="1" x14ac:dyDescent="0.25">
      <c r="A144" s="2">
        <v>142</v>
      </c>
      <c r="B144" s="2" t="s">
        <v>173</v>
      </c>
      <c r="C144" s="4" t="s">
        <v>174</v>
      </c>
      <c r="D144" s="2" t="s">
        <v>244</v>
      </c>
      <c r="E144" s="23">
        <v>11</v>
      </c>
      <c r="F144" s="23">
        <v>11</v>
      </c>
      <c r="G144" s="23">
        <v>11</v>
      </c>
      <c r="H144" s="23">
        <v>11</v>
      </c>
      <c r="I144" s="23">
        <v>11</v>
      </c>
      <c r="J144" s="23">
        <v>11</v>
      </c>
      <c r="K144" s="23" t="s">
        <v>10</v>
      </c>
      <c r="L144" s="23">
        <v>11</v>
      </c>
      <c r="M144" s="23">
        <v>11</v>
      </c>
      <c r="N144" s="23">
        <v>11</v>
      </c>
      <c r="O144" s="23" t="s">
        <v>32</v>
      </c>
      <c r="P144" s="23">
        <v>11</v>
      </c>
      <c r="Q144" s="23">
        <v>11</v>
      </c>
      <c r="R144" s="23" t="s">
        <v>10</v>
      </c>
      <c r="S144" s="23">
        <v>11</v>
      </c>
      <c r="T144" s="23">
        <v>11</v>
      </c>
      <c r="U144" s="23">
        <v>11</v>
      </c>
      <c r="V144" s="23">
        <v>11</v>
      </c>
      <c r="W144" s="23">
        <v>11</v>
      </c>
      <c r="X144" s="23" t="s">
        <v>32</v>
      </c>
      <c r="Y144" s="23" t="s">
        <v>10</v>
      </c>
      <c r="Z144" s="23">
        <v>11</v>
      </c>
      <c r="AA144" s="23">
        <v>11</v>
      </c>
      <c r="AB144" s="23">
        <v>11</v>
      </c>
      <c r="AC144" s="23">
        <v>11</v>
      </c>
      <c r="AD144" s="23"/>
      <c r="AE144" s="23"/>
      <c r="AF144" s="23"/>
      <c r="AG144" s="23"/>
      <c r="AH144" s="23"/>
      <c r="AI144" s="22">
        <f t="shared" si="7"/>
        <v>220</v>
      </c>
      <c r="AJ144" s="2"/>
      <c r="AK144" s="14">
        <f t="shared" si="8"/>
        <v>0</v>
      </c>
      <c r="AL144" s="2" t="s">
        <v>275</v>
      </c>
    </row>
    <row r="145" spans="1:38" ht="19.899999999999999" customHeight="1" x14ac:dyDescent="0.25">
      <c r="A145" s="2">
        <v>143</v>
      </c>
      <c r="B145" s="2" t="s">
        <v>282</v>
      </c>
      <c r="C145" s="4" t="s">
        <v>283</v>
      </c>
      <c r="D145" s="2" t="s">
        <v>244</v>
      </c>
      <c r="E145" s="23">
        <v>11</v>
      </c>
      <c r="F145" s="23">
        <v>11</v>
      </c>
      <c r="G145" s="23">
        <v>11</v>
      </c>
      <c r="H145" s="23">
        <v>11</v>
      </c>
      <c r="I145" s="23" t="s">
        <v>32</v>
      </c>
      <c r="J145" s="23">
        <v>11</v>
      </c>
      <c r="K145" s="23">
        <v>10</v>
      </c>
      <c r="L145" s="23">
        <v>11</v>
      </c>
      <c r="M145" s="23">
        <v>11</v>
      </c>
      <c r="N145" s="23">
        <v>11</v>
      </c>
      <c r="O145" s="23">
        <v>11</v>
      </c>
      <c r="P145" s="23">
        <v>11</v>
      </c>
      <c r="Q145" s="23">
        <v>11</v>
      </c>
      <c r="R145" s="23">
        <v>10</v>
      </c>
      <c r="S145" s="23">
        <v>11</v>
      </c>
      <c r="T145" s="23">
        <v>11</v>
      </c>
      <c r="U145" s="23">
        <v>11</v>
      </c>
      <c r="V145" s="23">
        <v>11</v>
      </c>
      <c r="W145" s="23">
        <v>11</v>
      </c>
      <c r="X145" s="23">
        <v>11</v>
      </c>
      <c r="Y145" s="23">
        <v>10</v>
      </c>
      <c r="Z145" s="23">
        <v>11</v>
      </c>
      <c r="AA145" s="23">
        <v>11</v>
      </c>
      <c r="AB145" s="23">
        <v>11</v>
      </c>
      <c r="AC145" s="23">
        <v>11</v>
      </c>
      <c r="AD145" s="23"/>
      <c r="AE145" s="23"/>
      <c r="AF145" s="23"/>
      <c r="AG145" s="23"/>
      <c r="AH145" s="23"/>
      <c r="AI145" s="22">
        <f t="shared" si="7"/>
        <v>261</v>
      </c>
      <c r="AJ145" s="2"/>
      <c r="AK145" s="14">
        <f t="shared" si="8"/>
        <v>0</v>
      </c>
      <c r="AL145" s="2" t="s">
        <v>275</v>
      </c>
    </row>
    <row r="146" spans="1:38" ht="19.899999999999999" customHeight="1" x14ac:dyDescent="0.25">
      <c r="A146" s="2">
        <v>144</v>
      </c>
      <c r="B146" s="7" t="s">
        <v>302</v>
      </c>
      <c r="C146" s="4" t="s">
        <v>215</v>
      </c>
      <c r="D146" s="2" t="s">
        <v>244</v>
      </c>
      <c r="E146" s="23">
        <v>11</v>
      </c>
      <c r="F146" s="23">
        <v>11</v>
      </c>
      <c r="G146" s="23">
        <v>11</v>
      </c>
      <c r="H146" s="23">
        <v>11</v>
      </c>
      <c r="I146" s="23">
        <v>11</v>
      </c>
      <c r="J146" s="23">
        <v>11</v>
      </c>
      <c r="K146" s="23" t="s">
        <v>10</v>
      </c>
      <c r="L146" s="23">
        <v>11</v>
      </c>
      <c r="M146" s="23">
        <v>11</v>
      </c>
      <c r="N146" s="23">
        <v>11</v>
      </c>
      <c r="O146" s="23">
        <v>11</v>
      </c>
      <c r="P146" s="23">
        <v>11</v>
      </c>
      <c r="Q146" s="23">
        <v>11</v>
      </c>
      <c r="R146" s="23" t="s">
        <v>10</v>
      </c>
      <c r="S146" s="23">
        <v>11</v>
      </c>
      <c r="T146" s="23">
        <v>11</v>
      </c>
      <c r="U146" s="23">
        <v>11</v>
      </c>
      <c r="V146" s="23">
        <v>11</v>
      </c>
      <c r="W146" s="23">
        <v>11</v>
      </c>
      <c r="X146" s="23">
        <v>11</v>
      </c>
      <c r="Y146" s="23" t="s">
        <v>10</v>
      </c>
      <c r="Z146" s="23">
        <v>11</v>
      </c>
      <c r="AA146" s="23">
        <v>11</v>
      </c>
      <c r="AB146" s="23">
        <v>11</v>
      </c>
      <c r="AC146" s="23">
        <v>11</v>
      </c>
      <c r="AD146" s="23"/>
      <c r="AE146" s="23"/>
      <c r="AF146" s="23"/>
      <c r="AG146" s="23"/>
      <c r="AH146" s="23"/>
      <c r="AI146" s="22">
        <f t="shared" si="7"/>
        <v>242</v>
      </c>
      <c r="AJ146" s="2"/>
      <c r="AK146" s="14">
        <f t="shared" si="8"/>
        <v>0</v>
      </c>
      <c r="AL146" s="2" t="s">
        <v>275</v>
      </c>
    </row>
    <row r="147" spans="1:38" ht="19.899999999999999" customHeight="1" x14ac:dyDescent="0.25">
      <c r="A147" s="2">
        <v>145</v>
      </c>
      <c r="B147" s="7" t="s">
        <v>511</v>
      </c>
      <c r="C147" s="4" t="s">
        <v>512</v>
      </c>
      <c r="D147" s="2" t="s">
        <v>179</v>
      </c>
      <c r="E147" s="23">
        <v>10</v>
      </c>
      <c r="F147" s="23">
        <v>10</v>
      </c>
      <c r="G147" s="23">
        <v>10</v>
      </c>
      <c r="H147" s="23">
        <v>10</v>
      </c>
      <c r="I147" s="23" t="s">
        <v>515</v>
      </c>
      <c r="J147" s="23">
        <v>10</v>
      </c>
      <c r="K147" s="23" t="s">
        <v>10</v>
      </c>
      <c r="L147" s="23">
        <v>10</v>
      </c>
      <c r="M147" s="23">
        <v>10</v>
      </c>
      <c r="N147" s="23">
        <v>10</v>
      </c>
      <c r="O147" s="23">
        <v>10</v>
      </c>
      <c r="P147" s="23">
        <v>10</v>
      </c>
      <c r="Q147" s="23">
        <v>10</v>
      </c>
      <c r="R147" s="23" t="s">
        <v>10</v>
      </c>
      <c r="S147" s="23">
        <v>10</v>
      </c>
      <c r="T147" s="23">
        <v>10</v>
      </c>
      <c r="U147" s="23">
        <v>10</v>
      </c>
      <c r="V147" s="23">
        <v>10</v>
      </c>
      <c r="W147" s="23">
        <v>10</v>
      </c>
      <c r="X147" s="23">
        <v>10</v>
      </c>
      <c r="Y147" s="23" t="s">
        <v>10</v>
      </c>
      <c r="Z147" s="23">
        <v>10</v>
      </c>
      <c r="AA147" s="23">
        <v>10</v>
      </c>
      <c r="AB147" s="23">
        <v>10</v>
      </c>
      <c r="AC147" s="23">
        <v>10</v>
      </c>
      <c r="AD147" s="23">
        <v>10</v>
      </c>
      <c r="AE147" s="23">
        <v>10</v>
      </c>
      <c r="AF147" s="23" t="s">
        <v>10</v>
      </c>
      <c r="AG147" s="23">
        <v>10</v>
      </c>
      <c r="AH147" s="23">
        <v>10</v>
      </c>
      <c r="AI147" s="22">
        <f t="shared" si="7"/>
        <v>250</v>
      </c>
      <c r="AJ147" s="2"/>
      <c r="AK147" s="14">
        <f t="shared" si="8"/>
        <v>0</v>
      </c>
      <c r="AL147" s="2" t="s">
        <v>513</v>
      </c>
    </row>
    <row r="148" spans="1:38" ht="19.899999999999999" customHeight="1" x14ac:dyDescent="0.25">
      <c r="A148" s="2">
        <v>146</v>
      </c>
      <c r="B148" s="7" t="s">
        <v>166</v>
      </c>
      <c r="C148" s="4" t="s">
        <v>167</v>
      </c>
      <c r="D148" s="2" t="s">
        <v>165</v>
      </c>
      <c r="E148" s="23">
        <v>10</v>
      </c>
      <c r="F148" s="23">
        <v>10</v>
      </c>
      <c r="G148" s="23">
        <v>10</v>
      </c>
      <c r="H148" s="23">
        <v>10</v>
      </c>
      <c r="I148" s="23" t="s">
        <v>515</v>
      </c>
      <c r="J148" s="23">
        <v>10</v>
      </c>
      <c r="K148" s="23" t="s">
        <v>10</v>
      </c>
      <c r="L148" s="23">
        <v>10</v>
      </c>
      <c r="M148" s="23">
        <v>10</v>
      </c>
      <c r="N148" s="23">
        <v>10</v>
      </c>
      <c r="O148" s="23">
        <v>10</v>
      </c>
      <c r="P148" s="23">
        <v>10</v>
      </c>
      <c r="Q148" s="23">
        <v>10</v>
      </c>
      <c r="R148" s="23" t="s">
        <v>10</v>
      </c>
      <c r="S148" s="23">
        <v>10</v>
      </c>
      <c r="T148" s="23">
        <v>10</v>
      </c>
      <c r="U148" s="23">
        <v>10</v>
      </c>
      <c r="V148" s="23">
        <v>10</v>
      </c>
      <c r="W148" s="23">
        <v>10</v>
      </c>
      <c r="X148" s="23">
        <v>10</v>
      </c>
      <c r="Y148" s="23" t="s">
        <v>10</v>
      </c>
      <c r="Z148" s="23">
        <v>10</v>
      </c>
      <c r="AA148" s="23"/>
      <c r="AB148" s="23"/>
      <c r="AC148" s="23">
        <v>10</v>
      </c>
      <c r="AD148" s="23">
        <v>10</v>
      </c>
      <c r="AE148" s="23">
        <v>10</v>
      </c>
      <c r="AF148" s="23" t="s">
        <v>10</v>
      </c>
      <c r="AG148" s="23">
        <v>10</v>
      </c>
      <c r="AH148" s="23">
        <v>10</v>
      </c>
      <c r="AI148" s="22">
        <f t="shared" si="7"/>
        <v>230</v>
      </c>
      <c r="AJ148" s="2"/>
      <c r="AK148" s="14">
        <f t="shared" si="8"/>
        <v>0</v>
      </c>
      <c r="AL148" s="2" t="s">
        <v>513</v>
      </c>
    </row>
    <row r="149" spans="1:38" ht="19.899999999999999" customHeight="1" x14ac:dyDescent="0.25">
      <c r="A149" s="2">
        <v>147</v>
      </c>
      <c r="B149" s="2" t="s">
        <v>175</v>
      </c>
      <c r="C149" s="4" t="s">
        <v>176</v>
      </c>
      <c r="D149" s="2" t="s">
        <v>165</v>
      </c>
      <c r="E149" s="23">
        <v>10</v>
      </c>
      <c r="F149" s="23" t="s">
        <v>32</v>
      </c>
      <c r="G149" s="23">
        <v>10</v>
      </c>
      <c r="H149" s="23">
        <v>10</v>
      </c>
      <c r="I149" s="23" t="s">
        <v>515</v>
      </c>
      <c r="J149" s="23" t="s">
        <v>32</v>
      </c>
      <c r="K149" s="23" t="s">
        <v>10</v>
      </c>
      <c r="L149" s="23">
        <v>10</v>
      </c>
      <c r="M149" s="23">
        <v>10</v>
      </c>
      <c r="N149" s="23">
        <v>10</v>
      </c>
      <c r="O149" s="23" t="s">
        <v>32</v>
      </c>
      <c r="P149" s="23">
        <v>10</v>
      </c>
      <c r="Q149" s="23">
        <v>10</v>
      </c>
      <c r="R149" s="23" t="s">
        <v>10</v>
      </c>
      <c r="S149" s="23">
        <v>10</v>
      </c>
      <c r="T149" s="23">
        <v>10</v>
      </c>
      <c r="U149" s="23">
        <v>10</v>
      </c>
      <c r="V149" s="23">
        <v>10</v>
      </c>
      <c r="W149" s="23">
        <v>10</v>
      </c>
      <c r="X149" s="23">
        <v>10</v>
      </c>
      <c r="Y149" s="23" t="s">
        <v>10</v>
      </c>
      <c r="Z149" s="23">
        <v>10</v>
      </c>
      <c r="AA149" s="23"/>
      <c r="AB149" s="23"/>
      <c r="AC149" s="23"/>
      <c r="AD149" s="23"/>
      <c r="AE149" s="23"/>
      <c r="AF149" s="23"/>
      <c r="AG149" s="23"/>
      <c r="AH149" s="23"/>
      <c r="AI149" s="22">
        <f t="shared" ref="AI149:AI150" si="9">SUM(E149:AH149)</f>
        <v>150</v>
      </c>
      <c r="AJ149" s="2"/>
      <c r="AK149" s="14">
        <f t="shared" si="8"/>
        <v>0</v>
      </c>
      <c r="AL149" s="2" t="s">
        <v>513</v>
      </c>
    </row>
    <row r="150" spans="1:38" ht="19.899999999999999" customHeight="1" x14ac:dyDescent="0.25">
      <c r="A150" s="2">
        <v>148</v>
      </c>
      <c r="B150" s="2">
        <v>375</v>
      </c>
      <c r="C150" s="4" t="s">
        <v>560</v>
      </c>
      <c r="D150" s="2" t="s">
        <v>165</v>
      </c>
      <c r="E150" s="23">
        <v>10</v>
      </c>
      <c r="F150" s="23">
        <v>10</v>
      </c>
      <c r="G150" s="23">
        <v>10</v>
      </c>
      <c r="H150" s="23">
        <v>10</v>
      </c>
      <c r="I150" s="23" t="s">
        <v>515</v>
      </c>
      <c r="J150" s="23">
        <v>10</v>
      </c>
      <c r="K150" s="23" t="s">
        <v>10</v>
      </c>
      <c r="L150" s="23">
        <v>10</v>
      </c>
      <c r="M150" s="23">
        <v>10</v>
      </c>
      <c r="N150" s="23">
        <v>10</v>
      </c>
      <c r="O150" s="23">
        <v>10</v>
      </c>
      <c r="P150" s="23">
        <v>10</v>
      </c>
      <c r="Q150" s="23">
        <v>10</v>
      </c>
      <c r="R150" s="23" t="s">
        <v>10</v>
      </c>
      <c r="S150" s="23">
        <v>10</v>
      </c>
      <c r="T150" s="23">
        <v>10</v>
      </c>
      <c r="U150" s="23">
        <v>10</v>
      </c>
      <c r="V150" s="23">
        <v>10</v>
      </c>
      <c r="W150" s="23">
        <v>10</v>
      </c>
      <c r="X150" s="23">
        <v>10</v>
      </c>
      <c r="Y150" s="23" t="s">
        <v>10</v>
      </c>
      <c r="Z150" s="23">
        <v>10</v>
      </c>
      <c r="AA150" s="23"/>
      <c r="AB150" s="23"/>
      <c r="AC150" s="23"/>
      <c r="AD150" s="23"/>
      <c r="AE150" s="23"/>
      <c r="AF150" s="23"/>
      <c r="AG150" s="23"/>
      <c r="AH150" s="23"/>
      <c r="AI150" s="22">
        <f t="shared" si="9"/>
        <v>180</v>
      </c>
      <c r="AJ150" s="2"/>
      <c r="AK150" s="14">
        <f t="shared" si="8"/>
        <v>0</v>
      </c>
      <c r="AL150" s="2" t="s">
        <v>513</v>
      </c>
    </row>
    <row r="151" spans="1:38" ht="19.899999999999999" customHeight="1" x14ac:dyDescent="0.25">
      <c r="A151" s="2">
        <v>149</v>
      </c>
      <c r="B151" s="2" t="s">
        <v>162</v>
      </c>
      <c r="C151" s="4" t="s">
        <v>163</v>
      </c>
      <c r="D151" s="2" t="s">
        <v>165</v>
      </c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>
        <v>10</v>
      </c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2">
        <f t="shared" ref="AI151:AI189" si="10">SUM(E151:AH151)</f>
        <v>10</v>
      </c>
      <c r="AJ151" s="2"/>
      <c r="AK151" s="14">
        <f t="shared" si="5"/>
        <v>0</v>
      </c>
      <c r="AL151" s="2" t="s">
        <v>513</v>
      </c>
    </row>
    <row r="152" spans="1:38" ht="19.899999999999999" customHeight="1" x14ac:dyDescent="0.25">
      <c r="A152" s="2">
        <v>150</v>
      </c>
      <c r="B152" s="2" t="s">
        <v>247</v>
      </c>
      <c r="C152" s="4" t="s">
        <v>248</v>
      </c>
      <c r="D152" s="2" t="s">
        <v>244</v>
      </c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>
        <v>10</v>
      </c>
      <c r="Y152" s="23"/>
      <c r="Z152" s="23"/>
      <c r="AA152" s="23"/>
      <c r="AB152" s="23">
        <v>10</v>
      </c>
      <c r="AC152" s="23"/>
      <c r="AD152" s="23"/>
      <c r="AE152" s="23"/>
      <c r="AF152" s="23"/>
      <c r="AG152" s="23"/>
      <c r="AH152" s="23">
        <v>10</v>
      </c>
      <c r="AI152" s="22">
        <f t="shared" si="10"/>
        <v>30</v>
      </c>
      <c r="AJ152" s="2"/>
      <c r="AK152" s="14">
        <f t="shared" si="5"/>
        <v>0</v>
      </c>
      <c r="AL152" s="2" t="s">
        <v>513</v>
      </c>
    </row>
    <row r="153" spans="1:38" ht="19.899999999999999" customHeight="1" x14ac:dyDescent="0.25">
      <c r="A153" s="2">
        <v>151</v>
      </c>
      <c r="B153" s="7" t="s">
        <v>238</v>
      </c>
      <c r="C153" s="4" t="s">
        <v>322</v>
      </c>
      <c r="D153" s="2" t="s">
        <v>244</v>
      </c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>
        <v>11</v>
      </c>
      <c r="AE153" s="23">
        <v>11</v>
      </c>
      <c r="AF153" s="23" t="s">
        <v>10</v>
      </c>
      <c r="AG153" s="23">
        <v>11</v>
      </c>
      <c r="AH153" s="23">
        <v>11</v>
      </c>
      <c r="AI153" s="22">
        <f t="shared" si="10"/>
        <v>44</v>
      </c>
      <c r="AJ153" s="2"/>
      <c r="AK153" s="14">
        <f t="shared" si="5"/>
        <v>0</v>
      </c>
      <c r="AL153" s="2" t="s">
        <v>275</v>
      </c>
    </row>
    <row r="154" spans="1:38" ht="19.899999999999999" customHeight="1" x14ac:dyDescent="0.25">
      <c r="A154" s="2">
        <v>152</v>
      </c>
      <c r="B154" s="7" t="s">
        <v>251</v>
      </c>
      <c r="C154" s="4" t="s">
        <v>252</v>
      </c>
      <c r="D154" s="2" t="s">
        <v>244</v>
      </c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>
        <v>11</v>
      </c>
      <c r="AE154" s="23" t="s">
        <v>32</v>
      </c>
      <c r="AF154" s="23" t="s">
        <v>10</v>
      </c>
      <c r="AG154" s="23">
        <v>11</v>
      </c>
      <c r="AH154" s="23">
        <v>11</v>
      </c>
      <c r="AI154" s="22">
        <f t="shared" si="10"/>
        <v>33</v>
      </c>
      <c r="AJ154" s="2"/>
      <c r="AK154" s="14">
        <f t="shared" si="5"/>
        <v>0</v>
      </c>
      <c r="AL154" s="2" t="s">
        <v>275</v>
      </c>
    </row>
    <row r="155" spans="1:38" ht="19.899999999999999" customHeight="1" x14ac:dyDescent="0.25">
      <c r="A155" s="2">
        <v>159</v>
      </c>
      <c r="B155" s="7" t="s">
        <v>282</v>
      </c>
      <c r="C155" s="4" t="s">
        <v>283</v>
      </c>
      <c r="D155" s="2" t="s">
        <v>244</v>
      </c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>
        <v>11</v>
      </c>
      <c r="AE155" s="23">
        <v>11</v>
      </c>
      <c r="AF155" s="23">
        <v>11</v>
      </c>
      <c r="AG155" s="23">
        <v>11</v>
      </c>
      <c r="AH155" s="23">
        <v>11</v>
      </c>
      <c r="AI155" s="22">
        <f t="shared" si="10"/>
        <v>55</v>
      </c>
      <c r="AJ155" s="2"/>
      <c r="AK155" s="14">
        <f>AI155*AJ155</f>
        <v>0</v>
      </c>
      <c r="AL155" s="2" t="s">
        <v>275</v>
      </c>
    </row>
    <row r="156" spans="1:38" ht="19.899999999999999" customHeight="1" x14ac:dyDescent="0.25">
      <c r="A156" s="2">
        <v>158</v>
      </c>
      <c r="B156" s="2" t="s">
        <v>173</v>
      </c>
      <c r="C156" s="4" t="s">
        <v>174</v>
      </c>
      <c r="D156" s="2" t="s">
        <v>244</v>
      </c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>
        <v>11</v>
      </c>
      <c r="AE156" s="23">
        <v>11</v>
      </c>
      <c r="AF156" s="23" t="s">
        <v>10</v>
      </c>
      <c r="AG156" s="23">
        <v>11</v>
      </c>
      <c r="AH156" s="23">
        <v>11</v>
      </c>
      <c r="AI156" s="22">
        <f t="shared" si="10"/>
        <v>44</v>
      </c>
      <c r="AJ156" s="2"/>
      <c r="AK156" s="14">
        <f>AI156*AJ156</f>
        <v>0</v>
      </c>
      <c r="AL156" s="2" t="s">
        <v>275</v>
      </c>
    </row>
    <row r="157" spans="1:38" ht="19.899999999999999" customHeight="1" x14ac:dyDescent="0.25">
      <c r="A157" s="2">
        <v>155</v>
      </c>
      <c r="B157" s="7" t="s">
        <v>169</v>
      </c>
      <c r="C157" s="4" t="s">
        <v>321</v>
      </c>
      <c r="D157" s="2" t="s">
        <v>244</v>
      </c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>
        <v>11</v>
      </c>
      <c r="AE157" s="23">
        <v>11</v>
      </c>
      <c r="AF157" s="23">
        <v>11</v>
      </c>
      <c r="AG157" s="23">
        <v>11</v>
      </c>
      <c r="AH157" s="23">
        <v>11</v>
      </c>
      <c r="AI157" s="22">
        <f t="shared" si="10"/>
        <v>55</v>
      </c>
      <c r="AJ157" s="2"/>
      <c r="AK157" s="14">
        <f t="shared" si="5"/>
        <v>0</v>
      </c>
      <c r="AL157" s="2" t="s">
        <v>275</v>
      </c>
    </row>
    <row r="158" spans="1:38" ht="19.899999999999999" customHeight="1" x14ac:dyDescent="0.25">
      <c r="A158" s="2">
        <v>157</v>
      </c>
      <c r="B158" s="7" t="s">
        <v>245</v>
      </c>
      <c r="C158" s="4" t="s">
        <v>246</v>
      </c>
      <c r="D158" s="2" t="s">
        <v>244</v>
      </c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>
        <v>11</v>
      </c>
      <c r="AE158" s="23">
        <v>11</v>
      </c>
      <c r="AF158" s="23">
        <v>11</v>
      </c>
      <c r="AG158" s="23">
        <v>11</v>
      </c>
      <c r="AH158" s="23">
        <v>11</v>
      </c>
      <c r="AI158" s="22">
        <f t="shared" si="10"/>
        <v>55</v>
      </c>
      <c r="AJ158" s="2"/>
      <c r="AK158" s="14">
        <f>AI158*AJ158</f>
        <v>0</v>
      </c>
      <c r="AL158" s="2" t="s">
        <v>275</v>
      </c>
    </row>
    <row r="159" spans="1:38" ht="19.899999999999999" customHeight="1" x14ac:dyDescent="0.25">
      <c r="A159" s="2">
        <v>156</v>
      </c>
      <c r="B159" s="7" t="s">
        <v>170</v>
      </c>
      <c r="C159" s="4" t="s">
        <v>323</v>
      </c>
      <c r="D159" s="2" t="s">
        <v>244</v>
      </c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>
        <v>11</v>
      </c>
      <c r="AE159" s="23">
        <v>11</v>
      </c>
      <c r="AF159" s="23">
        <v>11</v>
      </c>
      <c r="AG159" s="23">
        <v>11</v>
      </c>
      <c r="AH159" s="23">
        <v>11</v>
      </c>
      <c r="AI159" s="22">
        <f t="shared" si="10"/>
        <v>55</v>
      </c>
      <c r="AJ159" s="2"/>
      <c r="AK159" s="14">
        <f>AI159*AJ159</f>
        <v>0</v>
      </c>
      <c r="AL159" s="2" t="s">
        <v>275</v>
      </c>
    </row>
    <row r="160" spans="1:38" ht="19.899999999999999" customHeight="1" x14ac:dyDescent="0.25">
      <c r="A160" s="2">
        <v>153</v>
      </c>
      <c r="B160" s="2" t="s">
        <v>247</v>
      </c>
      <c r="C160" s="4" t="s">
        <v>248</v>
      </c>
      <c r="D160" s="2" t="s">
        <v>244</v>
      </c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>
        <v>11</v>
      </c>
      <c r="AE160" s="23">
        <v>11</v>
      </c>
      <c r="AF160" s="23">
        <v>11</v>
      </c>
      <c r="AG160" s="23">
        <v>11</v>
      </c>
      <c r="AH160" s="23" t="s">
        <v>32</v>
      </c>
      <c r="AI160" s="22">
        <f t="shared" si="10"/>
        <v>44</v>
      </c>
      <c r="AJ160" s="2"/>
      <c r="AK160" s="14">
        <f>AI160*AJ160</f>
        <v>0</v>
      </c>
      <c r="AL160" s="2" t="s">
        <v>275</v>
      </c>
    </row>
    <row r="161" spans="1:38" ht="19.899999999999999" customHeight="1" x14ac:dyDescent="0.25">
      <c r="A161" s="2">
        <v>154</v>
      </c>
      <c r="B161" s="7" t="s">
        <v>190</v>
      </c>
      <c r="C161" s="4" t="s">
        <v>191</v>
      </c>
      <c r="D161" s="2" t="s">
        <v>244</v>
      </c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>
        <v>11</v>
      </c>
      <c r="AE161" s="23">
        <v>11</v>
      </c>
      <c r="AF161" s="23" t="s">
        <v>10</v>
      </c>
      <c r="AG161" s="23">
        <v>11</v>
      </c>
      <c r="AH161" s="23">
        <v>11</v>
      </c>
      <c r="AI161" s="22">
        <f t="shared" si="10"/>
        <v>44</v>
      </c>
      <c r="AJ161" s="2"/>
      <c r="AK161" s="14">
        <f>AI161*AJ161</f>
        <v>0</v>
      </c>
      <c r="AL161" s="2" t="s">
        <v>275</v>
      </c>
    </row>
    <row r="162" spans="1:38" ht="19.899999999999999" customHeight="1" x14ac:dyDescent="0.25">
      <c r="A162" s="2">
        <v>160</v>
      </c>
      <c r="B162" s="2" t="s">
        <v>302</v>
      </c>
      <c r="C162" s="4" t="s">
        <v>215</v>
      </c>
      <c r="D162" s="2" t="s">
        <v>244</v>
      </c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>
        <v>11</v>
      </c>
      <c r="AE162" s="23">
        <v>11</v>
      </c>
      <c r="AF162" s="23" t="s">
        <v>10</v>
      </c>
      <c r="AG162" s="23">
        <v>11</v>
      </c>
      <c r="AH162" s="23">
        <v>11</v>
      </c>
      <c r="AI162" s="22">
        <f t="shared" si="10"/>
        <v>44</v>
      </c>
      <c r="AJ162" s="21"/>
      <c r="AK162" s="14">
        <f t="shared" ref="AK162:AK189" si="11">AI162*AJ162</f>
        <v>0</v>
      </c>
      <c r="AL162" s="2" t="s">
        <v>275</v>
      </c>
    </row>
    <row r="163" spans="1:38" ht="19.899999999999999" customHeight="1" x14ac:dyDescent="0.25">
      <c r="A163" s="2">
        <v>161</v>
      </c>
      <c r="B163" s="7" t="s">
        <v>280</v>
      </c>
      <c r="C163" s="4" t="s">
        <v>281</v>
      </c>
      <c r="D163" s="2" t="s">
        <v>165</v>
      </c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>
        <v>11</v>
      </c>
      <c r="AE163" s="23">
        <v>11</v>
      </c>
      <c r="AF163" s="23">
        <v>11</v>
      </c>
      <c r="AG163" s="23">
        <v>11</v>
      </c>
      <c r="AH163" s="23">
        <v>11</v>
      </c>
      <c r="AI163" s="22">
        <f t="shared" si="10"/>
        <v>55</v>
      </c>
      <c r="AJ163" s="2"/>
      <c r="AK163" s="14">
        <f t="shared" si="11"/>
        <v>0</v>
      </c>
      <c r="AL163" s="2" t="s">
        <v>275</v>
      </c>
    </row>
    <row r="164" spans="1:38" ht="19.899999999999999" customHeight="1" x14ac:dyDescent="0.25">
      <c r="A164" s="2">
        <v>162</v>
      </c>
      <c r="B164" s="7" t="s">
        <v>319</v>
      </c>
      <c r="C164" s="4" t="s">
        <v>320</v>
      </c>
      <c r="D164" s="2" t="s">
        <v>179</v>
      </c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>
        <v>11</v>
      </c>
      <c r="AE164" s="23">
        <v>11</v>
      </c>
      <c r="AF164" s="23" t="s">
        <v>10</v>
      </c>
      <c r="AG164" s="23">
        <v>11</v>
      </c>
      <c r="AH164" s="23">
        <v>11</v>
      </c>
      <c r="AI164" s="22">
        <f t="shared" si="10"/>
        <v>44</v>
      </c>
      <c r="AJ164" s="2"/>
      <c r="AK164" s="14">
        <f t="shared" si="11"/>
        <v>0</v>
      </c>
      <c r="AL164" s="2" t="s">
        <v>284</v>
      </c>
    </row>
    <row r="165" spans="1:38" ht="19.899999999999999" customHeight="1" x14ac:dyDescent="0.25">
      <c r="A165" s="2">
        <v>163</v>
      </c>
      <c r="B165" s="7" t="s">
        <v>205</v>
      </c>
      <c r="C165" s="4" t="s">
        <v>417</v>
      </c>
      <c r="D165" s="2" t="s">
        <v>179</v>
      </c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>
        <v>11</v>
      </c>
      <c r="AE165" s="23">
        <v>11</v>
      </c>
      <c r="AF165" s="23">
        <v>11</v>
      </c>
      <c r="AG165" s="23">
        <v>11</v>
      </c>
      <c r="AH165" s="23">
        <v>11</v>
      </c>
      <c r="AI165" s="22">
        <f t="shared" si="10"/>
        <v>55</v>
      </c>
      <c r="AJ165" s="2"/>
      <c r="AK165" s="14">
        <f t="shared" si="11"/>
        <v>0</v>
      </c>
      <c r="AL165" s="2" t="s">
        <v>284</v>
      </c>
    </row>
    <row r="166" spans="1:38" ht="19.899999999999999" customHeight="1" x14ac:dyDescent="0.25">
      <c r="A166" s="2">
        <v>164</v>
      </c>
      <c r="B166" s="7" t="s">
        <v>186</v>
      </c>
      <c r="C166" s="4" t="s">
        <v>187</v>
      </c>
      <c r="D166" s="2" t="s">
        <v>165</v>
      </c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>
        <v>11</v>
      </c>
      <c r="AE166" s="23">
        <v>11</v>
      </c>
      <c r="AF166" s="23">
        <v>11</v>
      </c>
      <c r="AG166" s="23">
        <v>11</v>
      </c>
      <c r="AH166" s="23">
        <v>11</v>
      </c>
      <c r="AI166" s="22">
        <f t="shared" si="10"/>
        <v>55</v>
      </c>
      <c r="AJ166" s="2"/>
      <c r="AK166" s="14">
        <f t="shared" ref="AK166:AK175" si="12">AI166*AJ166</f>
        <v>0</v>
      </c>
      <c r="AL166" s="2" t="s">
        <v>284</v>
      </c>
    </row>
    <row r="167" spans="1:38" ht="19.899999999999999" customHeight="1" x14ac:dyDescent="0.25">
      <c r="A167" s="2">
        <v>165</v>
      </c>
      <c r="B167" s="7">
        <v>275</v>
      </c>
      <c r="C167" s="4" t="s">
        <v>259</v>
      </c>
      <c r="D167" s="2" t="s">
        <v>165</v>
      </c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>
        <v>11</v>
      </c>
      <c r="AE167" s="23">
        <v>11</v>
      </c>
      <c r="AF167" s="23" t="s">
        <v>10</v>
      </c>
      <c r="AG167" s="23">
        <v>11</v>
      </c>
      <c r="AH167" s="23">
        <v>11</v>
      </c>
      <c r="AI167" s="22">
        <f t="shared" si="10"/>
        <v>44</v>
      </c>
      <c r="AJ167" s="2"/>
      <c r="AK167" s="14">
        <f t="shared" si="12"/>
        <v>0</v>
      </c>
      <c r="AL167" s="2" t="s">
        <v>284</v>
      </c>
    </row>
    <row r="168" spans="1:38" ht="19.899999999999999" customHeight="1" x14ac:dyDescent="0.25">
      <c r="A168" s="2">
        <v>166</v>
      </c>
      <c r="B168" s="7">
        <v>277</v>
      </c>
      <c r="C168" s="4" t="s">
        <v>501</v>
      </c>
      <c r="D168" s="2" t="s">
        <v>165</v>
      </c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>
        <v>11</v>
      </c>
      <c r="AE168" s="23">
        <v>11</v>
      </c>
      <c r="AF168" s="23" t="s">
        <v>10</v>
      </c>
      <c r="AG168" s="23" t="s">
        <v>32</v>
      </c>
      <c r="AH168" s="23">
        <v>11</v>
      </c>
      <c r="AI168" s="22">
        <f t="shared" si="10"/>
        <v>33</v>
      </c>
      <c r="AJ168" s="2"/>
      <c r="AK168" s="14">
        <f t="shared" si="12"/>
        <v>0</v>
      </c>
      <c r="AL168" s="2" t="s">
        <v>284</v>
      </c>
    </row>
    <row r="169" spans="1:38" ht="19.899999999999999" customHeight="1" x14ac:dyDescent="0.25">
      <c r="A169" s="2">
        <v>167</v>
      </c>
      <c r="B169" s="7" t="s">
        <v>235</v>
      </c>
      <c r="C169" s="4" t="s">
        <v>236</v>
      </c>
      <c r="D169" s="2" t="s">
        <v>165</v>
      </c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 t="s">
        <v>32</v>
      </c>
      <c r="AE169" s="23">
        <v>11</v>
      </c>
      <c r="AF169" s="23">
        <v>11</v>
      </c>
      <c r="AG169" s="23">
        <v>11</v>
      </c>
      <c r="AH169" s="23">
        <v>11</v>
      </c>
      <c r="AI169" s="22">
        <f t="shared" si="10"/>
        <v>44</v>
      </c>
      <c r="AJ169" s="2"/>
      <c r="AK169" s="14">
        <f t="shared" si="12"/>
        <v>0</v>
      </c>
      <c r="AL169" s="2" t="s">
        <v>284</v>
      </c>
    </row>
    <row r="170" spans="1:38" ht="19.899999999999999" customHeight="1" x14ac:dyDescent="0.25">
      <c r="A170" s="2">
        <v>168</v>
      </c>
      <c r="B170" s="2">
        <v>323</v>
      </c>
      <c r="C170" s="4" t="s">
        <v>326</v>
      </c>
      <c r="D170" s="2" t="s">
        <v>165</v>
      </c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>
        <v>11</v>
      </c>
      <c r="AE170" s="23">
        <v>11</v>
      </c>
      <c r="AF170" s="23" t="s">
        <v>10</v>
      </c>
      <c r="AG170" s="23">
        <v>11</v>
      </c>
      <c r="AH170" s="23">
        <v>11</v>
      </c>
      <c r="AI170" s="22">
        <f t="shared" si="10"/>
        <v>44</v>
      </c>
      <c r="AJ170" s="2"/>
      <c r="AK170" s="14">
        <f t="shared" si="12"/>
        <v>0</v>
      </c>
      <c r="AL170" s="2" t="s">
        <v>284</v>
      </c>
    </row>
    <row r="171" spans="1:38" ht="19.899999999999999" customHeight="1" x14ac:dyDescent="0.25">
      <c r="A171" s="2">
        <v>169</v>
      </c>
      <c r="B171" s="2">
        <v>339</v>
      </c>
      <c r="C171" s="4" t="s">
        <v>503</v>
      </c>
      <c r="D171" s="2" t="s">
        <v>165</v>
      </c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>
        <v>11</v>
      </c>
      <c r="AE171" s="23">
        <v>11</v>
      </c>
      <c r="AF171" s="23" t="s">
        <v>10</v>
      </c>
      <c r="AG171" s="23">
        <v>11</v>
      </c>
      <c r="AH171" s="23">
        <v>11</v>
      </c>
      <c r="AI171" s="22">
        <f t="shared" si="10"/>
        <v>44</v>
      </c>
      <c r="AJ171" s="2"/>
      <c r="AK171" s="14">
        <f t="shared" si="12"/>
        <v>0</v>
      </c>
      <c r="AL171" s="2" t="s">
        <v>284</v>
      </c>
    </row>
    <row r="172" spans="1:38" ht="19.899999999999999" customHeight="1" x14ac:dyDescent="0.25">
      <c r="A172" s="2">
        <v>170</v>
      </c>
      <c r="B172" s="7">
        <v>340</v>
      </c>
      <c r="C172" s="4" t="s">
        <v>504</v>
      </c>
      <c r="D172" s="2" t="s">
        <v>165</v>
      </c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>
        <v>11</v>
      </c>
      <c r="AE172" s="23">
        <v>11</v>
      </c>
      <c r="AF172" s="23">
        <v>11</v>
      </c>
      <c r="AG172" s="23">
        <v>11</v>
      </c>
      <c r="AH172" s="23">
        <v>11</v>
      </c>
      <c r="AI172" s="22">
        <f t="shared" si="10"/>
        <v>55</v>
      </c>
      <c r="AJ172" s="2"/>
      <c r="AK172" s="14">
        <f t="shared" si="12"/>
        <v>0</v>
      </c>
      <c r="AL172" s="2" t="s">
        <v>284</v>
      </c>
    </row>
    <row r="173" spans="1:38" ht="19.899999999999999" customHeight="1" x14ac:dyDescent="0.25">
      <c r="A173" s="2">
        <v>171</v>
      </c>
      <c r="B173" s="7">
        <v>358</v>
      </c>
      <c r="C173" s="4" t="s">
        <v>421</v>
      </c>
      <c r="D173" s="2" t="s">
        <v>165</v>
      </c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>
        <v>11</v>
      </c>
      <c r="AE173" s="23">
        <v>11</v>
      </c>
      <c r="AF173" s="23" t="s">
        <v>10</v>
      </c>
      <c r="AG173" s="23">
        <v>11</v>
      </c>
      <c r="AH173" s="23">
        <v>11</v>
      </c>
      <c r="AI173" s="22">
        <f t="shared" si="10"/>
        <v>44</v>
      </c>
      <c r="AJ173" s="2"/>
      <c r="AK173" s="14">
        <f t="shared" si="12"/>
        <v>0</v>
      </c>
      <c r="AL173" s="2" t="s">
        <v>284</v>
      </c>
    </row>
    <row r="174" spans="1:38" ht="19.899999999999999" customHeight="1" x14ac:dyDescent="0.25">
      <c r="A174" s="2">
        <v>172</v>
      </c>
      <c r="B174" s="2">
        <v>359</v>
      </c>
      <c r="C174" s="4" t="s">
        <v>422</v>
      </c>
      <c r="D174" s="2" t="s">
        <v>165</v>
      </c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>
        <v>11</v>
      </c>
      <c r="AE174" s="23">
        <v>11</v>
      </c>
      <c r="AF174" s="23" t="s">
        <v>10</v>
      </c>
      <c r="AG174" s="23">
        <v>11</v>
      </c>
      <c r="AH174" s="23">
        <v>11</v>
      </c>
      <c r="AI174" s="22">
        <f t="shared" si="10"/>
        <v>44</v>
      </c>
      <c r="AJ174" s="21"/>
      <c r="AK174" s="14">
        <f t="shared" si="12"/>
        <v>0</v>
      </c>
      <c r="AL174" s="2" t="s">
        <v>284</v>
      </c>
    </row>
    <row r="175" spans="1:38" ht="19.899999999999999" customHeight="1" x14ac:dyDescent="0.25">
      <c r="A175" s="2">
        <v>173</v>
      </c>
      <c r="B175" s="2">
        <v>362</v>
      </c>
      <c r="C175" s="4" t="s">
        <v>459</v>
      </c>
      <c r="D175" s="2" t="s">
        <v>165</v>
      </c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>
        <v>11</v>
      </c>
      <c r="AE175" s="23">
        <v>11</v>
      </c>
      <c r="AF175" s="23" t="s">
        <v>10</v>
      </c>
      <c r="AG175" s="23">
        <v>11</v>
      </c>
      <c r="AH175" s="23">
        <v>11</v>
      </c>
      <c r="AI175" s="22">
        <f t="shared" si="10"/>
        <v>44</v>
      </c>
      <c r="AJ175" s="2"/>
      <c r="AK175" s="14">
        <f t="shared" si="12"/>
        <v>0</v>
      </c>
      <c r="AL175" s="2" t="s">
        <v>284</v>
      </c>
    </row>
    <row r="176" spans="1:38" ht="19.899999999999999" customHeight="1" x14ac:dyDescent="0.25">
      <c r="A176" s="2">
        <v>174</v>
      </c>
      <c r="B176" s="7">
        <v>364</v>
      </c>
      <c r="C176" s="4" t="s">
        <v>461</v>
      </c>
      <c r="D176" s="2" t="s">
        <v>165</v>
      </c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>
        <v>11</v>
      </c>
      <c r="AE176" s="23">
        <v>11</v>
      </c>
      <c r="AF176" s="23">
        <v>11</v>
      </c>
      <c r="AG176" s="23">
        <v>11</v>
      </c>
      <c r="AH176" s="23">
        <v>11</v>
      </c>
      <c r="AI176" s="22">
        <f t="shared" si="10"/>
        <v>55</v>
      </c>
      <c r="AJ176" s="2"/>
      <c r="AK176" s="14">
        <f t="shared" si="11"/>
        <v>0</v>
      </c>
      <c r="AL176" s="2" t="s">
        <v>284</v>
      </c>
    </row>
    <row r="177" spans="1:38" ht="19.899999999999999" customHeight="1" x14ac:dyDescent="0.25">
      <c r="A177" s="2">
        <v>175</v>
      </c>
      <c r="B177" s="7">
        <v>371</v>
      </c>
      <c r="C177" s="4" t="s">
        <v>462</v>
      </c>
      <c r="D177" s="2" t="s">
        <v>165</v>
      </c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>
        <v>11</v>
      </c>
      <c r="AE177" s="23">
        <v>11</v>
      </c>
      <c r="AF177" s="23" t="s">
        <v>10</v>
      </c>
      <c r="AG177" s="23">
        <v>11</v>
      </c>
      <c r="AH177" s="23">
        <v>11</v>
      </c>
      <c r="AI177" s="22">
        <f t="shared" si="10"/>
        <v>44</v>
      </c>
      <c r="AJ177" s="2"/>
      <c r="AK177" s="14">
        <f t="shared" si="11"/>
        <v>0</v>
      </c>
      <c r="AL177" s="2" t="s">
        <v>284</v>
      </c>
    </row>
    <row r="178" spans="1:38" ht="19.899999999999999" customHeight="1" x14ac:dyDescent="0.25">
      <c r="A178" s="2">
        <v>176</v>
      </c>
      <c r="B178" s="7">
        <v>363</v>
      </c>
      <c r="C178" s="4" t="s">
        <v>460</v>
      </c>
      <c r="D178" s="2" t="s">
        <v>165</v>
      </c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>
        <v>11</v>
      </c>
      <c r="AE178" s="23">
        <v>11</v>
      </c>
      <c r="AF178" s="23" t="s">
        <v>10</v>
      </c>
      <c r="AG178" s="23">
        <v>11</v>
      </c>
      <c r="AH178" s="23">
        <v>11</v>
      </c>
      <c r="AI178" s="22">
        <f t="shared" si="10"/>
        <v>44</v>
      </c>
      <c r="AJ178" s="2"/>
      <c r="AK178" s="14">
        <f t="shared" si="11"/>
        <v>0</v>
      </c>
      <c r="AL178" s="2" t="s">
        <v>284</v>
      </c>
    </row>
    <row r="179" spans="1:38" ht="19.899999999999999" customHeight="1" x14ac:dyDescent="0.25">
      <c r="A179" s="2">
        <v>177</v>
      </c>
      <c r="B179" s="7">
        <v>379</v>
      </c>
      <c r="C179" s="4" t="s">
        <v>506</v>
      </c>
      <c r="D179" s="2" t="s">
        <v>165</v>
      </c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>
        <v>11</v>
      </c>
      <c r="AE179" s="23">
        <v>11</v>
      </c>
      <c r="AF179" s="23" t="s">
        <v>10</v>
      </c>
      <c r="AG179" s="23">
        <v>11</v>
      </c>
      <c r="AH179" s="23">
        <v>11</v>
      </c>
      <c r="AI179" s="22">
        <f t="shared" si="10"/>
        <v>44</v>
      </c>
      <c r="AJ179" s="2"/>
      <c r="AK179" s="14">
        <f t="shared" si="11"/>
        <v>0</v>
      </c>
      <c r="AL179" s="2" t="s">
        <v>284</v>
      </c>
    </row>
    <row r="180" spans="1:38" ht="19.899999999999999" customHeight="1" x14ac:dyDescent="0.25">
      <c r="A180" s="2">
        <v>178</v>
      </c>
      <c r="B180" s="2" t="s">
        <v>177</v>
      </c>
      <c r="C180" s="4" t="s">
        <v>178</v>
      </c>
      <c r="D180" s="2" t="s">
        <v>165</v>
      </c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>
        <v>11</v>
      </c>
      <c r="AE180" s="23">
        <v>11</v>
      </c>
      <c r="AF180" s="23" t="s">
        <v>10</v>
      </c>
      <c r="AG180" s="23">
        <v>11</v>
      </c>
      <c r="AH180" s="23">
        <v>11</v>
      </c>
      <c r="AI180" s="22">
        <f t="shared" si="10"/>
        <v>44</v>
      </c>
      <c r="AJ180" s="2"/>
      <c r="AK180" s="14">
        <f t="shared" si="11"/>
        <v>0</v>
      </c>
      <c r="AL180" s="2" t="s">
        <v>284</v>
      </c>
    </row>
    <row r="181" spans="1:38" ht="19.899999999999999" customHeight="1" x14ac:dyDescent="0.25">
      <c r="A181" s="2">
        <v>179</v>
      </c>
      <c r="B181" s="2" t="s">
        <v>463</v>
      </c>
      <c r="C181" s="4" t="s">
        <v>464</v>
      </c>
      <c r="D181" s="2" t="s">
        <v>165</v>
      </c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>
        <v>11</v>
      </c>
      <c r="AE181" s="23">
        <v>11</v>
      </c>
      <c r="AF181" s="23" t="s">
        <v>10</v>
      </c>
      <c r="AG181" s="23">
        <v>11</v>
      </c>
      <c r="AH181" s="23">
        <v>11</v>
      </c>
      <c r="AI181" s="22">
        <f t="shared" si="10"/>
        <v>44</v>
      </c>
      <c r="AJ181" s="2"/>
      <c r="AK181" s="14">
        <f t="shared" si="11"/>
        <v>0</v>
      </c>
      <c r="AL181" s="2" t="s">
        <v>284</v>
      </c>
    </row>
    <row r="182" spans="1:38" ht="19.899999999999999" customHeight="1" x14ac:dyDescent="0.25">
      <c r="A182" s="2">
        <v>180</v>
      </c>
      <c r="B182" s="7" t="s">
        <v>239</v>
      </c>
      <c r="C182" s="4" t="s">
        <v>240</v>
      </c>
      <c r="D182" s="2" t="s">
        <v>165</v>
      </c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>
        <v>11</v>
      </c>
      <c r="AE182" s="23">
        <v>11</v>
      </c>
      <c r="AF182" s="23" t="s">
        <v>10</v>
      </c>
      <c r="AG182" s="23">
        <v>11</v>
      </c>
      <c r="AH182" s="23">
        <v>11</v>
      </c>
      <c r="AI182" s="22">
        <f t="shared" si="10"/>
        <v>44</v>
      </c>
      <c r="AJ182" s="2"/>
      <c r="AK182" s="14">
        <f t="shared" si="11"/>
        <v>0</v>
      </c>
      <c r="AL182" s="2" t="s">
        <v>284</v>
      </c>
    </row>
    <row r="183" spans="1:38" ht="19.899999999999999" customHeight="1" x14ac:dyDescent="0.25">
      <c r="A183" s="2">
        <v>181</v>
      </c>
      <c r="B183" s="7" t="s">
        <v>180</v>
      </c>
      <c r="C183" s="4" t="s">
        <v>181</v>
      </c>
      <c r="D183" s="2" t="s">
        <v>165</v>
      </c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>
        <v>11</v>
      </c>
      <c r="AE183" s="23">
        <v>11</v>
      </c>
      <c r="AF183" s="23">
        <v>11</v>
      </c>
      <c r="AG183" s="23">
        <v>11</v>
      </c>
      <c r="AH183" s="23">
        <v>11</v>
      </c>
      <c r="AI183" s="22">
        <f t="shared" si="10"/>
        <v>55</v>
      </c>
      <c r="AJ183" s="2"/>
      <c r="AK183" s="14">
        <f t="shared" si="11"/>
        <v>0</v>
      </c>
      <c r="AL183" s="2" t="s">
        <v>284</v>
      </c>
    </row>
    <row r="184" spans="1:38" ht="19.899999999999999" customHeight="1" x14ac:dyDescent="0.25">
      <c r="A184" s="2">
        <v>182</v>
      </c>
      <c r="B184" s="7">
        <v>111</v>
      </c>
      <c r="C184" s="4" t="s">
        <v>214</v>
      </c>
      <c r="D184" s="2" t="s">
        <v>165</v>
      </c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>
        <v>11</v>
      </c>
      <c r="AE184" s="23">
        <v>11</v>
      </c>
      <c r="AF184" s="23" t="s">
        <v>10</v>
      </c>
      <c r="AG184" s="23">
        <v>11</v>
      </c>
      <c r="AH184" s="23">
        <v>11</v>
      </c>
      <c r="AI184" s="22">
        <f t="shared" si="10"/>
        <v>44</v>
      </c>
      <c r="AJ184" s="2"/>
      <c r="AK184" s="14">
        <f t="shared" si="11"/>
        <v>0</v>
      </c>
      <c r="AL184" s="2" t="s">
        <v>284</v>
      </c>
    </row>
    <row r="185" spans="1:38" ht="19.899999999999999" customHeight="1" x14ac:dyDescent="0.25">
      <c r="A185" s="2">
        <v>183</v>
      </c>
      <c r="B185" s="7" t="s">
        <v>168</v>
      </c>
      <c r="C185" s="4" t="s">
        <v>368</v>
      </c>
      <c r="D185" s="2" t="s">
        <v>165</v>
      </c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>
        <v>11</v>
      </c>
      <c r="AE185" s="23">
        <v>11</v>
      </c>
      <c r="AF185" s="23" t="s">
        <v>10</v>
      </c>
      <c r="AG185" s="23">
        <v>11</v>
      </c>
      <c r="AH185" s="23">
        <v>11</v>
      </c>
      <c r="AI185" s="22">
        <f t="shared" si="10"/>
        <v>44</v>
      </c>
      <c r="AJ185" s="2"/>
      <c r="AK185" s="14">
        <f t="shared" si="11"/>
        <v>0</v>
      </c>
      <c r="AL185" s="2" t="s">
        <v>284</v>
      </c>
    </row>
    <row r="186" spans="1:38" ht="19.899999999999999" customHeight="1" x14ac:dyDescent="0.25">
      <c r="A186" s="2">
        <v>184</v>
      </c>
      <c r="B186" s="7" t="s">
        <v>260</v>
      </c>
      <c r="C186" s="4" t="s">
        <v>261</v>
      </c>
      <c r="D186" s="2" t="s">
        <v>165</v>
      </c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>
        <v>11</v>
      </c>
      <c r="AE186" s="23">
        <v>11</v>
      </c>
      <c r="AF186" s="23">
        <v>11</v>
      </c>
      <c r="AG186" s="23">
        <v>11</v>
      </c>
      <c r="AH186" s="23" t="s">
        <v>32</v>
      </c>
      <c r="AI186" s="22">
        <f t="shared" si="10"/>
        <v>44</v>
      </c>
      <c r="AJ186" s="2"/>
      <c r="AK186" s="14">
        <f t="shared" si="11"/>
        <v>0</v>
      </c>
      <c r="AL186" s="2" t="s">
        <v>284</v>
      </c>
    </row>
    <row r="187" spans="1:38" ht="19.899999999999999" customHeight="1" x14ac:dyDescent="0.25">
      <c r="A187" s="2">
        <v>185</v>
      </c>
      <c r="B187" s="7">
        <v>246</v>
      </c>
      <c r="C187" s="4" t="s">
        <v>500</v>
      </c>
      <c r="D187" s="2" t="s">
        <v>165</v>
      </c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>
        <v>11</v>
      </c>
      <c r="AE187" s="23">
        <v>11</v>
      </c>
      <c r="AF187" s="23" t="s">
        <v>10</v>
      </c>
      <c r="AG187" s="23">
        <v>11</v>
      </c>
      <c r="AH187" s="23">
        <v>11</v>
      </c>
      <c r="AI187" s="22">
        <f t="shared" si="10"/>
        <v>44</v>
      </c>
      <c r="AJ187" s="2"/>
      <c r="AK187" s="14">
        <f t="shared" si="11"/>
        <v>0</v>
      </c>
      <c r="AL187" s="2" t="s">
        <v>284</v>
      </c>
    </row>
    <row r="188" spans="1:38" ht="19.899999999999999" customHeight="1" x14ac:dyDescent="0.25">
      <c r="A188" s="2">
        <v>186</v>
      </c>
      <c r="B188" s="7" t="s">
        <v>268</v>
      </c>
      <c r="C188" s="4" t="s">
        <v>269</v>
      </c>
      <c r="D188" s="2" t="s">
        <v>165</v>
      </c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>
        <v>11</v>
      </c>
      <c r="AE188" s="23">
        <v>11</v>
      </c>
      <c r="AF188" s="23" t="s">
        <v>10</v>
      </c>
      <c r="AG188" s="23">
        <v>11</v>
      </c>
      <c r="AH188" s="23">
        <v>11</v>
      </c>
      <c r="AI188" s="22">
        <f t="shared" si="10"/>
        <v>44</v>
      </c>
      <c r="AJ188" s="2"/>
      <c r="AK188" s="14">
        <f t="shared" si="11"/>
        <v>0</v>
      </c>
      <c r="AL188" s="2" t="s">
        <v>284</v>
      </c>
    </row>
    <row r="189" spans="1:38" ht="19.899999999999999" customHeight="1" x14ac:dyDescent="0.25">
      <c r="A189" s="2">
        <v>187</v>
      </c>
      <c r="B189" s="7" t="s">
        <v>272</v>
      </c>
      <c r="C189" s="4" t="s">
        <v>197</v>
      </c>
      <c r="D189" s="2" t="s">
        <v>165</v>
      </c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 t="s">
        <v>32</v>
      </c>
      <c r="AE189" s="23" t="s">
        <v>32</v>
      </c>
      <c r="AF189" s="23" t="s">
        <v>10</v>
      </c>
      <c r="AG189" s="23">
        <v>11</v>
      </c>
      <c r="AH189" s="23">
        <v>11</v>
      </c>
      <c r="AI189" s="22">
        <f t="shared" si="10"/>
        <v>22</v>
      </c>
      <c r="AJ189" s="2"/>
      <c r="AK189" s="14">
        <f t="shared" si="11"/>
        <v>0</v>
      </c>
      <c r="AL189" s="2" t="s">
        <v>284</v>
      </c>
    </row>
    <row r="190" spans="1:38" ht="19.899999999999999" customHeight="1" x14ac:dyDescent="0.25">
      <c r="A190" s="2"/>
      <c r="B190" s="2"/>
      <c r="C190" s="4"/>
      <c r="D190" s="2"/>
      <c r="E190" s="23"/>
      <c r="F190" s="23"/>
      <c r="G190" s="13"/>
      <c r="H190" s="23"/>
      <c r="I190" s="13"/>
      <c r="J190" s="13"/>
      <c r="K190" s="13"/>
      <c r="L190" s="23"/>
      <c r="M190" s="23"/>
      <c r="N190" s="13"/>
      <c r="O190" s="23"/>
      <c r="P190" s="13"/>
      <c r="Q190" s="13"/>
      <c r="R190" s="13"/>
      <c r="S190" s="23"/>
      <c r="T190" s="23"/>
      <c r="U190" s="13"/>
      <c r="V190" s="23"/>
      <c r="W190" s="23"/>
      <c r="X190" s="13"/>
      <c r="Y190" s="13"/>
      <c r="Z190" s="13"/>
      <c r="AA190" s="23"/>
      <c r="AB190" s="23"/>
      <c r="AC190" s="23"/>
      <c r="AD190" s="13"/>
      <c r="AE190" s="23"/>
      <c r="AF190" s="13"/>
      <c r="AG190" s="13"/>
      <c r="AH190" s="13"/>
      <c r="AI190" s="5"/>
      <c r="AJ190" s="2"/>
      <c r="AK190" s="2"/>
      <c r="AL190" s="2"/>
    </row>
    <row r="191" spans="1:38" ht="18" customHeight="1" x14ac:dyDescent="0.25">
      <c r="AI191" s="11">
        <f>SUM(AI3:AI190)</f>
        <v>30628</v>
      </c>
      <c r="AK191" s="12">
        <f>SUM(AK3:AK190)</f>
        <v>0</v>
      </c>
    </row>
    <row r="194" spans="3:37" ht="18" customHeight="1" x14ac:dyDescent="0.25">
      <c r="C194" s="6"/>
    </row>
    <row r="195" spans="3:37" ht="18" customHeight="1" x14ac:dyDescent="0.25">
      <c r="C195" s="6"/>
      <c r="AI195" s="11"/>
      <c r="AK195" s="15"/>
    </row>
    <row r="196" spans="3:37" ht="18" customHeight="1" x14ac:dyDescent="0.25">
      <c r="C196" s="6"/>
    </row>
    <row r="197" spans="3:37" ht="18" customHeight="1" x14ac:dyDescent="0.25">
      <c r="C197" s="6"/>
    </row>
    <row r="198" spans="3:37" ht="18" customHeight="1" x14ac:dyDescent="0.25">
      <c r="C198" s="6"/>
    </row>
    <row r="199" spans="3:37" ht="18" customHeight="1" x14ac:dyDescent="0.25">
      <c r="C199" s="6"/>
    </row>
    <row r="200" spans="3:37" ht="18" customHeight="1" x14ac:dyDescent="0.25">
      <c r="C200" s="6"/>
    </row>
    <row r="201" spans="3:37" ht="18" customHeight="1" x14ac:dyDescent="0.25">
      <c r="C201" s="6"/>
    </row>
    <row r="202" spans="3:37" ht="18" customHeight="1" x14ac:dyDescent="0.25">
      <c r="C202" s="6"/>
    </row>
    <row r="203" spans="3:37" ht="18" customHeight="1" x14ac:dyDescent="0.25">
      <c r="C203" s="6"/>
    </row>
    <row r="204" spans="3:37" ht="18" customHeight="1" x14ac:dyDescent="0.25">
      <c r="C204" s="6"/>
    </row>
    <row r="205" spans="3:37" ht="18" customHeight="1" x14ac:dyDescent="0.25">
      <c r="C205" s="6"/>
    </row>
    <row r="206" spans="3:37" ht="18" customHeight="1" x14ac:dyDescent="0.25">
      <c r="C206" s="6"/>
    </row>
    <row r="207" spans="3:37" ht="18" customHeight="1" x14ac:dyDescent="0.25">
      <c r="C207" s="6"/>
    </row>
    <row r="208" spans="3:37" ht="18" customHeight="1" x14ac:dyDescent="0.25">
      <c r="C208" s="6"/>
    </row>
    <row r="209" spans="3:3" ht="18" customHeight="1" x14ac:dyDescent="0.25">
      <c r="C209" s="6"/>
    </row>
    <row r="210" spans="3:3" ht="18" customHeight="1" x14ac:dyDescent="0.25">
      <c r="C210" s="6"/>
    </row>
    <row r="211" spans="3:3" ht="18" customHeight="1" x14ac:dyDescent="0.25">
      <c r="C211" s="6"/>
    </row>
    <row r="212" spans="3:3" ht="18" customHeight="1" x14ac:dyDescent="0.25">
      <c r="C212" s="6"/>
    </row>
    <row r="213" spans="3:3" ht="18" customHeight="1" x14ac:dyDescent="0.25">
      <c r="C213" s="6"/>
    </row>
    <row r="214" spans="3:3" ht="18" customHeight="1" x14ac:dyDescent="0.25">
      <c r="C214" s="6"/>
    </row>
    <row r="215" spans="3:3" ht="18" customHeight="1" x14ac:dyDescent="0.25">
      <c r="C215" s="6"/>
    </row>
    <row r="216" spans="3:3" ht="18" customHeight="1" x14ac:dyDescent="0.25">
      <c r="C216" s="6"/>
    </row>
    <row r="217" spans="3:3" ht="18" customHeight="1" x14ac:dyDescent="0.25">
      <c r="C217" s="6"/>
    </row>
    <row r="218" spans="3:3" ht="18" customHeight="1" x14ac:dyDescent="0.25">
      <c r="C218" s="6"/>
    </row>
    <row r="219" spans="3:3" ht="18" customHeight="1" x14ac:dyDescent="0.25">
      <c r="C219" s="6"/>
    </row>
    <row r="220" spans="3:3" ht="18" customHeight="1" x14ac:dyDescent="0.25">
      <c r="C220" s="6"/>
    </row>
    <row r="221" spans="3:3" ht="18" customHeight="1" x14ac:dyDescent="0.25">
      <c r="C221" s="6"/>
    </row>
    <row r="222" spans="3:3" ht="18" customHeight="1" x14ac:dyDescent="0.25">
      <c r="C222" s="6"/>
    </row>
    <row r="223" spans="3:3" ht="18" customHeight="1" x14ac:dyDescent="0.25">
      <c r="C223" s="6"/>
    </row>
    <row r="224" spans="3:3" ht="18" customHeight="1" x14ac:dyDescent="0.25">
      <c r="C224" s="6"/>
    </row>
    <row r="225" spans="3:3" ht="18" customHeight="1" x14ac:dyDescent="0.25">
      <c r="C225" s="6"/>
    </row>
    <row r="226" spans="3:3" ht="18" customHeight="1" x14ac:dyDescent="0.25">
      <c r="C226" s="6"/>
    </row>
    <row r="227" spans="3:3" ht="18" customHeight="1" x14ac:dyDescent="0.25">
      <c r="C227" s="6"/>
    </row>
    <row r="228" spans="3:3" ht="18" customHeight="1" x14ac:dyDescent="0.25">
      <c r="C228" s="6"/>
    </row>
    <row r="229" spans="3:3" ht="18" customHeight="1" x14ac:dyDescent="0.25">
      <c r="C229" s="6"/>
    </row>
    <row r="230" spans="3:3" ht="18" customHeight="1" x14ac:dyDescent="0.25">
      <c r="C230" s="6"/>
    </row>
    <row r="231" spans="3:3" ht="18" customHeight="1" x14ac:dyDescent="0.25">
      <c r="C231" s="6"/>
    </row>
    <row r="232" spans="3:3" ht="18" customHeight="1" x14ac:dyDescent="0.25">
      <c r="C232" s="6"/>
    </row>
    <row r="233" spans="3:3" ht="18" customHeight="1" x14ac:dyDescent="0.25">
      <c r="C233" s="6"/>
    </row>
    <row r="234" spans="3:3" ht="18" customHeight="1" x14ac:dyDescent="0.25">
      <c r="C234" s="6"/>
    </row>
    <row r="235" spans="3:3" ht="18" customHeight="1" x14ac:dyDescent="0.25">
      <c r="C235" s="6"/>
    </row>
    <row r="236" spans="3:3" ht="18" customHeight="1" x14ac:dyDescent="0.25">
      <c r="C236" s="6"/>
    </row>
    <row r="237" spans="3:3" ht="18" customHeight="1" x14ac:dyDescent="0.25">
      <c r="C237" s="6"/>
    </row>
    <row r="238" spans="3:3" ht="18" customHeight="1" x14ac:dyDescent="0.25">
      <c r="C238" s="6"/>
    </row>
    <row r="239" spans="3:3" ht="18" customHeight="1" x14ac:dyDescent="0.25">
      <c r="C239" s="6"/>
    </row>
    <row r="240" spans="3:3" ht="18" customHeight="1" x14ac:dyDescent="0.25">
      <c r="C240" s="6"/>
    </row>
    <row r="241" spans="3:3" ht="18" customHeight="1" x14ac:dyDescent="0.25">
      <c r="C241" s="6"/>
    </row>
    <row r="242" spans="3:3" ht="18" customHeight="1" x14ac:dyDescent="0.25">
      <c r="C242" s="6"/>
    </row>
    <row r="243" spans="3:3" ht="18" customHeight="1" x14ac:dyDescent="0.25">
      <c r="C243" s="6"/>
    </row>
    <row r="244" spans="3:3" ht="18" customHeight="1" x14ac:dyDescent="0.25">
      <c r="C244" s="6"/>
    </row>
    <row r="245" spans="3:3" ht="18" customHeight="1" x14ac:dyDescent="0.25">
      <c r="C245" s="6"/>
    </row>
    <row r="246" spans="3:3" ht="18" customHeight="1" x14ac:dyDescent="0.25">
      <c r="C246" s="6"/>
    </row>
    <row r="247" spans="3:3" ht="18" customHeight="1" x14ac:dyDescent="0.25">
      <c r="C247" s="6"/>
    </row>
    <row r="248" spans="3:3" ht="18" customHeight="1" x14ac:dyDescent="0.25">
      <c r="C248" s="6"/>
    </row>
    <row r="249" spans="3:3" ht="18" customHeight="1" x14ac:dyDescent="0.25">
      <c r="C249" s="6"/>
    </row>
    <row r="250" spans="3:3" ht="18" customHeight="1" x14ac:dyDescent="0.25">
      <c r="C250" s="6"/>
    </row>
    <row r="251" spans="3:3" ht="18" customHeight="1" x14ac:dyDescent="0.25">
      <c r="C251" s="6"/>
    </row>
    <row r="252" spans="3:3" ht="18" customHeight="1" x14ac:dyDescent="0.25">
      <c r="C252" s="6"/>
    </row>
    <row r="253" spans="3:3" ht="18" customHeight="1" x14ac:dyDescent="0.25">
      <c r="C253" s="6"/>
    </row>
    <row r="254" spans="3:3" ht="18" customHeight="1" x14ac:dyDescent="0.25">
      <c r="C254" s="6"/>
    </row>
    <row r="255" spans="3:3" ht="18" customHeight="1" x14ac:dyDescent="0.25">
      <c r="C255" s="6"/>
    </row>
    <row r="256" spans="3:3" ht="18" customHeight="1" x14ac:dyDescent="0.25">
      <c r="C256" s="6"/>
    </row>
    <row r="257" spans="3:3" ht="18" customHeight="1" x14ac:dyDescent="0.25">
      <c r="C257" s="6"/>
    </row>
    <row r="258" spans="3:3" ht="18" customHeight="1" x14ac:dyDescent="0.25">
      <c r="C258" s="6"/>
    </row>
    <row r="259" spans="3:3" ht="18" customHeight="1" x14ac:dyDescent="0.25">
      <c r="C259" s="6"/>
    </row>
    <row r="260" spans="3:3" ht="18" customHeight="1" x14ac:dyDescent="0.25">
      <c r="C260" s="6"/>
    </row>
    <row r="261" spans="3:3" ht="18" customHeight="1" x14ac:dyDescent="0.25">
      <c r="C261" s="6"/>
    </row>
    <row r="262" spans="3:3" ht="18" customHeight="1" x14ac:dyDescent="0.25">
      <c r="C262" s="6"/>
    </row>
    <row r="263" spans="3:3" ht="18" customHeight="1" x14ac:dyDescent="0.25">
      <c r="C263" s="6"/>
    </row>
    <row r="264" spans="3:3" ht="18" customHeight="1" x14ac:dyDescent="0.25">
      <c r="C264" s="6"/>
    </row>
    <row r="265" spans="3:3" ht="18" customHeight="1" x14ac:dyDescent="0.25">
      <c r="C265" s="6"/>
    </row>
    <row r="266" spans="3:3" ht="18" customHeight="1" x14ac:dyDescent="0.25">
      <c r="C266" s="6"/>
    </row>
    <row r="267" spans="3:3" ht="18" customHeight="1" x14ac:dyDescent="0.25">
      <c r="C267" s="6"/>
    </row>
    <row r="268" spans="3:3" ht="18" customHeight="1" x14ac:dyDescent="0.25">
      <c r="C268" s="6"/>
    </row>
    <row r="269" spans="3:3" ht="18" customHeight="1" x14ac:dyDescent="0.25">
      <c r="C269" s="6"/>
    </row>
    <row r="270" spans="3:3" ht="18" customHeight="1" x14ac:dyDescent="0.25">
      <c r="C270" s="6"/>
    </row>
    <row r="271" spans="3:3" ht="18" customHeight="1" x14ac:dyDescent="0.25">
      <c r="C271" s="6"/>
    </row>
    <row r="272" spans="3:3" ht="18" customHeight="1" x14ac:dyDescent="0.25">
      <c r="C272" s="6"/>
    </row>
    <row r="273" spans="3:3" ht="18" customHeight="1" x14ac:dyDescent="0.25">
      <c r="C273" s="6"/>
    </row>
    <row r="274" spans="3:3" ht="18" customHeight="1" x14ac:dyDescent="0.25">
      <c r="C274" s="6"/>
    </row>
    <row r="275" spans="3:3" ht="18" customHeight="1" x14ac:dyDescent="0.25">
      <c r="C275" s="6"/>
    </row>
    <row r="276" spans="3:3" ht="18" customHeight="1" x14ac:dyDescent="0.25">
      <c r="C276" s="6"/>
    </row>
    <row r="277" spans="3:3" ht="18" customHeight="1" x14ac:dyDescent="0.25">
      <c r="C277" s="6"/>
    </row>
    <row r="278" spans="3:3" ht="18" customHeight="1" x14ac:dyDescent="0.25">
      <c r="C278" s="6"/>
    </row>
  </sheetData>
  <autoFilter ref="A2:AL2" xr:uid="{00000000-0001-0000-0000-000000000000}"/>
  <mergeCells count="1">
    <mergeCell ref="A1:AL1"/>
  </mergeCells>
  <conditionalFormatting sqref="B1:B2">
    <cfRule type="duplicateValues" dxfId="712" priority="1"/>
  </conditionalFormatting>
  <conditionalFormatting sqref="B2">
    <cfRule type="duplicateValues" dxfId="711" priority="2"/>
    <cfRule type="duplicateValues" dxfId="710" priority="3"/>
    <cfRule type="duplicateValues" dxfId="709" priority="4"/>
    <cfRule type="duplicateValues" dxfId="708" priority="5"/>
    <cfRule type="duplicateValues" dxfId="707" priority="6"/>
    <cfRule type="duplicateValues" dxfId="706" priority="7"/>
    <cfRule type="duplicateValues" dxfId="705" priority="8"/>
    <cfRule type="duplicateValues" dxfId="704" priority="9"/>
    <cfRule type="duplicateValues" dxfId="703" priority="10"/>
    <cfRule type="duplicateValues" dxfId="702" priority="11"/>
    <cfRule type="duplicateValues" dxfId="701" priority="12"/>
    <cfRule type="duplicateValues" dxfId="700" priority="13"/>
    <cfRule type="duplicateValues" dxfId="699" priority="14"/>
  </conditionalFormatting>
  <conditionalFormatting sqref="B3:B1048576">
    <cfRule type="duplicateValues" dxfId="698" priority="66"/>
    <cfRule type="duplicateValues" dxfId="697" priority="89"/>
  </conditionalFormatting>
  <conditionalFormatting sqref="B141:B146">
    <cfRule type="duplicateValues" dxfId="696" priority="27170"/>
  </conditionalFormatting>
  <conditionalFormatting sqref="B147:B150">
    <cfRule type="duplicateValues" dxfId="695" priority="27177"/>
  </conditionalFormatting>
  <conditionalFormatting sqref="B160 B48 B151:B154 B110:B137 B163:B173 B175:B223">
    <cfRule type="duplicateValues" dxfId="694" priority="17476"/>
  </conditionalFormatting>
  <conditionalFormatting sqref="E3:AH190">
    <cfRule type="containsText" dxfId="693" priority="67" operator="containsText" text="OT">
      <formula>NOT(ISERROR(SEARCH("OT",E3)))</formula>
    </cfRule>
    <cfRule type="containsText" dxfId="692" priority="68" operator="containsText" text="PH">
      <formula>NOT(ISERROR(SEARCH("PH",E3)))</formula>
    </cfRule>
    <cfRule type="containsText" dxfId="691" priority="69" operator="containsText" text="S">
      <formula>NOT(ISERROR(SEARCH("S",E3)))</formula>
    </cfRule>
    <cfRule type="containsText" dxfId="690" priority="70" operator="containsText" text="S">
      <formula>NOT(ISERROR(SEARCH("S",E3)))</formula>
    </cfRule>
    <cfRule type="containsText" dxfId="689" priority="71" operator="containsText" text="A">
      <formula>NOT(ISERROR(SEARCH("A",E3)))</formula>
    </cfRule>
  </conditionalFormatting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81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:A118"/>
    </sheetView>
  </sheetViews>
  <sheetFormatPr defaultColWidth="6.7109375" defaultRowHeight="18" customHeight="1" x14ac:dyDescent="0.25"/>
  <cols>
    <col min="1" max="2" width="6.28515625" style="6" customWidth="1"/>
    <col min="3" max="3" width="29.42578125" style="9" bestFit="1" customWidth="1"/>
    <col min="4" max="4" width="17" style="6" customWidth="1"/>
    <col min="5" max="34" width="5.28515625" style="6" customWidth="1"/>
    <col min="35" max="35" width="10.85546875" style="6" customWidth="1"/>
    <col min="36" max="36" width="8.7109375" style="6" customWidth="1"/>
    <col min="37" max="37" width="12.7109375" style="6" customWidth="1"/>
    <col min="38" max="38" width="30.7109375" style="6" bestFit="1" customWidth="1"/>
    <col min="39" max="16384" width="6.7109375" style="6"/>
  </cols>
  <sheetData>
    <row r="1" spans="1:38" ht="39.75" customHeight="1" x14ac:dyDescent="0.25">
      <c r="A1" s="40" t="s">
        <v>514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pans="1:38" ht="40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1</v>
      </c>
      <c r="F2" s="1">
        <v>2</v>
      </c>
      <c r="G2" s="1">
        <v>3</v>
      </c>
      <c r="H2" s="1">
        <v>4</v>
      </c>
      <c r="I2" s="34">
        <v>5</v>
      </c>
      <c r="J2" s="1">
        <v>6</v>
      </c>
      <c r="K2" s="29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29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29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29">
        <v>28</v>
      </c>
      <c r="AG2" s="1">
        <v>29</v>
      </c>
      <c r="AH2" s="1">
        <v>30</v>
      </c>
      <c r="AI2" s="20" t="s">
        <v>5</v>
      </c>
      <c r="AJ2" s="20" t="s">
        <v>81</v>
      </c>
      <c r="AK2" s="1" t="s">
        <v>6</v>
      </c>
      <c r="AL2" s="1" t="s">
        <v>4</v>
      </c>
    </row>
    <row r="3" spans="1:38" ht="19.899999999999999" customHeight="1" x14ac:dyDescent="0.25">
      <c r="A3" s="2">
        <v>1</v>
      </c>
      <c r="B3" s="7" t="s">
        <v>85</v>
      </c>
      <c r="C3" s="4" t="s">
        <v>522</v>
      </c>
      <c r="D3" s="2" t="s">
        <v>523</v>
      </c>
      <c r="E3" s="23">
        <v>10.5</v>
      </c>
      <c r="F3" s="23">
        <v>10.5</v>
      </c>
      <c r="G3" s="13">
        <v>10.5</v>
      </c>
      <c r="H3" s="23">
        <v>10.5</v>
      </c>
      <c r="I3" s="13" t="s">
        <v>515</v>
      </c>
      <c r="J3" s="13">
        <v>10.5</v>
      </c>
      <c r="K3" s="13" t="s">
        <v>10</v>
      </c>
      <c r="L3" s="23">
        <v>10.5</v>
      </c>
      <c r="M3" s="23">
        <v>10.5</v>
      </c>
      <c r="N3" s="13">
        <v>10.5</v>
      </c>
      <c r="O3" s="23">
        <v>10.5</v>
      </c>
      <c r="P3" s="13">
        <v>10.5</v>
      </c>
      <c r="Q3" s="13">
        <v>10.5</v>
      </c>
      <c r="R3" s="13" t="s">
        <v>10</v>
      </c>
      <c r="S3" s="23">
        <v>10.5</v>
      </c>
      <c r="T3" s="23">
        <v>10.5</v>
      </c>
      <c r="U3" s="13">
        <v>10.5</v>
      </c>
      <c r="V3" s="23">
        <v>10.5</v>
      </c>
      <c r="W3" s="13">
        <v>10.5</v>
      </c>
      <c r="X3" s="13">
        <v>10.5</v>
      </c>
      <c r="Y3" s="13" t="s">
        <v>10</v>
      </c>
      <c r="Z3" s="23">
        <v>10.5</v>
      </c>
      <c r="AA3" s="23">
        <v>10.5</v>
      </c>
      <c r="AB3" s="23">
        <v>10.5</v>
      </c>
      <c r="AC3" s="23">
        <v>10.5</v>
      </c>
      <c r="AD3" s="13">
        <v>10.5</v>
      </c>
      <c r="AE3" s="23">
        <v>10.5</v>
      </c>
      <c r="AF3" s="23" t="s">
        <v>10</v>
      </c>
      <c r="AG3" s="23">
        <v>10.5</v>
      </c>
      <c r="AH3" s="23">
        <v>10.5</v>
      </c>
      <c r="AI3" s="22">
        <f>SUM(E3:AH3)</f>
        <v>262.5</v>
      </c>
      <c r="AJ3" s="21"/>
      <c r="AK3" s="14">
        <f t="shared" ref="AK3:AK6" si="0">AI3*AJ3</f>
        <v>0</v>
      </c>
      <c r="AL3" s="2" t="s">
        <v>94</v>
      </c>
    </row>
    <row r="4" spans="1:38" ht="19.899999999999999" customHeight="1" x14ac:dyDescent="0.25">
      <c r="A4" s="2">
        <v>2</v>
      </c>
      <c r="B4" s="7" t="s">
        <v>86</v>
      </c>
      <c r="C4" s="4" t="s">
        <v>524</v>
      </c>
      <c r="D4" s="2" t="s">
        <v>523</v>
      </c>
      <c r="E4" s="23">
        <v>10.5</v>
      </c>
      <c r="F4" s="23">
        <v>10.5</v>
      </c>
      <c r="G4" s="13">
        <v>10.5</v>
      </c>
      <c r="H4" s="23">
        <v>10.5</v>
      </c>
      <c r="I4" s="13" t="s">
        <v>515</v>
      </c>
      <c r="J4" s="13">
        <v>10.5</v>
      </c>
      <c r="K4" s="13" t="s">
        <v>10</v>
      </c>
      <c r="L4" s="23">
        <v>10.5</v>
      </c>
      <c r="M4" s="23">
        <v>10.5</v>
      </c>
      <c r="N4" s="13">
        <v>10.5</v>
      </c>
      <c r="O4" s="23">
        <v>10.5</v>
      </c>
      <c r="P4" s="13">
        <v>10.5</v>
      </c>
      <c r="Q4" s="13">
        <v>10.5</v>
      </c>
      <c r="R4" s="13" t="s">
        <v>10</v>
      </c>
      <c r="S4" s="23">
        <v>10.5</v>
      </c>
      <c r="T4" s="23">
        <v>10.5</v>
      </c>
      <c r="U4" s="13">
        <v>10.5</v>
      </c>
      <c r="V4" s="23">
        <v>10.5</v>
      </c>
      <c r="W4" s="13">
        <v>10.5</v>
      </c>
      <c r="X4" s="13">
        <v>10.5</v>
      </c>
      <c r="Y4" s="13" t="s">
        <v>10</v>
      </c>
      <c r="Z4" s="23">
        <v>10.5</v>
      </c>
      <c r="AA4" s="23">
        <v>10.5</v>
      </c>
      <c r="AB4" s="23">
        <v>10.5</v>
      </c>
      <c r="AC4" s="23">
        <v>10.5</v>
      </c>
      <c r="AD4" s="13">
        <v>10.5</v>
      </c>
      <c r="AE4" s="23">
        <v>10.5</v>
      </c>
      <c r="AF4" s="23" t="s">
        <v>10</v>
      </c>
      <c r="AG4" s="23">
        <v>10.5</v>
      </c>
      <c r="AH4" s="23">
        <v>10.5</v>
      </c>
      <c r="AI4" s="22">
        <f t="shared" ref="AI4:AI74" si="1">SUM(E4:AH4)</f>
        <v>262.5</v>
      </c>
      <c r="AJ4" s="21"/>
      <c r="AK4" s="14">
        <f t="shared" si="0"/>
        <v>0</v>
      </c>
      <c r="AL4" s="2" t="s">
        <v>94</v>
      </c>
    </row>
    <row r="5" spans="1:38" ht="19.899999999999999" customHeight="1" x14ac:dyDescent="0.25">
      <c r="A5" s="2">
        <v>3</v>
      </c>
      <c r="B5" s="7" t="s">
        <v>87</v>
      </c>
      <c r="C5" s="4" t="s">
        <v>525</v>
      </c>
      <c r="D5" s="2" t="s">
        <v>523</v>
      </c>
      <c r="E5" s="23">
        <v>10.5</v>
      </c>
      <c r="F5" s="23">
        <v>10.5</v>
      </c>
      <c r="G5" s="13">
        <v>10.5</v>
      </c>
      <c r="H5" s="23">
        <v>10.5</v>
      </c>
      <c r="I5" s="13" t="s">
        <v>515</v>
      </c>
      <c r="J5" s="13">
        <v>10.5</v>
      </c>
      <c r="K5" s="13" t="s">
        <v>10</v>
      </c>
      <c r="L5" s="23">
        <v>10.5</v>
      </c>
      <c r="M5" s="23">
        <v>10.5</v>
      </c>
      <c r="N5" s="13">
        <v>10.5</v>
      </c>
      <c r="O5" s="23">
        <v>10.5</v>
      </c>
      <c r="P5" s="13">
        <v>10.5</v>
      </c>
      <c r="Q5" s="13">
        <v>10.5</v>
      </c>
      <c r="R5" s="13" t="s">
        <v>10</v>
      </c>
      <c r="S5" s="23">
        <v>10.5</v>
      </c>
      <c r="T5" s="23">
        <v>10.5</v>
      </c>
      <c r="U5" s="13">
        <v>10.5</v>
      </c>
      <c r="V5" s="23">
        <v>10.5</v>
      </c>
      <c r="W5" s="13">
        <v>10.5</v>
      </c>
      <c r="X5" s="13">
        <v>10.5</v>
      </c>
      <c r="Y5" s="13" t="s">
        <v>10</v>
      </c>
      <c r="Z5" s="23">
        <v>10.5</v>
      </c>
      <c r="AA5" s="23">
        <v>10.5</v>
      </c>
      <c r="AB5" s="23">
        <v>10.5</v>
      </c>
      <c r="AC5" s="23">
        <v>10.5</v>
      </c>
      <c r="AD5" s="13">
        <v>10.5</v>
      </c>
      <c r="AE5" s="23">
        <v>10.5</v>
      </c>
      <c r="AF5" s="23" t="s">
        <v>10</v>
      </c>
      <c r="AG5" s="23">
        <v>10.5</v>
      </c>
      <c r="AH5" s="23">
        <v>10.5</v>
      </c>
      <c r="AI5" s="22">
        <f t="shared" si="1"/>
        <v>262.5</v>
      </c>
      <c r="AJ5" s="21"/>
      <c r="AK5" s="14">
        <f t="shared" si="0"/>
        <v>0</v>
      </c>
      <c r="AL5" s="2" t="s">
        <v>94</v>
      </c>
    </row>
    <row r="6" spans="1:38" ht="19.899999999999999" customHeight="1" x14ac:dyDescent="0.25">
      <c r="A6" s="2">
        <v>4</v>
      </c>
      <c r="B6" s="7" t="s">
        <v>88</v>
      </c>
      <c r="C6" s="4" t="s">
        <v>526</v>
      </c>
      <c r="D6" s="2" t="s">
        <v>523</v>
      </c>
      <c r="E6" s="23">
        <v>10.5</v>
      </c>
      <c r="F6" s="23">
        <v>10.5</v>
      </c>
      <c r="G6" s="13">
        <v>10.5</v>
      </c>
      <c r="H6" s="23">
        <v>10.5</v>
      </c>
      <c r="I6" s="13" t="s">
        <v>515</v>
      </c>
      <c r="J6" s="13">
        <v>10.5</v>
      </c>
      <c r="K6" s="13" t="s">
        <v>10</v>
      </c>
      <c r="L6" s="23">
        <v>10.5</v>
      </c>
      <c r="M6" s="23">
        <v>10.5</v>
      </c>
      <c r="N6" s="13">
        <v>10.5</v>
      </c>
      <c r="O6" s="23">
        <v>10.5</v>
      </c>
      <c r="P6" s="13">
        <v>10.5</v>
      </c>
      <c r="Q6" s="13">
        <v>10.5</v>
      </c>
      <c r="R6" s="13" t="s">
        <v>10</v>
      </c>
      <c r="S6" s="23">
        <v>10.5</v>
      </c>
      <c r="T6" s="23">
        <v>10.5</v>
      </c>
      <c r="U6" s="13">
        <v>10.5</v>
      </c>
      <c r="V6" s="23">
        <v>10.5</v>
      </c>
      <c r="W6" s="13">
        <v>10.5</v>
      </c>
      <c r="X6" s="13">
        <v>10.5</v>
      </c>
      <c r="Y6" s="13" t="s">
        <v>10</v>
      </c>
      <c r="Z6" s="23">
        <v>10.5</v>
      </c>
      <c r="AA6" s="23">
        <v>10.5</v>
      </c>
      <c r="AB6" s="23">
        <v>10.5</v>
      </c>
      <c r="AC6" s="23">
        <v>10.5</v>
      </c>
      <c r="AD6" s="13">
        <v>10.5</v>
      </c>
      <c r="AE6" s="23">
        <v>10.5</v>
      </c>
      <c r="AF6" s="23" t="s">
        <v>10</v>
      </c>
      <c r="AG6" s="23">
        <v>10.5</v>
      </c>
      <c r="AH6" s="23">
        <v>10.5</v>
      </c>
      <c r="AI6" s="22">
        <f t="shared" si="1"/>
        <v>262.5</v>
      </c>
      <c r="AJ6" s="21"/>
      <c r="AK6" s="14">
        <f t="shared" si="0"/>
        <v>0</v>
      </c>
      <c r="AL6" s="2" t="s">
        <v>94</v>
      </c>
    </row>
    <row r="7" spans="1:38" ht="19.899999999999999" customHeight="1" x14ac:dyDescent="0.25">
      <c r="A7" s="2">
        <v>5</v>
      </c>
      <c r="B7" s="2" t="s">
        <v>286</v>
      </c>
      <c r="C7" s="4" t="s">
        <v>527</v>
      </c>
      <c r="D7" s="2" t="s">
        <v>523</v>
      </c>
      <c r="E7" s="23">
        <v>10.5</v>
      </c>
      <c r="F7" s="23">
        <v>10.5</v>
      </c>
      <c r="G7" s="13">
        <v>10.5</v>
      </c>
      <c r="H7" s="23">
        <v>10.5</v>
      </c>
      <c r="I7" s="13" t="s">
        <v>515</v>
      </c>
      <c r="J7" s="13">
        <v>10.5</v>
      </c>
      <c r="K7" s="13" t="s">
        <v>10</v>
      </c>
      <c r="L7" s="23">
        <v>10.5</v>
      </c>
      <c r="M7" s="23">
        <v>10.5</v>
      </c>
      <c r="N7" s="13">
        <v>10.5</v>
      </c>
      <c r="O7" s="23">
        <v>10.5</v>
      </c>
      <c r="P7" s="13">
        <v>10.5</v>
      </c>
      <c r="Q7" s="13">
        <v>10.5</v>
      </c>
      <c r="R7" s="13" t="s">
        <v>10</v>
      </c>
      <c r="S7" s="23">
        <v>10.5</v>
      </c>
      <c r="T7" s="23">
        <v>10.5</v>
      </c>
      <c r="U7" s="13">
        <v>10.5</v>
      </c>
      <c r="V7" s="23">
        <v>10.5</v>
      </c>
      <c r="W7" s="13">
        <v>10.5</v>
      </c>
      <c r="X7" s="13">
        <v>10.5</v>
      </c>
      <c r="Y7" s="13" t="s">
        <v>10</v>
      </c>
      <c r="Z7" s="23">
        <v>10.5</v>
      </c>
      <c r="AA7" s="23">
        <v>10.5</v>
      </c>
      <c r="AB7" s="23">
        <v>10.5</v>
      </c>
      <c r="AC7" s="23">
        <v>10.5</v>
      </c>
      <c r="AD7" s="13">
        <v>10.5</v>
      </c>
      <c r="AE7" s="23">
        <v>10.5</v>
      </c>
      <c r="AF7" s="23" t="s">
        <v>10</v>
      </c>
      <c r="AG7" s="23">
        <v>10.5</v>
      </c>
      <c r="AH7" s="23">
        <v>10.5</v>
      </c>
      <c r="AI7" s="22">
        <f t="shared" si="1"/>
        <v>262.5</v>
      </c>
      <c r="AJ7" s="21"/>
      <c r="AK7" s="14">
        <f t="shared" ref="AK7:AK11" si="2">AI7*AJ7</f>
        <v>0</v>
      </c>
      <c r="AL7" s="2" t="s">
        <v>94</v>
      </c>
    </row>
    <row r="8" spans="1:38" ht="19.899999999999999" customHeight="1" x14ac:dyDescent="0.25">
      <c r="A8" s="2">
        <v>6</v>
      </c>
      <c r="B8" s="2" t="s">
        <v>287</v>
      </c>
      <c r="C8" s="4" t="s">
        <v>528</v>
      </c>
      <c r="D8" s="2" t="s">
        <v>523</v>
      </c>
      <c r="E8" s="23">
        <v>10.5</v>
      </c>
      <c r="F8" s="23">
        <v>10.5</v>
      </c>
      <c r="G8" s="13">
        <v>10.5</v>
      </c>
      <c r="H8" s="23">
        <v>10.5</v>
      </c>
      <c r="I8" s="13" t="s">
        <v>515</v>
      </c>
      <c r="J8" s="13">
        <v>10.5</v>
      </c>
      <c r="K8" s="13" t="s">
        <v>10</v>
      </c>
      <c r="L8" s="23">
        <v>10.5</v>
      </c>
      <c r="M8" s="23">
        <v>10.5</v>
      </c>
      <c r="N8" s="13">
        <v>10.5</v>
      </c>
      <c r="O8" s="23">
        <v>10.5</v>
      </c>
      <c r="P8" s="13">
        <v>10.5</v>
      </c>
      <c r="Q8" s="13">
        <v>10.5</v>
      </c>
      <c r="R8" s="13" t="s">
        <v>10</v>
      </c>
      <c r="S8" s="23">
        <v>10.5</v>
      </c>
      <c r="T8" s="23">
        <v>10.5</v>
      </c>
      <c r="U8" s="13">
        <v>10.5</v>
      </c>
      <c r="V8" s="23">
        <v>10.5</v>
      </c>
      <c r="W8" s="13">
        <v>10.5</v>
      </c>
      <c r="X8" s="13">
        <v>10.5</v>
      </c>
      <c r="Y8" s="13" t="s">
        <v>10</v>
      </c>
      <c r="Z8" s="23">
        <v>10.5</v>
      </c>
      <c r="AA8" s="23">
        <v>10.5</v>
      </c>
      <c r="AB8" s="23">
        <v>10.5</v>
      </c>
      <c r="AC8" s="23">
        <v>10.5</v>
      </c>
      <c r="AD8" s="13">
        <v>10.5</v>
      </c>
      <c r="AE8" s="23">
        <v>10.5</v>
      </c>
      <c r="AF8" s="23" t="s">
        <v>10</v>
      </c>
      <c r="AG8" s="23">
        <v>10.5</v>
      </c>
      <c r="AH8" s="23">
        <v>10.5</v>
      </c>
      <c r="AI8" s="22">
        <f t="shared" si="1"/>
        <v>262.5</v>
      </c>
      <c r="AJ8" s="21"/>
      <c r="AK8" s="14">
        <f t="shared" si="2"/>
        <v>0</v>
      </c>
      <c r="AL8" s="2" t="s">
        <v>94</v>
      </c>
    </row>
    <row r="9" spans="1:38" ht="19.899999999999999" customHeight="1" x14ac:dyDescent="0.25">
      <c r="A9" s="2">
        <v>7</v>
      </c>
      <c r="B9" s="7" t="s">
        <v>288</v>
      </c>
      <c r="C9" s="4" t="s">
        <v>529</v>
      </c>
      <c r="D9" s="2" t="s">
        <v>530</v>
      </c>
      <c r="E9" s="23">
        <v>10.5</v>
      </c>
      <c r="F9" s="23">
        <v>10.5</v>
      </c>
      <c r="G9" s="13">
        <v>10.5</v>
      </c>
      <c r="H9" s="23"/>
      <c r="I9" s="13"/>
      <c r="J9" s="13"/>
      <c r="K9" s="13"/>
      <c r="L9" s="23"/>
      <c r="M9" s="23"/>
      <c r="N9" s="13"/>
      <c r="O9" s="23"/>
      <c r="P9" s="13"/>
      <c r="Q9" s="13"/>
      <c r="R9" s="13"/>
      <c r="S9" s="23"/>
      <c r="T9" s="23"/>
      <c r="U9" s="13"/>
      <c r="V9" s="23"/>
      <c r="W9" s="13"/>
      <c r="X9" s="13"/>
      <c r="Y9" s="13"/>
      <c r="Z9" s="23"/>
      <c r="AA9" s="23"/>
      <c r="AB9" s="23"/>
      <c r="AC9" s="23"/>
      <c r="AD9" s="13"/>
      <c r="AE9" s="23"/>
      <c r="AF9" s="23"/>
      <c r="AG9" s="23"/>
      <c r="AH9" s="23"/>
      <c r="AI9" s="22">
        <f t="shared" si="1"/>
        <v>31.5</v>
      </c>
      <c r="AJ9" s="21"/>
      <c r="AK9" s="14">
        <f t="shared" si="2"/>
        <v>0</v>
      </c>
      <c r="AL9" s="2" t="s">
        <v>94</v>
      </c>
    </row>
    <row r="10" spans="1:38" ht="19.899999999999999" customHeight="1" x14ac:dyDescent="0.25">
      <c r="A10" s="2">
        <v>8</v>
      </c>
      <c r="B10" s="2" t="s">
        <v>289</v>
      </c>
      <c r="C10" s="4" t="s">
        <v>531</v>
      </c>
      <c r="D10" s="2" t="s">
        <v>530</v>
      </c>
      <c r="E10" s="23">
        <v>10.5</v>
      </c>
      <c r="F10" s="23">
        <v>10.5</v>
      </c>
      <c r="G10" s="13">
        <v>10.5</v>
      </c>
      <c r="H10" s="23">
        <v>10.5</v>
      </c>
      <c r="I10" s="13" t="s">
        <v>515</v>
      </c>
      <c r="J10" s="13">
        <v>10.5</v>
      </c>
      <c r="K10" s="13" t="s">
        <v>10</v>
      </c>
      <c r="L10" s="23">
        <v>10.5</v>
      </c>
      <c r="M10" s="23">
        <v>10.5</v>
      </c>
      <c r="N10" s="13">
        <v>10.5</v>
      </c>
      <c r="O10" s="23">
        <v>10.5</v>
      </c>
      <c r="P10" s="13">
        <v>10.5</v>
      </c>
      <c r="Q10" s="13">
        <v>10.5</v>
      </c>
      <c r="R10" s="13" t="s">
        <v>10</v>
      </c>
      <c r="S10" s="23">
        <v>10.5</v>
      </c>
      <c r="T10" s="23">
        <v>10.5</v>
      </c>
      <c r="U10" s="13">
        <v>10.5</v>
      </c>
      <c r="V10" s="23">
        <v>10.5</v>
      </c>
      <c r="W10" s="13">
        <v>10.5</v>
      </c>
      <c r="X10" s="13">
        <v>10.5</v>
      </c>
      <c r="Y10" s="13" t="s">
        <v>10</v>
      </c>
      <c r="Z10" s="23">
        <v>10.5</v>
      </c>
      <c r="AA10" s="23">
        <v>10.5</v>
      </c>
      <c r="AB10" s="23">
        <v>10.5</v>
      </c>
      <c r="AC10" s="23">
        <v>10.5</v>
      </c>
      <c r="AD10" s="13">
        <v>10.5</v>
      </c>
      <c r="AE10" s="23">
        <v>10.5</v>
      </c>
      <c r="AF10" s="23" t="s">
        <v>10</v>
      </c>
      <c r="AG10" s="23">
        <v>10.5</v>
      </c>
      <c r="AH10" s="23">
        <v>10.5</v>
      </c>
      <c r="AI10" s="22">
        <f t="shared" si="1"/>
        <v>262.5</v>
      </c>
      <c r="AJ10" s="21"/>
      <c r="AK10" s="14">
        <f t="shared" si="2"/>
        <v>0</v>
      </c>
      <c r="AL10" s="2" t="s">
        <v>94</v>
      </c>
    </row>
    <row r="11" spans="1:38" ht="19.899999999999999" customHeight="1" x14ac:dyDescent="0.25">
      <c r="A11" s="2">
        <v>9</v>
      </c>
      <c r="B11" s="7" t="s">
        <v>135</v>
      </c>
      <c r="C11" s="4" t="s">
        <v>532</v>
      </c>
      <c r="D11" s="2" t="s">
        <v>530</v>
      </c>
      <c r="E11" s="23">
        <v>10</v>
      </c>
      <c r="F11" s="23">
        <v>10</v>
      </c>
      <c r="G11" s="13">
        <v>10</v>
      </c>
      <c r="H11" s="23"/>
      <c r="I11" s="13"/>
      <c r="J11" s="13"/>
      <c r="K11" s="13"/>
      <c r="L11" s="23"/>
      <c r="M11" s="23"/>
      <c r="N11" s="13"/>
      <c r="O11" s="23"/>
      <c r="P11" s="13"/>
      <c r="Q11" s="13"/>
      <c r="R11" s="13"/>
      <c r="S11" s="23"/>
      <c r="T11" s="23"/>
      <c r="U11" s="13"/>
      <c r="V11" s="23"/>
      <c r="W11" s="13"/>
      <c r="X11" s="13"/>
      <c r="Y11" s="13"/>
      <c r="Z11" s="23"/>
      <c r="AA11" s="23"/>
      <c r="AB11" s="23"/>
      <c r="AC11" s="23"/>
      <c r="AD11" s="13"/>
      <c r="AE11" s="23"/>
      <c r="AF11" s="23"/>
      <c r="AG11" s="23"/>
      <c r="AH11" s="23"/>
      <c r="AI11" s="22">
        <f t="shared" si="1"/>
        <v>30</v>
      </c>
      <c r="AJ11" s="21"/>
      <c r="AK11" s="14">
        <f t="shared" si="2"/>
        <v>0</v>
      </c>
      <c r="AL11" s="2" t="s">
        <v>94</v>
      </c>
    </row>
    <row r="12" spans="1:38" ht="19.899999999999999" customHeight="1" x14ac:dyDescent="0.25">
      <c r="A12" s="2">
        <v>10</v>
      </c>
      <c r="B12" s="7" t="s">
        <v>136</v>
      </c>
      <c r="C12" s="4" t="s">
        <v>533</v>
      </c>
      <c r="D12" s="2" t="s">
        <v>530</v>
      </c>
      <c r="E12" s="23">
        <v>10</v>
      </c>
      <c r="F12" s="23">
        <v>10</v>
      </c>
      <c r="G12" s="13">
        <v>10</v>
      </c>
      <c r="H12" s="23"/>
      <c r="I12" s="13"/>
      <c r="J12" s="13"/>
      <c r="K12" s="13"/>
      <c r="L12" s="23"/>
      <c r="M12" s="23"/>
      <c r="N12" s="13"/>
      <c r="O12" s="23"/>
      <c r="P12" s="13"/>
      <c r="Q12" s="13"/>
      <c r="R12" s="13"/>
      <c r="S12" s="23"/>
      <c r="T12" s="23"/>
      <c r="U12" s="13"/>
      <c r="V12" s="23"/>
      <c r="W12" s="13"/>
      <c r="X12" s="13"/>
      <c r="Y12" s="13"/>
      <c r="Z12" s="23"/>
      <c r="AA12" s="23"/>
      <c r="AB12" s="23"/>
      <c r="AC12" s="23"/>
      <c r="AD12" s="13"/>
      <c r="AE12" s="23"/>
      <c r="AF12" s="23"/>
      <c r="AG12" s="23"/>
      <c r="AH12" s="23"/>
      <c r="AI12" s="22">
        <f t="shared" si="1"/>
        <v>30</v>
      </c>
      <c r="AJ12" s="21"/>
      <c r="AK12" s="14">
        <f t="shared" ref="AK12:AK14" si="3">AI12*AJ12</f>
        <v>0</v>
      </c>
      <c r="AL12" s="2" t="s">
        <v>94</v>
      </c>
    </row>
    <row r="13" spans="1:38" ht="19.899999999999999" customHeight="1" x14ac:dyDescent="0.25">
      <c r="A13" s="2">
        <v>11</v>
      </c>
      <c r="B13" s="2" t="s">
        <v>534</v>
      </c>
      <c r="C13" s="4" t="s">
        <v>535</v>
      </c>
      <c r="D13" s="2" t="s">
        <v>536</v>
      </c>
      <c r="E13" s="23">
        <v>10</v>
      </c>
      <c r="F13" s="23">
        <v>8</v>
      </c>
      <c r="G13" s="13">
        <v>10</v>
      </c>
      <c r="H13" s="23">
        <v>10</v>
      </c>
      <c r="I13" s="13" t="s">
        <v>515</v>
      </c>
      <c r="J13" s="13" t="s">
        <v>10</v>
      </c>
      <c r="K13" s="13">
        <v>10</v>
      </c>
      <c r="L13" s="23">
        <v>10</v>
      </c>
      <c r="M13" s="23">
        <v>10</v>
      </c>
      <c r="N13" s="13">
        <v>10</v>
      </c>
      <c r="O13" s="23">
        <v>10</v>
      </c>
      <c r="P13" s="13">
        <v>10</v>
      </c>
      <c r="Q13" s="13" t="s">
        <v>10</v>
      </c>
      <c r="R13" s="13">
        <v>10</v>
      </c>
      <c r="S13" s="23">
        <v>10</v>
      </c>
      <c r="T13" s="23">
        <v>10</v>
      </c>
      <c r="U13" s="13">
        <v>10</v>
      </c>
      <c r="V13" s="23">
        <v>10</v>
      </c>
      <c r="W13" s="13">
        <v>10</v>
      </c>
      <c r="X13" s="13" t="s">
        <v>10</v>
      </c>
      <c r="Y13" s="13">
        <v>10</v>
      </c>
      <c r="Z13" s="23"/>
      <c r="AA13" s="23"/>
      <c r="AB13" s="23"/>
      <c r="AC13" s="23"/>
      <c r="AD13" s="13"/>
      <c r="AE13" s="23"/>
      <c r="AF13" s="23"/>
      <c r="AG13" s="23"/>
      <c r="AH13" s="23"/>
      <c r="AI13" s="22">
        <f t="shared" si="1"/>
        <v>168</v>
      </c>
      <c r="AJ13" s="21"/>
      <c r="AK13" s="14">
        <f t="shared" si="3"/>
        <v>0</v>
      </c>
      <c r="AL13" s="2" t="s">
        <v>431</v>
      </c>
    </row>
    <row r="14" spans="1:38" ht="19.899999999999999" customHeight="1" x14ac:dyDescent="0.25">
      <c r="A14" s="2">
        <v>12</v>
      </c>
      <c r="B14" s="7" t="s">
        <v>113</v>
      </c>
      <c r="C14" s="4" t="s">
        <v>114</v>
      </c>
      <c r="D14" s="2" t="s">
        <v>84</v>
      </c>
      <c r="E14" s="23">
        <v>10</v>
      </c>
      <c r="F14" s="23">
        <v>8</v>
      </c>
      <c r="G14" s="13">
        <v>10</v>
      </c>
      <c r="H14" s="23">
        <v>10</v>
      </c>
      <c r="I14" s="13" t="s">
        <v>515</v>
      </c>
      <c r="J14" s="13" t="s">
        <v>10</v>
      </c>
      <c r="K14" s="13">
        <v>10</v>
      </c>
      <c r="L14" s="23">
        <v>10</v>
      </c>
      <c r="M14" s="23">
        <v>10</v>
      </c>
      <c r="N14" s="13">
        <v>10</v>
      </c>
      <c r="O14" s="23">
        <v>10</v>
      </c>
      <c r="P14" s="13">
        <v>10</v>
      </c>
      <c r="Q14" s="13" t="s">
        <v>10</v>
      </c>
      <c r="R14" s="13">
        <v>10</v>
      </c>
      <c r="S14" s="23">
        <v>10</v>
      </c>
      <c r="T14" s="23">
        <v>10</v>
      </c>
      <c r="U14" s="13">
        <v>10</v>
      </c>
      <c r="V14" s="23">
        <v>10</v>
      </c>
      <c r="W14" s="13">
        <v>10</v>
      </c>
      <c r="X14" s="13" t="s">
        <v>10</v>
      </c>
      <c r="Y14" s="13">
        <v>10</v>
      </c>
      <c r="Z14" s="23"/>
      <c r="AA14" s="23"/>
      <c r="AB14" s="23"/>
      <c r="AC14" s="23"/>
      <c r="AD14" s="13"/>
      <c r="AE14" s="23"/>
      <c r="AF14" s="23"/>
      <c r="AG14" s="23"/>
      <c r="AH14" s="23"/>
      <c r="AI14" s="22">
        <f t="shared" si="1"/>
        <v>168</v>
      </c>
      <c r="AJ14" s="21"/>
      <c r="AK14" s="14">
        <f t="shared" si="3"/>
        <v>0</v>
      </c>
      <c r="AL14" s="2" t="s">
        <v>431</v>
      </c>
    </row>
    <row r="15" spans="1:38" ht="19.899999999999999" customHeight="1" x14ac:dyDescent="0.25">
      <c r="A15" s="2">
        <v>13</v>
      </c>
      <c r="B15" s="7" t="s">
        <v>156</v>
      </c>
      <c r="C15" s="4" t="s">
        <v>157</v>
      </c>
      <c r="D15" s="2" t="s">
        <v>84</v>
      </c>
      <c r="E15" s="23">
        <v>10</v>
      </c>
      <c r="F15" s="23">
        <v>8</v>
      </c>
      <c r="G15" s="13">
        <v>10</v>
      </c>
      <c r="H15" s="23">
        <v>10</v>
      </c>
      <c r="I15" s="13" t="s">
        <v>515</v>
      </c>
      <c r="J15" s="13" t="s">
        <v>10</v>
      </c>
      <c r="K15" s="13">
        <v>10</v>
      </c>
      <c r="L15" s="23">
        <v>10</v>
      </c>
      <c r="M15" s="23">
        <v>10</v>
      </c>
      <c r="N15" s="13">
        <v>10</v>
      </c>
      <c r="O15" s="23">
        <v>10</v>
      </c>
      <c r="P15" s="13">
        <v>10</v>
      </c>
      <c r="Q15" s="13" t="s">
        <v>10</v>
      </c>
      <c r="R15" s="13">
        <v>10</v>
      </c>
      <c r="S15" s="23">
        <v>10</v>
      </c>
      <c r="T15" s="23">
        <v>10</v>
      </c>
      <c r="U15" s="13">
        <v>10</v>
      </c>
      <c r="V15" s="23">
        <v>10</v>
      </c>
      <c r="W15" s="13">
        <v>10</v>
      </c>
      <c r="X15" s="13" t="s">
        <v>10</v>
      </c>
      <c r="Y15" s="13">
        <v>10</v>
      </c>
      <c r="Z15" s="23"/>
      <c r="AA15" s="23"/>
      <c r="AB15" s="23"/>
      <c r="AC15" s="23"/>
      <c r="AD15" s="13"/>
      <c r="AE15" s="23"/>
      <c r="AF15" s="23"/>
      <c r="AG15" s="23"/>
      <c r="AH15" s="23"/>
      <c r="AI15" s="22">
        <f t="shared" si="1"/>
        <v>168</v>
      </c>
      <c r="AJ15" s="21"/>
      <c r="AK15" s="14">
        <f t="shared" ref="AK15:AK21" si="4">AI15*AJ15</f>
        <v>0</v>
      </c>
      <c r="AL15" s="2" t="s">
        <v>431</v>
      </c>
    </row>
    <row r="16" spans="1:38" ht="19.899999999999999" customHeight="1" x14ac:dyDescent="0.25">
      <c r="A16" s="2">
        <v>14</v>
      </c>
      <c r="B16" s="7" t="s">
        <v>426</v>
      </c>
      <c r="C16" s="4" t="s">
        <v>427</v>
      </c>
      <c r="D16" s="2" t="s">
        <v>84</v>
      </c>
      <c r="E16" s="23">
        <v>10</v>
      </c>
      <c r="F16" s="23">
        <v>8</v>
      </c>
      <c r="G16" s="13">
        <v>10</v>
      </c>
      <c r="H16" s="23">
        <v>10</v>
      </c>
      <c r="I16" s="13" t="s">
        <v>515</v>
      </c>
      <c r="J16" s="13" t="s">
        <v>10</v>
      </c>
      <c r="K16" s="13">
        <v>10</v>
      </c>
      <c r="L16" s="23">
        <v>10</v>
      </c>
      <c r="M16" s="23">
        <v>10</v>
      </c>
      <c r="N16" s="13">
        <v>10</v>
      </c>
      <c r="O16" s="23">
        <v>10</v>
      </c>
      <c r="P16" s="13">
        <v>10</v>
      </c>
      <c r="Q16" s="13" t="s">
        <v>10</v>
      </c>
      <c r="R16" s="13">
        <v>10</v>
      </c>
      <c r="S16" s="23">
        <v>10</v>
      </c>
      <c r="T16" s="23">
        <v>10</v>
      </c>
      <c r="U16" s="13">
        <v>10</v>
      </c>
      <c r="V16" s="23">
        <v>10</v>
      </c>
      <c r="W16" s="13">
        <v>10</v>
      </c>
      <c r="X16" s="13" t="s">
        <v>10</v>
      </c>
      <c r="Y16" s="13">
        <v>10</v>
      </c>
      <c r="Z16" s="23"/>
      <c r="AA16" s="23"/>
      <c r="AB16" s="23"/>
      <c r="AC16" s="23"/>
      <c r="AD16" s="13"/>
      <c r="AE16" s="23"/>
      <c r="AF16" s="23"/>
      <c r="AG16" s="23"/>
      <c r="AH16" s="23"/>
      <c r="AI16" s="22">
        <f t="shared" si="1"/>
        <v>168</v>
      </c>
      <c r="AJ16" s="21"/>
      <c r="AK16" s="14">
        <f t="shared" si="4"/>
        <v>0</v>
      </c>
      <c r="AL16" s="2" t="s">
        <v>431</v>
      </c>
    </row>
    <row r="17" spans="1:38" ht="19.899999999999999" customHeight="1" x14ac:dyDescent="0.25">
      <c r="A17" s="2">
        <v>15</v>
      </c>
      <c r="B17" s="2" t="s">
        <v>106</v>
      </c>
      <c r="C17" s="4" t="s">
        <v>107</v>
      </c>
      <c r="D17" s="2" t="s">
        <v>84</v>
      </c>
      <c r="E17" s="23">
        <v>10</v>
      </c>
      <c r="F17" s="23">
        <v>8</v>
      </c>
      <c r="G17" s="13">
        <v>10</v>
      </c>
      <c r="H17" s="23">
        <v>10</v>
      </c>
      <c r="I17" s="13" t="s">
        <v>515</v>
      </c>
      <c r="J17" s="13" t="s">
        <v>10</v>
      </c>
      <c r="K17" s="13">
        <v>10</v>
      </c>
      <c r="L17" s="23">
        <v>10</v>
      </c>
      <c r="M17" s="23">
        <v>10</v>
      </c>
      <c r="N17" s="13">
        <v>10</v>
      </c>
      <c r="O17" s="23">
        <v>10</v>
      </c>
      <c r="P17" s="13">
        <v>10</v>
      </c>
      <c r="Q17" s="13" t="s">
        <v>10</v>
      </c>
      <c r="R17" s="13">
        <v>10</v>
      </c>
      <c r="S17" s="23">
        <v>10</v>
      </c>
      <c r="T17" s="23">
        <v>10</v>
      </c>
      <c r="U17" s="13">
        <v>10</v>
      </c>
      <c r="V17" s="23">
        <v>10</v>
      </c>
      <c r="W17" s="13">
        <v>10</v>
      </c>
      <c r="X17" s="13" t="s">
        <v>10</v>
      </c>
      <c r="Y17" s="13">
        <v>10</v>
      </c>
      <c r="Z17" s="23"/>
      <c r="AA17" s="23"/>
      <c r="AB17" s="23"/>
      <c r="AC17" s="23"/>
      <c r="AD17" s="13"/>
      <c r="AE17" s="23"/>
      <c r="AF17" s="23"/>
      <c r="AG17" s="23"/>
      <c r="AH17" s="23"/>
      <c r="AI17" s="22">
        <f t="shared" si="1"/>
        <v>168</v>
      </c>
      <c r="AJ17" s="21"/>
      <c r="AK17" s="14">
        <f t="shared" si="4"/>
        <v>0</v>
      </c>
      <c r="AL17" s="2" t="s">
        <v>431</v>
      </c>
    </row>
    <row r="18" spans="1:38" ht="19.899999999999999" customHeight="1" x14ac:dyDescent="0.25">
      <c r="A18" s="2">
        <v>16</v>
      </c>
      <c r="B18" s="2">
        <v>335</v>
      </c>
      <c r="C18" s="4" t="s">
        <v>343</v>
      </c>
      <c r="D18" s="2" t="s">
        <v>84</v>
      </c>
      <c r="E18" s="23">
        <v>10</v>
      </c>
      <c r="F18" s="23">
        <v>8</v>
      </c>
      <c r="G18" s="13">
        <v>10</v>
      </c>
      <c r="H18" s="23">
        <v>10</v>
      </c>
      <c r="I18" s="13" t="s">
        <v>515</v>
      </c>
      <c r="J18" s="13" t="s">
        <v>10</v>
      </c>
      <c r="K18" s="13">
        <v>10</v>
      </c>
      <c r="L18" s="23">
        <v>10</v>
      </c>
      <c r="M18" s="23">
        <v>10</v>
      </c>
      <c r="N18" s="13">
        <v>10</v>
      </c>
      <c r="O18" s="23">
        <v>10</v>
      </c>
      <c r="P18" s="13">
        <v>10</v>
      </c>
      <c r="Q18" s="13" t="s">
        <v>10</v>
      </c>
      <c r="R18" s="13">
        <v>10</v>
      </c>
      <c r="S18" s="23">
        <v>10</v>
      </c>
      <c r="T18" s="23">
        <v>10</v>
      </c>
      <c r="U18" s="13">
        <v>10</v>
      </c>
      <c r="V18" s="23">
        <v>10</v>
      </c>
      <c r="W18" s="13">
        <v>10</v>
      </c>
      <c r="X18" s="13" t="s">
        <v>10</v>
      </c>
      <c r="Y18" s="13">
        <v>10</v>
      </c>
      <c r="Z18" s="23"/>
      <c r="AA18" s="23"/>
      <c r="AB18" s="23"/>
      <c r="AC18" s="23"/>
      <c r="AD18" s="13"/>
      <c r="AE18" s="23"/>
      <c r="AF18" s="23"/>
      <c r="AG18" s="23"/>
      <c r="AH18" s="23"/>
      <c r="AI18" s="22">
        <f t="shared" si="1"/>
        <v>168</v>
      </c>
      <c r="AJ18" s="21"/>
      <c r="AK18" s="14">
        <f t="shared" si="4"/>
        <v>0</v>
      </c>
      <c r="AL18" s="2" t="s">
        <v>431</v>
      </c>
    </row>
    <row r="19" spans="1:38" ht="19.899999999999999" customHeight="1" x14ac:dyDescent="0.25">
      <c r="A19" s="2">
        <v>17</v>
      </c>
      <c r="B19" s="3">
        <v>347</v>
      </c>
      <c r="C19" s="4" t="s">
        <v>428</v>
      </c>
      <c r="D19" s="2" t="s">
        <v>84</v>
      </c>
      <c r="E19" s="23">
        <v>10</v>
      </c>
      <c r="F19" s="23">
        <v>8</v>
      </c>
      <c r="G19" s="13">
        <v>10</v>
      </c>
      <c r="H19" s="23">
        <v>10</v>
      </c>
      <c r="I19" s="13" t="s">
        <v>515</v>
      </c>
      <c r="J19" s="13" t="s">
        <v>10</v>
      </c>
      <c r="K19" s="13">
        <v>10</v>
      </c>
      <c r="L19" s="23">
        <v>10</v>
      </c>
      <c r="M19" s="23">
        <v>10</v>
      </c>
      <c r="N19" s="13">
        <v>10</v>
      </c>
      <c r="O19" s="23">
        <v>10</v>
      </c>
      <c r="P19" s="13">
        <v>10</v>
      </c>
      <c r="Q19" s="13" t="s">
        <v>10</v>
      </c>
      <c r="R19" s="13">
        <v>10</v>
      </c>
      <c r="S19" s="23">
        <v>10</v>
      </c>
      <c r="T19" s="23">
        <v>10</v>
      </c>
      <c r="U19" s="13">
        <v>10</v>
      </c>
      <c r="V19" s="23">
        <v>10</v>
      </c>
      <c r="W19" s="13">
        <v>10</v>
      </c>
      <c r="X19" s="13" t="s">
        <v>10</v>
      </c>
      <c r="Y19" s="13" t="s">
        <v>32</v>
      </c>
      <c r="Z19" s="23"/>
      <c r="AA19" s="23"/>
      <c r="AB19" s="23"/>
      <c r="AC19" s="23"/>
      <c r="AD19" s="13"/>
      <c r="AE19" s="23"/>
      <c r="AF19" s="23"/>
      <c r="AG19" s="23"/>
      <c r="AH19" s="23"/>
      <c r="AI19" s="22">
        <f t="shared" si="1"/>
        <v>158</v>
      </c>
      <c r="AJ19" s="21"/>
      <c r="AK19" s="14">
        <f t="shared" si="4"/>
        <v>0</v>
      </c>
      <c r="AL19" s="2" t="s">
        <v>431</v>
      </c>
    </row>
    <row r="20" spans="1:38" ht="19.899999999999999" customHeight="1" x14ac:dyDescent="0.25">
      <c r="A20" s="2">
        <v>18</v>
      </c>
      <c r="B20" s="7">
        <v>365</v>
      </c>
      <c r="C20" s="4" t="s">
        <v>429</v>
      </c>
      <c r="D20" s="2" t="s">
        <v>84</v>
      </c>
      <c r="E20" s="23">
        <v>10</v>
      </c>
      <c r="F20" s="23">
        <v>8</v>
      </c>
      <c r="G20" s="13">
        <v>10</v>
      </c>
      <c r="H20" s="23">
        <v>10</v>
      </c>
      <c r="I20" s="13" t="s">
        <v>515</v>
      </c>
      <c r="J20" s="13" t="s">
        <v>10</v>
      </c>
      <c r="K20" s="13">
        <v>10</v>
      </c>
      <c r="L20" s="23">
        <v>10</v>
      </c>
      <c r="M20" s="23">
        <v>10</v>
      </c>
      <c r="N20" s="13">
        <v>10</v>
      </c>
      <c r="O20" s="23">
        <v>10</v>
      </c>
      <c r="P20" s="13">
        <v>10</v>
      </c>
      <c r="Q20" s="13" t="s">
        <v>10</v>
      </c>
      <c r="R20" s="13">
        <v>10</v>
      </c>
      <c r="S20" s="23">
        <v>10</v>
      </c>
      <c r="T20" s="23">
        <v>10</v>
      </c>
      <c r="U20" s="13" t="s">
        <v>32</v>
      </c>
      <c r="V20" s="23">
        <v>10</v>
      </c>
      <c r="W20" s="13">
        <v>10</v>
      </c>
      <c r="X20" s="13" t="s">
        <v>10</v>
      </c>
      <c r="Y20" s="13">
        <v>10</v>
      </c>
      <c r="Z20" s="23"/>
      <c r="AA20" s="23"/>
      <c r="AB20" s="23"/>
      <c r="AC20" s="23"/>
      <c r="AD20" s="13"/>
      <c r="AE20" s="23"/>
      <c r="AF20" s="23"/>
      <c r="AG20" s="23"/>
      <c r="AH20" s="23"/>
      <c r="AI20" s="22">
        <f t="shared" si="1"/>
        <v>158</v>
      </c>
      <c r="AJ20" s="21"/>
      <c r="AK20" s="14">
        <f t="shared" si="4"/>
        <v>0</v>
      </c>
      <c r="AL20" s="2" t="s">
        <v>431</v>
      </c>
    </row>
    <row r="21" spans="1:38" ht="19.899999999999999" customHeight="1" x14ac:dyDescent="0.25">
      <c r="A21" s="2">
        <v>19</v>
      </c>
      <c r="B21" s="2">
        <v>366</v>
      </c>
      <c r="C21" s="4" t="s">
        <v>430</v>
      </c>
      <c r="D21" s="2" t="s">
        <v>84</v>
      </c>
      <c r="E21" s="23">
        <v>10</v>
      </c>
      <c r="F21" s="23">
        <v>8</v>
      </c>
      <c r="G21" s="13">
        <v>10</v>
      </c>
      <c r="H21" s="23">
        <v>10</v>
      </c>
      <c r="I21" s="13" t="s">
        <v>515</v>
      </c>
      <c r="J21" s="13" t="s">
        <v>10</v>
      </c>
      <c r="K21" s="13">
        <v>10</v>
      </c>
      <c r="L21" s="23">
        <v>10</v>
      </c>
      <c r="M21" s="23">
        <v>10</v>
      </c>
      <c r="N21" s="13">
        <v>10</v>
      </c>
      <c r="O21" s="23">
        <v>10</v>
      </c>
      <c r="P21" s="13">
        <v>10</v>
      </c>
      <c r="Q21" s="13" t="s">
        <v>10</v>
      </c>
      <c r="R21" s="13">
        <v>10</v>
      </c>
      <c r="S21" s="23">
        <v>10</v>
      </c>
      <c r="T21" s="23">
        <v>10</v>
      </c>
      <c r="U21" s="13" t="s">
        <v>32</v>
      </c>
      <c r="V21" s="23">
        <v>10</v>
      </c>
      <c r="W21" s="13">
        <v>10</v>
      </c>
      <c r="X21" s="13" t="s">
        <v>10</v>
      </c>
      <c r="Y21" s="13">
        <v>10</v>
      </c>
      <c r="Z21" s="23"/>
      <c r="AA21" s="23"/>
      <c r="AB21" s="23"/>
      <c r="AC21" s="23"/>
      <c r="AD21" s="13"/>
      <c r="AE21" s="23"/>
      <c r="AF21" s="23"/>
      <c r="AG21" s="23"/>
      <c r="AH21" s="23"/>
      <c r="AI21" s="22">
        <f t="shared" si="1"/>
        <v>158</v>
      </c>
      <c r="AJ21" s="21"/>
      <c r="AK21" s="14">
        <f t="shared" si="4"/>
        <v>0</v>
      </c>
      <c r="AL21" s="2" t="s">
        <v>431</v>
      </c>
    </row>
    <row r="22" spans="1:38" ht="19.899999999999999" customHeight="1" x14ac:dyDescent="0.25">
      <c r="A22" s="2">
        <v>20</v>
      </c>
      <c r="B22" s="7" t="s">
        <v>382</v>
      </c>
      <c r="C22" s="4" t="s">
        <v>383</v>
      </c>
      <c r="D22" s="2" t="s">
        <v>84</v>
      </c>
      <c r="E22" s="23">
        <v>10</v>
      </c>
      <c r="F22" s="23">
        <v>8</v>
      </c>
      <c r="G22" s="13">
        <v>10</v>
      </c>
      <c r="H22" s="23"/>
      <c r="I22" s="13"/>
      <c r="J22" s="13"/>
      <c r="K22" s="13"/>
      <c r="L22" s="23"/>
      <c r="M22" s="23"/>
      <c r="N22" s="13"/>
      <c r="O22" s="23"/>
      <c r="P22" s="13"/>
      <c r="Q22" s="13"/>
      <c r="R22" s="13"/>
      <c r="S22" s="23"/>
      <c r="T22" s="23"/>
      <c r="U22" s="13"/>
      <c r="V22" s="23"/>
      <c r="W22" s="13"/>
      <c r="X22" s="13"/>
      <c r="Y22" s="13"/>
      <c r="Z22" s="23"/>
      <c r="AA22" s="23"/>
      <c r="AB22" s="23"/>
      <c r="AC22" s="23"/>
      <c r="AD22" s="13"/>
      <c r="AE22" s="23"/>
      <c r="AF22" s="23"/>
      <c r="AG22" s="23"/>
      <c r="AH22" s="23"/>
      <c r="AI22" s="22">
        <f t="shared" si="1"/>
        <v>28</v>
      </c>
      <c r="AJ22" s="21"/>
      <c r="AK22" s="14">
        <f t="shared" ref="AK22:AK44" si="5">AI22*AJ22</f>
        <v>0</v>
      </c>
      <c r="AL22" s="2" t="s">
        <v>431</v>
      </c>
    </row>
    <row r="23" spans="1:38" ht="19.899999999999999" customHeight="1" x14ac:dyDescent="0.25">
      <c r="A23" s="2">
        <v>21</v>
      </c>
      <c r="B23" s="2">
        <v>378</v>
      </c>
      <c r="C23" s="4" t="s">
        <v>479</v>
      </c>
      <c r="D23" s="2" t="s">
        <v>84</v>
      </c>
      <c r="E23" s="23">
        <v>10</v>
      </c>
      <c r="F23" s="23">
        <v>8</v>
      </c>
      <c r="G23" s="13">
        <v>10</v>
      </c>
      <c r="H23" s="23"/>
      <c r="I23" s="13"/>
      <c r="J23" s="13"/>
      <c r="K23" s="13"/>
      <c r="L23" s="23"/>
      <c r="M23" s="23"/>
      <c r="N23" s="13"/>
      <c r="O23" s="23"/>
      <c r="P23" s="13"/>
      <c r="Q23" s="13"/>
      <c r="R23" s="13"/>
      <c r="S23" s="23"/>
      <c r="T23" s="23"/>
      <c r="U23" s="13"/>
      <c r="V23" s="23"/>
      <c r="W23" s="13"/>
      <c r="X23" s="13"/>
      <c r="Y23" s="13"/>
      <c r="Z23" s="23"/>
      <c r="AA23" s="23"/>
      <c r="AB23" s="23"/>
      <c r="AC23" s="23"/>
      <c r="AD23" s="13"/>
      <c r="AE23" s="23"/>
      <c r="AF23" s="23"/>
      <c r="AG23" s="23"/>
      <c r="AH23" s="23"/>
      <c r="AI23" s="22">
        <f t="shared" si="1"/>
        <v>28</v>
      </c>
      <c r="AJ23" s="21"/>
      <c r="AK23" s="14">
        <f t="shared" si="5"/>
        <v>0</v>
      </c>
      <c r="AL23" s="2" t="s">
        <v>431</v>
      </c>
    </row>
    <row r="24" spans="1:38" ht="19.899999999999999" customHeight="1" x14ac:dyDescent="0.25">
      <c r="A24" s="2">
        <v>22</v>
      </c>
      <c r="B24" s="7" t="s">
        <v>97</v>
      </c>
      <c r="C24" s="4" t="s">
        <v>98</v>
      </c>
      <c r="D24" s="2" t="s">
        <v>84</v>
      </c>
      <c r="E24" s="23">
        <v>10</v>
      </c>
      <c r="F24" s="23">
        <v>8</v>
      </c>
      <c r="G24" s="13">
        <v>10</v>
      </c>
      <c r="H24" s="23">
        <v>10</v>
      </c>
      <c r="I24" s="13" t="s">
        <v>515</v>
      </c>
      <c r="J24" s="13" t="s">
        <v>10</v>
      </c>
      <c r="K24" s="13">
        <v>10</v>
      </c>
      <c r="L24" s="23">
        <v>10</v>
      </c>
      <c r="M24" s="23">
        <v>10</v>
      </c>
      <c r="N24" s="13">
        <v>10</v>
      </c>
      <c r="O24" s="23">
        <v>10</v>
      </c>
      <c r="P24" s="13">
        <v>10</v>
      </c>
      <c r="Q24" s="13" t="s">
        <v>10</v>
      </c>
      <c r="R24" s="13">
        <v>10</v>
      </c>
      <c r="S24" s="23">
        <v>10</v>
      </c>
      <c r="T24" s="23">
        <v>10</v>
      </c>
      <c r="U24" s="13">
        <v>10</v>
      </c>
      <c r="V24" s="23">
        <v>10</v>
      </c>
      <c r="W24" s="13">
        <v>10</v>
      </c>
      <c r="X24" s="13" t="s">
        <v>10</v>
      </c>
      <c r="Y24" s="13">
        <v>10</v>
      </c>
      <c r="Z24" s="23"/>
      <c r="AA24" s="23"/>
      <c r="AB24" s="23"/>
      <c r="AC24" s="23"/>
      <c r="AD24" s="13"/>
      <c r="AE24" s="23"/>
      <c r="AF24" s="23"/>
      <c r="AG24" s="23"/>
      <c r="AH24" s="23"/>
      <c r="AI24" s="22">
        <f t="shared" si="1"/>
        <v>168</v>
      </c>
      <c r="AJ24" s="21"/>
      <c r="AK24" s="14">
        <f t="shared" si="5"/>
        <v>0</v>
      </c>
      <c r="AL24" s="2" t="s">
        <v>431</v>
      </c>
    </row>
    <row r="25" spans="1:38" ht="19.899999999999999" customHeight="1" x14ac:dyDescent="0.25">
      <c r="A25" s="2">
        <v>23</v>
      </c>
      <c r="B25" s="2" t="s">
        <v>306</v>
      </c>
      <c r="C25" s="4" t="s">
        <v>153</v>
      </c>
      <c r="D25" s="2" t="s">
        <v>84</v>
      </c>
      <c r="E25" s="23">
        <v>10</v>
      </c>
      <c r="F25" s="23">
        <v>8</v>
      </c>
      <c r="G25" s="13">
        <v>10</v>
      </c>
      <c r="H25" s="23">
        <v>10</v>
      </c>
      <c r="I25" s="13" t="s">
        <v>515</v>
      </c>
      <c r="J25" s="13" t="s">
        <v>10</v>
      </c>
      <c r="K25" s="13">
        <v>10</v>
      </c>
      <c r="L25" s="23">
        <v>10</v>
      </c>
      <c r="M25" s="23">
        <v>10</v>
      </c>
      <c r="N25" s="13">
        <v>10</v>
      </c>
      <c r="O25" s="23">
        <v>10</v>
      </c>
      <c r="P25" s="13">
        <v>10</v>
      </c>
      <c r="Q25" s="13" t="s">
        <v>10</v>
      </c>
      <c r="R25" s="13">
        <v>10</v>
      </c>
      <c r="S25" s="23">
        <v>10</v>
      </c>
      <c r="T25" s="23">
        <v>10</v>
      </c>
      <c r="U25" s="13">
        <v>10</v>
      </c>
      <c r="V25" s="23">
        <v>10</v>
      </c>
      <c r="W25" s="13">
        <v>10</v>
      </c>
      <c r="X25" s="13" t="s">
        <v>10</v>
      </c>
      <c r="Y25" s="13">
        <v>10</v>
      </c>
      <c r="Z25" s="23"/>
      <c r="AA25" s="23"/>
      <c r="AB25" s="23"/>
      <c r="AC25" s="23"/>
      <c r="AD25" s="13"/>
      <c r="AE25" s="23"/>
      <c r="AF25" s="23"/>
      <c r="AG25" s="23"/>
      <c r="AH25" s="23"/>
      <c r="AI25" s="22">
        <f t="shared" si="1"/>
        <v>168</v>
      </c>
      <c r="AJ25" s="21"/>
      <c r="AK25" s="14">
        <f t="shared" si="5"/>
        <v>0</v>
      </c>
      <c r="AL25" s="2" t="s">
        <v>431</v>
      </c>
    </row>
    <row r="26" spans="1:38" ht="19.899999999999999" customHeight="1" x14ac:dyDescent="0.25">
      <c r="A26" s="2">
        <v>24</v>
      </c>
      <c r="B26" s="7">
        <v>229</v>
      </c>
      <c r="C26" s="4" t="s">
        <v>537</v>
      </c>
      <c r="D26" s="2" t="s">
        <v>84</v>
      </c>
      <c r="E26" s="23"/>
      <c r="F26" s="23"/>
      <c r="G26" s="13"/>
      <c r="H26" s="23"/>
      <c r="I26" s="13"/>
      <c r="J26" s="13"/>
      <c r="K26" s="13"/>
      <c r="L26" s="23"/>
      <c r="M26" s="23"/>
      <c r="N26" s="13">
        <v>10</v>
      </c>
      <c r="O26" s="23">
        <v>10</v>
      </c>
      <c r="P26" s="13">
        <v>10</v>
      </c>
      <c r="Q26" s="13" t="s">
        <v>10</v>
      </c>
      <c r="R26" s="13">
        <v>10</v>
      </c>
      <c r="S26" s="23">
        <v>10</v>
      </c>
      <c r="T26" s="23">
        <v>10</v>
      </c>
      <c r="U26" s="13">
        <v>10</v>
      </c>
      <c r="V26" s="23">
        <v>10</v>
      </c>
      <c r="W26" s="13">
        <v>10</v>
      </c>
      <c r="X26" s="13" t="s">
        <v>10</v>
      </c>
      <c r="Y26" s="13">
        <v>10</v>
      </c>
      <c r="Z26" s="23"/>
      <c r="AA26" s="23"/>
      <c r="AB26" s="23"/>
      <c r="AC26" s="23"/>
      <c r="AD26" s="13"/>
      <c r="AE26" s="23"/>
      <c r="AF26" s="23"/>
      <c r="AG26" s="23"/>
      <c r="AH26" s="23"/>
      <c r="AI26" s="22">
        <f t="shared" si="1"/>
        <v>100</v>
      </c>
      <c r="AJ26" s="21"/>
      <c r="AK26" s="14">
        <f t="shared" si="5"/>
        <v>0</v>
      </c>
      <c r="AL26" s="2" t="s">
        <v>431</v>
      </c>
    </row>
    <row r="27" spans="1:38" ht="19.899999999999999" customHeight="1" x14ac:dyDescent="0.25">
      <c r="A27" s="2">
        <v>25</v>
      </c>
      <c r="B27" s="7">
        <v>384</v>
      </c>
      <c r="C27" s="4" t="s">
        <v>538</v>
      </c>
      <c r="D27" s="2" t="s">
        <v>84</v>
      </c>
      <c r="E27" s="23"/>
      <c r="F27" s="23"/>
      <c r="G27" s="13"/>
      <c r="H27" s="23"/>
      <c r="I27" s="13"/>
      <c r="J27" s="13"/>
      <c r="K27" s="13"/>
      <c r="L27" s="23"/>
      <c r="M27" s="23"/>
      <c r="N27" s="13"/>
      <c r="O27" s="23">
        <v>10</v>
      </c>
      <c r="P27" s="13">
        <v>10</v>
      </c>
      <c r="Q27" s="13" t="s">
        <v>10</v>
      </c>
      <c r="R27" s="13">
        <v>10</v>
      </c>
      <c r="S27" s="23" t="s">
        <v>32</v>
      </c>
      <c r="T27" s="23">
        <v>10</v>
      </c>
      <c r="U27" s="13">
        <v>10</v>
      </c>
      <c r="V27" s="23">
        <v>10</v>
      </c>
      <c r="W27" s="13">
        <v>10</v>
      </c>
      <c r="X27" s="13" t="s">
        <v>10</v>
      </c>
      <c r="Y27" s="13">
        <v>10</v>
      </c>
      <c r="Z27" s="23"/>
      <c r="AA27" s="23"/>
      <c r="AB27" s="23"/>
      <c r="AC27" s="23"/>
      <c r="AD27" s="13"/>
      <c r="AE27" s="23"/>
      <c r="AF27" s="23"/>
      <c r="AG27" s="23"/>
      <c r="AH27" s="23"/>
      <c r="AI27" s="22">
        <f t="shared" si="1"/>
        <v>80</v>
      </c>
      <c r="AJ27" s="21"/>
      <c r="AK27" s="14">
        <f t="shared" si="5"/>
        <v>0</v>
      </c>
      <c r="AL27" s="2" t="s">
        <v>431</v>
      </c>
    </row>
    <row r="28" spans="1:38" ht="19.899999999999999" customHeight="1" x14ac:dyDescent="0.25">
      <c r="A28" s="2">
        <v>26</v>
      </c>
      <c r="B28" s="7" t="s">
        <v>534</v>
      </c>
      <c r="C28" s="4" t="s">
        <v>535</v>
      </c>
      <c r="D28" s="2" t="s">
        <v>536</v>
      </c>
      <c r="E28" s="23"/>
      <c r="F28" s="23"/>
      <c r="G28" s="13"/>
      <c r="H28" s="23"/>
      <c r="I28" s="13"/>
      <c r="J28" s="13"/>
      <c r="K28" s="13"/>
      <c r="L28" s="23"/>
      <c r="M28" s="23"/>
      <c r="N28" s="13"/>
      <c r="O28" s="23"/>
      <c r="P28" s="13"/>
      <c r="Q28" s="13"/>
      <c r="R28" s="13"/>
      <c r="S28" s="23"/>
      <c r="T28" s="23"/>
      <c r="U28" s="13"/>
      <c r="V28" s="23"/>
      <c r="W28" s="13"/>
      <c r="X28" s="13"/>
      <c r="Y28" s="13"/>
      <c r="Z28" s="23">
        <v>11</v>
      </c>
      <c r="AA28" s="23">
        <v>11</v>
      </c>
      <c r="AB28" s="23" t="s">
        <v>32</v>
      </c>
      <c r="AC28" s="23">
        <v>11</v>
      </c>
      <c r="AD28" s="13">
        <v>11</v>
      </c>
      <c r="AE28" s="23">
        <v>11</v>
      </c>
      <c r="AF28" s="23" t="s">
        <v>10</v>
      </c>
      <c r="AG28" s="23">
        <v>11</v>
      </c>
      <c r="AH28" s="23">
        <v>11</v>
      </c>
      <c r="AI28" s="22">
        <f t="shared" si="1"/>
        <v>77</v>
      </c>
      <c r="AJ28" s="21"/>
      <c r="AK28" s="14">
        <f t="shared" si="5"/>
        <v>0</v>
      </c>
      <c r="AL28" s="2" t="s">
        <v>431</v>
      </c>
    </row>
    <row r="29" spans="1:38" ht="19.899999999999999" customHeight="1" x14ac:dyDescent="0.25">
      <c r="A29" s="2">
        <v>27</v>
      </c>
      <c r="B29" s="7" t="s">
        <v>113</v>
      </c>
      <c r="C29" s="4" t="s">
        <v>114</v>
      </c>
      <c r="D29" s="2" t="s">
        <v>84</v>
      </c>
      <c r="E29" s="23"/>
      <c r="F29" s="23"/>
      <c r="G29" s="13"/>
      <c r="H29" s="23"/>
      <c r="I29" s="13"/>
      <c r="J29" s="13"/>
      <c r="K29" s="13"/>
      <c r="L29" s="23"/>
      <c r="M29" s="23"/>
      <c r="N29" s="13"/>
      <c r="O29" s="23"/>
      <c r="P29" s="13"/>
      <c r="Q29" s="13"/>
      <c r="R29" s="13"/>
      <c r="S29" s="23"/>
      <c r="T29" s="23"/>
      <c r="U29" s="13"/>
      <c r="V29" s="23"/>
      <c r="W29" s="13"/>
      <c r="X29" s="13"/>
      <c r="Y29" s="13"/>
      <c r="Z29" s="23">
        <v>11</v>
      </c>
      <c r="AA29" s="23">
        <v>11</v>
      </c>
      <c r="AB29" s="23">
        <v>11</v>
      </c>
      <c r="AC29" s="23">
        <v>11</v>
      </c>
      <c r="AD29" s="13">
        <v>11</v>
      </c>
      <c r="AE29" s="23">
        <v>11</v>
      </c>
      <c r="AF29" s="23" t="s">
        <v>10</v>
      </c>
      <c r="AG29" s="23">
        <v>11</v>
      </c>
      <c r="AH29" s="23">
        <v>11</v>
      </c>
      <c r="AI29" s="22">
        <f t="shared" si="1"/>
        <v>88</v>
      </c>
      <c r="AJ29" s="21"/>
      <c r="AK29" s="14">
        <f t="shared" si="5"/>
        <v>0</v>
      </c>
      <c r="AL29" s="2" t="s">
        <v>431</v>
      </c>
    </row>
    <row r="30" spans="1:38" ht="19.899999999999999" customHeight="1" x14ac:dyDescent="0.25">
      <c r="A30" s="2">
        <v>28</v>
      </c>
      <c r="B30" s="7" t="s">
        <v>97</v>
      </c>
      <c r="C30" s="4" t="s">
        <v>98</v>
      </c>
      <c r="D30" s="2" t="s">
        <v>84</v>
      </c>
      <c r="E30" s="23"/>
      <c r="F30" s="23"/>
      <c r="G30" s="13"/>
      <c r="H30" s="23"/>
      <c r="I30" s="13"/>
      <c r="J30" s="13"/>
      <c r="K30" s="13"/>
      <c r="L30" s="23"/>
      <c r="M30" s="23"/>
      <c r="N30" s="13"/>
      <c r="O30" s="23"/>
      <c r="P30" s="13"/>
      <c r="Q30" s="13"/>
      <c r="R30" s="13"/>
      <c r="S30" s="23"/>
      <c r="T30" s="23"/>
      <c r="U30" s="13"/>
      <c r="V30" s="23"/>
      <c r="W30" s="13"/>
      <c r="X30" s="13"/>
      <c r="Y30" s="13"/>
      <c r="Z30" s="23">
        <v>11</v>
      </c>
      <c r="AA30" s="23">
        <v>11</v>
      </c>
      <c r="AB30" s="23">
        <v>11</v>
      </c>
      <c r="AC30" s="23">
        <v>11</v>
      </c>
      <c r="AD30" s="13">
        <v>11</v>
      </c>
      <c r="AE30" s="23">
        <v>11</v>
      </c>
      <c r="AF30" s="23" t="s">
        <v>10</v>
      </c>
      <c r="AG30" s="23">
        <v>11</v>
      </c>
      <c r="AH30" s="23">
        <v>11</v>
      </c>
      <c r="AI30" s="22">
        <f t="shared" si="1"/>
        <v>88</v>
      </c>
      <c r="AJ30" s="2"/>
      <c r="AK30" s="14">
        <f t="shared" si="5"/>
        <v>0</v>
      </c>
      <c r="AL30" s="2" t="s">
        <v>431</v>
      </c>
    </row>
    <row r="31" spans="1:38" ht="19.899999999999999" customHeight="1" x14ac:dyDescent="0.25">
      <c r="A31" s="2">
        <v>29</v>
      </c>
      <c r="B31" s="7" t="s">
        <v>156</v>
      </c>
      <c r="C31" s="4" t="s">
        <v>157</v>
      </c>
      <c r="D31" s="2" t="s">
        <v>84</v>
      </c>
      <c r="E31" s="23"/>
      <c r="F31" s="23"/>
      <c r="G31" s="13"/>
      <c r="H31" s="23"/>
      <c r="I31" s="13"/>
      <c r="J31" s="13"/>
      <c r="K31" s="13"/>
      <c r="L31" s="23"/>
      <c r="M31" s="23"/>
      <c r="N31" s="13"/>
      <c r="O31" s="23"/>
      <c r="P31" s="13"/>
      <c r="Q31" s="13"/>
      <c r="R31" s="13"/>
      <c r="S31" s="23"/>
      <c r="T31" s="23"/>
      <c r="U31" s="13"/>
      <c r="V31" s="23"/>
      <c r="W31" s="13"/>
      <c r="X31" s="13"/>
      <c r="Y31" s="13"/>
      <c r="Z31" s="23">
        <v>11</v>
      </c>
      <c r="AA31" s="23">
        <v>11</v>
      </c>
      <c r="AB31" s="23">
        <v>11</v>
      </c>
      <c r="AC31" s="23">
        <v>11</v>
      </c>
      <c r="AD31" s="13">
        <v>11</v>
      </c>
      <c r="AE31" s="23">
        <v>11</v>
      </c>
      <c r="AF31" s="23" t="s">
        <v>10</v>
      </c>
      <c r="AG31" s="23" t="s">
        <v>32</v>
      </c>
      <c r="AH31" s="23" t="s">
        <v>32</v>
      </c>
      <c r="AI31" s="22">
        <f t="shared" si="1"/>
        <v>66</v>
      </c>
      <c r="AJ31" s="2"/>
      <c r="AK31" s="14">
        <f t="shared" si="5"/>
        <v>0</v>
      </c>
      <c r="AL31" s="2" t="s">
        <v>431</v>
      </c>
    </row>
    <row r="32" spans="1:38" ht="19.899999999999999" customHeight="1" x14ac:dyDescent="0.25">
      <c r="A32" s="2">
        <v>30</v>
      </c>
      <c r="B32" s="7" t="s">
        <v>426</v>
      </c>
      <c r="C32" s="4" t="s">
        <v>427</v>
      </c>
      <c r="D32" s="2" t="s">
        <v>84</v>
      </c>
      <c r="E32" s="23"/>
      <c r="F32" s="23"/>
      <c r="G32" s="13"/>
      <c r="H32" s="23"/>
      <c r="I32" s="13"/>
      <c r="J32" s="13"/>
      <c r="K32" s="13"/>
      <c r="L32" s="23"/>
      <c r="M32" s="23"/>
      <c r="N32" s="13"/>
      <c r="O32" s="23"/>
      <c r="P32" s="13"/>
      <c r="Q32" s="13"/>
      <c r="R32" s="13"/>
      <c r="S32" s="23"/>
      <c r="T32" s="23"/>
      <c r="U32" s="13"/>
      <c r="V32" s="23"/>
      <c r="W32" s="13"/>
      <c r="X32" s="13"/>
      <c r="Y32" s="13"/>
      <c r="Z32" s="23">
        <v>11</v>
      </c>
      <c r="AA32" s="23">
        <v>11</v>
      </c>
      <c r="AB32" s="23">
        <v>11</v>
      </c>
      <c r="AC32" s="23">
        <v>11</v>
      </c>
      <c r="AD32" s="13">
        <v>11</v>
      </c>
      <c r="AE32" s="23">
        <v>11</v>
      </c>
      <c r="AF32" s="23" t="s">
        <v>10</v>
      </c>
      <c r="AG32" s="23">
        <v>11</v>
      </c>
      <c r="AH32" s="23">
        <v>11</v>
      </c>
      <c r="AI32" s="22">
        <f t="shared" si="1"/>
        <v>88</v>
      </c>
      <c r="AJ32" s="21"/>
      <c r="AK32" s="14">
        <f t="shared" si="5"/>
        <v>0</v>
      </c>
      <c r="AL32" s="2" t="s">
        <v>431</v>
      </c>
    </row>
    <row r="33" spans="1:38" ht="19.899999999999999" customHeight="1" x14ac:dyDescent="0.25">
      <c r="A33" s="2">
        <v>31</v>
      </c>
      <c r="B33" s="7">
        <v>229</v>
      </c>
      <c r="C33" s="4" t="s">
        <v>537</v>
      </c>
      <c r="D33" s="2" t="s">
        <v>84</v>
      </c>
      <c r="E33" s="23"/>
      <c r="F33" s="23"/>
      <c r="G33" s="13"/>
      <c r="H33" s="23"/>
      <c r="I33" s="13"/>
      <c r="J33" s="13"/>
      <c r="K33" s="13"/>
      <c r="L33" s="23"/>
      <c r="M33" s="23"/>
      <c r="N33" s="13"/>
      <c r="O33" s="23"/>
      <c r="P33" s="13"/>
      <c r="Q33" s="13"/>
      <c r="R33" s="13"/>
      <c r="S33" s="23"/>
      <c r="T33" s="23"/>
      <c r="U33" s="13"/>
      <c r="V33" s="23"/>
      <c r="W33" s="13"/>
      <c r="X33" s="13"/>
      <c r="Y33" s="13"/>
      <c r="Z33" s="23">
        <v>11</v>
      </c>
      <c r="AA33" s="23">
        <v>11</v>
      </c>
      <c r="AB33" s="23">
        <v>11</v>
      </c>
      <c r="AC33" s="23">
        <v>11</v>
      </c>
      <c r="AD33" s="13">
        <v>11</v>
      </c>
      <c r="AE33" s="23">
        <v>11</v>
      </c>
      <c r="AF33" s="23" t="s">
        <v>10</v>
      </c>
      <c r="AG33" s="23">
        <v>11</v>
      </c>
      <c r="AH33" s="23">
        <v>11</v>
      </c>
      <c r="AI33" s="22">
        <f t="shared" si="1"/>
        <v>88</v>
      </c>
      <c r="AJ33" s="21"/>
      <c r="AK33" s="14">
        <f t="shared" ref="AK33:AK37" si="6">AI33*AJ33</f>
        <v>0</v>
      </c>
      <c r="AL33" s="2" t="s">
        <v>431</v>
      </c>
    </row>
    <row r="34" spans="1:38" ht="19.899999999999999" customHeight="1" x14ac:dyDescent="0.25">
      <c r="A34" s="2">
        <v>32</v>
      </c>
      <c r="B34" s="7" t="s">
        <v>106</v>
      </c>
      <c r="C34" s="4" t="s">
        <v>107</v>
      </c>
      <c r="D34" s="2" t="s">
        <v>84</v>
      </c>
      <c r="E34" s="23"/>
      <c r="F34" s="23"/>
      <c r="G34" s="13"/>
      <c r="H34" s="23"/>
      <c r="I34" s="13"/>
      <c r="J34" s="13"/>
      <c r="K34" s="13"/>
      <c r="L34" s="23"/>
      <c r="M34" s="23"/>
      <c r="N34" s="13"/>
      <c r="O34" s="23"/>
      <c r="P34" s="13"/>
      <c r="Q34" s="13"/>
      <c r="R34" s="13"/>
      <c r="S34" s="23"/>
      <c r="T34" s="23"/>
      <c r="U34" s="13"/>
      <c r="V34" s="23"/>
      <c r="W34" s="13"/>
      <c r="X34" s="13"/>
      <c r="Y34" s="13"/>
      <c r="Z34" s="23">
        <v>11</v>
      </c>
      <c r="AA34" s="23">
        <v>11</v>
      </c>
      <c r="AB34" s="23">
        <v>11</v>
      </c>
      <c r="AC34" s="23">
        <v>11</v>
      </c>
      <c r="AD34" s="13">
        <v>11</v>
      </c>
      <c r="AE34" s="23">
        <v>11</v>
      </c>
      <c r="AF34" s="23" t="s">
        <v>10</v>
      </c>
      <c r="AG34" s="23">
        <v>11</v>
      </c>
      <c r="AH34" s="23">
        <v>11</v>
      </c>
      <c r="AI34" s="22">
        <f t="shared" si="1"/>
        <v>88</v>
      </c>
      <c r="AJ34" s="21"/>
      <c r="AK34" s="14">
        <f t="shared" si="6"/>
        <v>0</v>
      </c>
      <c r="AL34" s="2" t="s">
        <v>431</v>
      </c>
    </row>
    <row r="35" spans="1:38" ht="19.899999999999999" customHeight="1" x14ac:dyDescent="0.25">
      <c r="A35" s="2">
        <v>33</v>
      </c>
      <c r="B35" s="7" t="s">
        <v>306</v>
      </c>
      <c r="C35" s="4" t="s">
        <v>153</v>
      </c>
      <c r="D35" s="2" t="s">
        <v>84</v>
      </c>
      <c r="E35" s="23"/>
      <c r="F35" s="23"/>
      <c r="G35" s="13"/>
      <c r="H35" s="23"/>
      <c r="I35" s="13"/>
      <c r="J35" s="13"/>
      <c r="K35" s="13"/>
      <c r="L35" s="23"/>
      <c r="M35" s="23"/>
      <c r="N35" s="13"/>
      <c r="O35" s="23"/>
      <c r="P35" s="13"/>
      <c r="Q35" s="13"/>
      <c r="R35" s="13"/>
      <c r="S35" s="23"/>
      <c r="T35" s="23"/>
      <c r="U35" s="13"/>
      <c r="V35" s="23"/>
      <c r="W35" s="13"/>
      <c r="X35" s="13"/>
      <c r="Y35" s="13"/>
      <c r="Z35" s="23">
        <v>11</v>
      </c>
      <c r="AA35" s="23">
        <v>11</v>
      </c>
      <c r="AB35" s="23">
        <v>11</v>
      </c>
      <c r="AC35" s="23">
        <v>11</v>
      </c>
      <c r="AD35" s="13">
        <v>11</v>
      </c>
      <c r="AE35" s="23">
        <v>11</v>
      </c>
      <c r="AF35" s="23" t="s">
        <v>10</v>
      </c>
      <c r="AG35" s="23">
        <v>11</v>
      </c>
      <c r="AH35" s="23">
        <v>11</v>
      </c>
      <c r="AI35" s="22">
        <f t="shared" si="1"/>
        <v>88</v>
      </c>
      <c r="AJ35" s="2"/>
      <c r="AK35" s="14">
        <f t="shared" si="6"/>
        <v>0</v>
      </c>
      <c r="AL35" s="2" t="s">
        <v>431</v>
      </c>
    </row>
    <row r="36" spans="1:38" ht="19.899999999999999" customHeight="1" x14ac:dyDescent="0.25">
      <c r="A36" s="2">
        <v>34</v>
      </c>
      <c r="B36" s="7">
        <v>335</v>
      </c>
      <c r="C36" s="4" t="s">
        <v>343</v>
      </c>
      <c r="D36" s="2" t="s">
        <v>84</v>
      </c>
      <c r="E36" s="23"/>
      <c r="F36" s="23"/>
      <c r="G36" s="13"/>
      <c r="H36" s="23"/>
      <c r="I36" s="13"/>
      <c r="J36" s="13"/>
      <c r="K36" s="13"/>
      <c r="L36" s="23"/>
      <c r="M36" s="23"/>
      <c r="N36" s="13"/>
      <c r="O36" s="23"/>
      <c r="P36" s="13"/>
      <c r="Q36" s="13"/>
      <c r="R36" s="13"/>
      <c r="S36" s="23"/>
      <c r="T36" s="23"/>
      <c r="U36" s="13"/>
      <c r="V36" s="23"/>
      <c r="W36" s="13"/>
      <c r="X36" s="13"/>
      <c r="Y36" s="13"/>
      <c r="Z36" s="23">
        <v>11</v>
      </c>
      <c r="AA36" s="23">
        <v>11</v>
      </c>
      <c r="AB36" s="23">
        <v>11</v>
      </c>
      <c r="AC36" s="23">
        <v>11</v>
      </c>
      <c r="AD36" s="13">
        <v>11</v>
      </c>
      <c r="AE36" s="23">
        <v>11</v>
      </c>
      <c r="AF36" s="23" t="s">
        <v>10</v>
      </c>
      <c r="AG36" s="23">
        <v>11</v>
      </c>
      <c r="AH36" s="23">
        <v>11</v>
      </c>
      <c r="AI36" s="22">
        <f t="shared" si="1"/>
        <v>88</v>
      </c>
      <c r="AJ36" s="2"/>
      <c r="AK36" s="14">
        <f t="shared" si="6"/>
        <v>0</v>
      </c>
      <c r="AL36" s="2" t="s">
        <v>431</v>
      </c>
    </row>
    <row r="37" spans="1:38" ht="19.899999999999999" customHeight="1" x14ac:dyDescent="0.25">
      <c r="A37" s="2">
        <v>35</v>
      </c>
      <c r="B37" s="7">
        <v>347</v>
      </c>
      <c r="C37" s="4" t="s">
        <v>428</v>
      </c>
      <c r="D37" s="2" t="s">
        <v>84</v>
      </c>
      <c r="E37" s="23"/>
      <c r="F37" s="23"/>
      <c r="G37" s="13"/>
      <c r="H37" s="23"/>
      <c r="I37" s="13"/>
      <c r="J37" s="13"/>
      <c r="K37" s="13"/>
      <c r="L37" s="23"/>
      <c r="M37" s="23"/>
      <c r="N37" s="13"/>
      <c r="O37" s="23"/>
      <c r="P37" s="13"/>
      <c r="Q37" s="13"/>
      <c r="R37" s="13"/>
      <c r="S37" s="23"/>
      <c r="T37" s="23"/>
      <c r="U37" s="13"/>
      <c r="V37" s="23"/>
      <c r="W37" s="13"/>
      <c r="X37" s="13"/>
      <c r="Y37" s="13"/>
      <c r="Z37" s="23">
        <v>11</v>
      </c>
      <c r="AA37" s="23">
        <v>11</v>
      </c>
      <c r="AB37" s="23">
        <v>11</v>
      </c>
      <c r="AC37" s="23">
        <v>11</v>
      </c>
      <c r="AD37" s="13">
        <v>11</v>
      </c>
      <c r="AE37" s="23">
        <v>11</v>
      </c>
      <c r="AF37" s="23" t="s">
        <v>10</v>
      </c>
      <c r="AG37" s="23">
        <v>11</v>
      </c>
      <c r="AH37" s="23">
        <v>11</v>
      </c>
      <c r="AI37" s="22">
        <f t="shared" si="1"/>
        <v>88</v>
      </c>
      <c r="AJ37" s="21"/>
      <c r="AK37" s="14">
        <f t="shared" si="6"/>
        <v>0</v>
      </c>
      <c r="AL37" s="2" t="s">
        <v>431</v>
      </c>
    </row>
    <row r="38" spans="1:38" ht="19.899999999999999" customHeight="1" x14ac:dyDescent="0.25">
      <c r="A38" s="2">
        <v>36</v>
      </c>
      <c r="B38" s="7">
        <v>365</v>
      </c>
      <c r="C38" s="4" t="s">
        <v>429</v>
      </c>
      <c r="D38" s="2" t="s">
        <v>84</v>
      </c>
      <c r="E38" s="23"/>
      <c r="F38" s="23"/>
      <c r="G38" s="13"/>
      <c r="H38" s="23"/>
      <c r="I38" s="13"/>
      <c r="J38" s="13"/>
      <c r="K38" s="13"/>
      <c r="L38" s="23"/>
      <c r="M38" s="23"/>
      <c r="N38" s="13"/>
      <c r="O38" s="23"/>
      <c r="P38" s="13"/>
      <c r="Q38" s="13"/>
      <c r="R38" s="13"/>
      <c r="S38" s="23"/>
      <c r="T38" s="23"/>
      <c r="U38" s="13"/>
      <c r="V38" s="23"/>
      <c r="W38" s="13"/>
      <c r="X38" s="13"/>
      <c r="Y38" s="13"/>
      <c r="Z38" s="23">
        <v>11</v>
      </c>
      <c r="AA38" s="23">
        <v>11</v>
      </c>
      <c r="AB38" s="23">
        <v>11</v>
      </c>
      <c r="AC38" s="23">
        <v>11</v>
      </c>
      <c r="AD38" s="13">
        <v>11</v>
      </c>
      <c r="AE38" s="23">
        <v>11</v>
      </c>
      <c r="AF38" s="23" t="s">
        <v>10</v>
      </c>
      <c r="AG38" s="23">
        <v>11</v>
      </c>
      <c r="AH38" s="23">
        <v>11</v>
      </c>
      <c r="AI38" s="22">
        <f t="shared" si="1"/>
        <v>88</v>
      </c>
      <c r="AJ38" s="21"/>
      <c r="AK38" s="14">
        <f t="shared" ref="AK38:AK42" si="7">AI38*AJ38</f>
        <v>0</v>
      </c>
      <c r="AL38" s="2" t="s">
        <v>431</v>
      </c>
    </row>
    <row r="39" spans="1:38" ht="19.899999999999999" customHeight="1" x14ac:dyDescent="0.25">
      <c r="A39" s="2">
        <v>37</v>
      </c>
      <c r="B39" s="7">
        <v>366</v>
      </c>
      <c r="C39" s="4" t="s">
        <v>430</v>
      </c>
      <c r="D39" s="2" t="s">
        <v>84</v>
      </c>
      <c r="E39" s="23"/>
      <c r="F39" s="23"/>
      <c r="G39" s="13"/>
      <c r="H39" s="23"/>
      <c r="I39" s="13"/>
      <c r="J39" s="13"/>
      <c r="K39" s="13"/>
      <c r="L39" s="23"/>
      <c r="M39" s="23"/>
      <c r="N39" s="13"/>
      <c r="O39" s="23"/>
      <c r="P39" s="13"/>
      <c r="Q39" s="13"/>
      <c r="R39" s="13"/>
      <c r="S39" s="23"/>
      <c r="T39" s="23"/>
      <c r="U39" s="13"/>
      <c r="V39" s="23"/>
      <c r="W39" s="13"/>
      <c r="X39" s="13"/>
      <c r="Y39" s="13"/>
      <c r="Z39" s="23">
        <v>11</v>
      </c>
      <c r="AA39" s="23">
        <v>11</v>
      </c>
      <c r="AB39" s="23">
        <v>11</v>
      </c>
      <c r="AC39" s="23">
        <v>11</v>
      </c>
      <c r="AD39" s="13">
        <v>11</v>
      </c>
      <c r="AE39" s="23">
        <v>11</v>
      </c>
      <c r="AF39" s="23" t="s">
        <v>10</v>
      </c>
      <c r="AG39" s="23">
        <v>11</v>
      </c>
      <c r="AH39" s="23">
        <v>11</v>
      </c>
      <c r="AI39" s="22">
        <f t="shared" si="1"/>
        <v>88</v>
      </c>
      <c r="AJ39" s="21"/>
      <c r="AK39" s="14">
        <f t="shared" si="7"/>
        <v>0</v>
      </c>
      <c r="AL39" s="2" t="s">
        <v>431</v>
      </c>
    </row>
    <row r="40" spans="1:38" ht="19.899999999999999" customHeight="1" x14ac:dyDescent="0.25">
      <c r="A40" s="2">
        <v>38</v>
      </c>
      <c r="B40" s="7">
        <v>384</v>
      </c>
      <c r="C40" s="4" t="s">
        <v>538</v>
      </c>
      <c r="D40" s="2" t="s">
        <v>84</v>
      </c>
      <c r="E40" s="23"/>
      <c r="F40" s="23"/>
      <c r="G40" s="13"/>
      <c r="H40" s="23"/>
      <c r="I40" s="13"/>
      <c r="J40" s="13"/>
      <c r="K40" s="13"/>
      <c r="L40" s="23"/>
      <c r="M40" s="23"/>
      <c r="N40" s="13"/>
      <c r="O40" s="23"/>
      <c r="P40" s="13"/>
      <c r="Q40" s="13"/>
      <c r="R40" s="13"/>
      <c r="S40" s="23"/>
      <c r="T40" s="23"/>
      <c r="U40" s="13"/>
      <c r="V40" s="23"/>
      <c r="W40" s="13"/>
      <c r="X40" s="13"/>
      <c r="Y40" s="13"/>
      <c r="Z40" s="23">
        <v>11</v>
      </c>
      <c r="AA40" s="23">
        <v>11</v>
      </c>
      <c r="AB40" s="23">
        <v>11</v>
      </c>
      <c r="AC40" s="23">
        <v>11</v>
      </c>
      <c r="AD40" s="13">
        <v>11</v>
      </c>
      <c r="AE40" s="23">
        <v>11</v>
      </c>
      <c r="AF40" s="23" t="s">
        <v>10</v>
      </c>
      <c r="AG40" s="23">
        <v>11</v>
      </c>
      <c r="AH40" s="23">
        <v>11</v>
      </c>
      <c r="AI40" s="22">
        <f t="shared" si="1"/>
        <v>88</v>
      </c>
      <c r="AJ40" s="2"/>
      <c r="AK40" s="14">
        <f t="shared" si="7"/>
        <v>0</v>
      </c>
      <c r="AL40" s="2" t="s">
        <v>431</v>
      </c>
    </row>
    <row r="41" spans="1:38" ht="19.899999999999999" customHeight="1" x14ac:dyDescent="0.25">
      <c r="A41" s="2">
        <v>39</v>
      </c>
      <c r="B41" s="7">
        <v>385</v>
      </c>
      <c r="C41" s="4" t="s">
        <v>539</v>
      </c>
      <c r="D41" s="2" t="s">
        <v>84</v>
      </c>
      <c r="E41" s="23"/>
      <c r="F41" s="23"/>
      <c r="G41" s="13"/>
      <c r="H41" s="23"/>
      <c r="I41" s="13"/>
      <c r="J41" s="13"/>
      <c r="K41" s="13"/>
      <c r="L41" s="23"/>
      <c r="M41" s="23"/>
      <c r="N41" s="13"/>
      <c r="O41" s="23"/>
      <c r="P41" s="13"/>
      <c r="Q41" s="13"/>
      <c r="R41" s="13"/>
      <c r="S41" s="23"/>
      <c r="T41" s="23"/>
      <c r="U41" s="13"/>
      <c r="V41" s="23"/>
      <c r="W41" s="13"/>
      <c r="X41" s="13"/>
      <c r="Y41" s="13"/>
      <c r="Z41" s="23"/>
      <c r="AA41" s="23"/>
      <c r="AB41" s="23"/>
      <c r="AC41" s="23"/>
      <c r="AD41" s="13"/>
      <c r="AE41" s="23">
        <v>11</v>
      </c>
      <c r="AF41" s="23" t="s">
        <v>10</v>
      </c>
      <c r="AG41" s="23">
        <v>11</v>
      </c>
      <c r="AH41" s="23">
        <v>11</v>
      </c>
      <c r="AI41" s="22">
        <f t="shared" si="1"/>
        <v>33</v>
      </c>
      <c r="AJ41" s="2"/>
      <c r="AK41" s="14">
        <f t="shared" si="7"/>
        <v>0</v>
      </c>
      <c r="AL41" s="2" t="s">
        <v>431</v>
      </c>
    </row>
    <row r="42" spans="1:38" ht="19.899999999999999" customHeight="1" x14ac:dyDescent="0.25">
      <c r="A42" s="2">
        <v>40</v>
      </c>
      <c r="B42" s="7">
        <v>386</v>
      </c>
      <c r="C42" s="4" t="s">
        <v>540</v>
      </c>
      <c r="D42" s="2" t="s">
        <v>84</v>
      </c>
      <c r="E42" s="23"/>
      <c r="F42" s="23"/>
      <c r="G42" s="13"/>
      <c r="H42" s="23"/>
      <c r="I42" s="13"/>
      <c r="J42" s="13"/>
      <c r="K42" s="13"/>
      <c r="L42" s="23"/>
      <c r="M42" s="23"/>
      <c r="N42" s="13"/>
      <c r="O42" s="23"/>
      <c r="P42" s="13"/>
      <c r="Q42" s="13"/>
      <c r="R42" s="13"/>
      <c r="S42" s="23"/>
      <c r="T42" s="23"/>
      <c r="U42" s="13"/>
      <c r="V42" s="23"/>
      <c r="W42" s="13"/>
      <c r="X42" s="13"/>
      <c r="Y42" s="13"/>
      <c r="Z42" s="23"/>
      <c r="AA42" s="23"/>
      <c r="AB42" s="23"/>
      <c r="AC42" s="23"/>
      <c r="AD42" s="13"/>
      <c r="AE42" s="23">
        <v>11</v>
      </c>
      <c r="AF42" s="23" t="s">
        <v>10</v>
      </c>
      <c r="AG42" s="23">
        <v>11</v>
      </c>
      <c r="AH42" s="23">
        <v>11</v>
      </c>
      <c r="AI42" s="22">
        <f t="shared" si="1"/>
        <v>33</v>
      </c>
      <c r="AJ42" s="21"/>
      <c r="AK42" s="14">
        <f t="shared" si="7"/>
        <v>0</v>
      </c>
      <c r="AL42" s="2" t="s">
        <v>431</v>
      </c>
    </row>
    <row r="43" spans="1:38" ht="19.899999999999999" customHeight="1" x14ac:dyDescent="0.25">
      <c r="A43" s="2">
        <v>41</v>
      </c>
      <c r="B43" s="7" t="s">
        <v>139</v>
      </c>
      <c r="C43" s="4" t="s">
        <v>140</v>
      </c>
      <c r="D43" s="2" t="s">
        <v>130</v>
      </c>
      <c r="E43" s="23">
        <v>10</v>
      </c>
      <c r="F43" s="23">
        <v>10</v>
      </c>
      <c r="G43" s="13">
        <v>10</v>
      </c>
      <c r="H43" s="23">
        <v>10</v>
      </c>
      <c r="I43" s="13" t="s">
        <v>515</v>
      </c>
      <c r="J43" s="13">
        <v>10</v>
      </c>
      <c r="K43" s="13" t="s">
        <v>10</v>
      </c>
      <c r="L43" s="23">
        <v>10</v>
      </c>
      <c r="M43" s="23">
        <v>10</v>
      </c>
      <c r="N43" s="13">
        <v>10</v>
      </c>
      <c r="O43" s="23">
        <v>10</v>
      </c>
      <c r="P43" s="13">
        <v>10</v>
      </c>
      <c r="Q43" s="13">
        <v>10</v>
      </c>
      <c r="R43" s="13" t="s">
        <v>10</v>
      </c>
      <c r="S43" s="23">
        <v>10</v>
      </c>
      <c r="T43" s="23">
        <v>10</v>
      </c>
      <c r="U43" s="13">
        <v>10</v>
      </c>
      <c r="V43" s="23">
        <v>10</v>
      </c>
      <c r="W43" s="13">
        <v>10</v>
      </c>
      <c r="X43" s="13">
        <v>10</v>
      </c>
      <c r="Y43" s="13" t="s">
        <v>10</v>
      </c>
      <c r="Z43" s="23">
        <v>10</v>
      </c>
      <c r="AA43" s="23">
        <v>10</v>
      </c>
      <c r="AB43" s="23">
        <v>10</v>
      </c>
      <c r="AC43" s="23">
        <v>10</v>
      </c>
      <c r="AD43" s="13">
        <v>10</v>
      </c>
      <c r="AE43" s="23">
        <v>10</v>
      </c>
      <c r="AF43" s="23" t="s">
        <v>10</v>
      </c>
      <c r="AG43" s="23">
        <v>10</v>
      </c>
      <c r="AH43" s="23">
        <v>10</v>
      </c>
      <c r="AI43" s="22">
        <f t="shared" si="1"/>
        <v>250</v>
      </c>
      <c r="AJ43" s="21"/>
      <c r="AK43" s="14">
        <f t="shared" si="5"/>
        <v>0</v>
      </c>
      <c r="AL43" s="2" t="s">
        <v>442</v>
      </c>
    </row>
    <row r="44" spans="1:38" ht="19.899999999999999" customHeight="1" x14ac:dyDescent="0.25">
      <c r="A44" s="2">
        <v>42</v>
      </c>
      <c r="B44" s="7" t="s">
        <v>122</v>
      </c>
      <c r="C44" s="4" t="s">
        <v>123</v>
      </c>
      <c r="D44" s="2" t="s">
        <v>84</v>
      </c>
      <c r="E44" s="23">
        <v>10</v>
      </c>
      <c r="F44" s="23">
        <v>10</v>
      </c>
      <c r="G44" s="13">
        <v>10</v>
      </c>
      <c r="H44" s="23">
        <v>10</v>
      </c>
      <c r="I44" s="13" t="s">
        <v>515</v>
      </c>
      <c r="J44" s="13">
        <v>10</v>
      </c>
      <c r="K44" s="13" t="s">
        <v>10</v>
      </c>
      <c r="L44" s="23">
        <v>10</v>
      </c>
      <c r="M44" s="23">
        <v>10</v>
      </c>
      <c r="N44" s="13">
        <v>10</v>
      </c>
      <c r="O44" s="23">
        <v>10</v>
      </c>
      <c r="P44" s="13">
        <v>10</v>
      </c>
      <c r="Q44" s="13">
        <v>10</v>
      </c>
      <c r="R44" s="13" t="s">
        <v>10</v>
      </c>
      <c r="S44" s="23">
        <v>10</v>
      </c>
      <c r="T44" s="23">
        <v>10</v>
      </c>
      <c r="U44" s="13">
        <v>10</v>
      </c>
      <c r="V44" s="23">
        <v>10</v>
      </c>
      <c r="W44" s="13">
        <v>10</v>
      </c>
      <c r="X44" s="13">
        <v>10</v>
      </c>
      <c r="Y44" s="13" t="s">
        <v>10</v>
      </c>
      <c r="Z44" s="23">
        <v>10</v>
      </c>
      <c r="AA44" s="23">
        <v>10</v>
      </c>
      <c r="AB44" s="23">
        <v>10</v>
      </c>
      <c r="AC44" s="23">
        <v>10</v>
      </c>
      <c r="AD44" s="13">
        <v>10</v>
      </c>
      <c r="AE44" s="23">
        <v>10</v>
      </c>
      <c r="AF44" s="23" t="s">
        <v>10</v>
      </c>
      <c r="AG44" s="23">
        <v>10</v>
      </c>
      <c r="AH44" s="23">
        <v>10</v>
      </c>
      <c r="AI44" s="22">
        <f t="shared" si="1"/>
        <v>250</v>
      </c>
      <c r="AJ44" s="21"/>
      <c r="AK44" s="14">
        <f t="shared" si="5"/>
        <v>0</v>
      </c>
      <c r="AL44" s="2" t="s">
        <v>442</v>
      </c>
    </row>
    <row r="45" spans="1:38" ht="19.899999999999999" customHeight="1" x14ac:dyDescent="0.25">
      <c r="A45" s="2">
        <v>43</v>
      </c>
      <c r="B45" s="7" t="s">
        <v>124</v>
      </c>
      <c r="C45" s="4" t="s">
        <v>125</v>
      </c>
      <c r="D45" s="2" t="s">
        <v>84</v>
      </c>
      <c r="E45" s="23">
        <v>10</v>
      </c>
      <c r="F45" s="23">
        <v>10</v>
      </c>
      <c r="G45" s="13">
        <v>10</v>
      </c>
      <c r="H45" s="23">
        <v>10</v>
      </c>
      <c r="I45" s="13" t="s">
        <v>515</v>
      </c>
      <c r="J45" s="13">
        <v>10</v>
      </c>
      <c r="K45" s="13" t="s">
        <v>10</v>
      </c>
      <c r="L45" s="23">
        <v>10</v>
      </c>
      <c r="M45" s="23">
        <v>10</v>
      </c>
      <c r="N45" s="13">
        <v>10</v>
      </c>
      <c r="O45" s="23">
        <v>10</v>
      </c>
      <c r="P45" s="13">
        <v>10</v>
      </c>
      <c r="Q45" s="13">
        <v>10</v>
      </c>
      <c r="R45" s="13" t="s">
        <v>10</v>
      </c>
      <c r="S45" s="23">
        <v>10</v>
      </c>
      <c r="T45" s="23">
        <v>10</v>
      </c>
      <c r="U45" s="13">
        <v>10</v>
      </c>
      <c r="V45" s="23">
        <v>10</v>
      </c>
      <c r="W45" s="13">
        <v>10</v>
      </c>
      <c r="X45" s="13">
        <v>10</v>
      </c>
      <c r="Y45" s="13" t="s">
        <v>10</v>
      </c>
      <c r="Z45" s="23">
        <v>10</v>
      </c>
      <c r="AA45" s="23">
        <v>10</v>
      </c>
      <c r="AB45" s="23">
        <v>10</v>
      </c>
      <c r="AC45" s="23">
        <v>10</v>
      </c>
      <c r="AD45" s="13">
        <v>10</v>
      </c>
      <c r="AE45" s="23">
        <v>10</v>
      </c>
      <c r="AF45" s="23" t="s">
        <v>10</v>
      </c>
      <c r="AG45" s="23">
        <v>10</v>
      </c>
      <c r="AH45" s="23">
        <v>10</v>
      </c>
      <c r="AI45" s="22">
        <f t="shared" si="1"/>
        <v>250</v>
      </c>
      <c r="AJ45" s="2"/>
      <c r="AK45" s="14">
        <f t="shared" ref="AK45:AK47" si="8">AI45*AJ45</f>
        <v>0</v>
      </c>
      <c r="AL45" s="2" t="s">
        <v>442</v>
      </c>
    </row>
    <row r="46" spans="1:38" ht="19.899999999999999" customHeight="1" x14ac:dyDescent="0.25">
      <c r="A46" s="2">
        <v>44</v>
      </c>
      <c r="B46" s="7" t="s">
        <v>92</v>
      </c>
      <c r="C46" s="4" t="s">
        <v>334</v>
      </c>
      <c r="D46" s="2" t="s">
        <v>130</v>
      </c>
      <c r="E46" s="23">
        <v>10</v>
      </c>
      <c r="F46" s="23">
        <v>10</v>
      </c>
      <c r="G46" s="13">
        <v>10</v>
      </c>
      <c r="H46" s="23">
        <v>10</v>
      </c>
      <c r="I46" s="13" t="s">
        <v>515</v>
      </c>
      <c r="J46" s="13">
        <v>10</v>
      </c>
      <c r="K46" s="13" t="s">
        <v>10</v>
      </c>
      <c r="L46" s="23">
        <v>10</v>
      </c>
      <c r="M46" s="23">
        <v>10</v>
      </c>
      <c r="N46" s="13">
        <v>10</v>
      </c>
      <c r="O46" s="23">
        <v>10</v>
      </c>
      <c r="P46" s="13">
        <v>10</v>
      </c>
      <c r="Q46" s="13">
        <v>10</v>
      </c>
      <c r="R46" s="13" t="s">
        <v>10</v>
      </c>
      <c r="S46" s="23">
        <v>10</v>
      </c>
      <c r="T46" s="23">
        <v>10</v>
      </c>
      <c r="U46" s="13">
        <v>10</v>
      </c>
      <c r="V46" s="23">
        <v>10</v>
      </c>
      <c r="W46" s="13">
        <v>10</v>
      </c>
      <c r="X46" s="13">
        <v>10</v>
      </c>
      <c r="Y46" s="13" t="s">
        <v>10</v>
      </c>
      <c r="Z46" s="23">
        <v>10</v>
      </c>
      <c r="AA46" s="23">
        <v>10</v>
      </c>
      <c r="AB46" s="23">
        <v>10</v>
      </c>
      <c r="AC46" s="23">
        <v>10</v>
      </c>
      <c r="AD46" s="13">
        <v>10</v>
      </c>
      <c r="AE46" s="23">
        <v>10</v>
      </c>
      <c r="AF46" s="23" t="s">
        <v>10</v>
      </c>
      <c r="AG46" s="23">
        <v>10</v>
      </c>
      <c r="AH46" s="23">
        <v>10</v>
      </c>
      <c r="AI46" s="22">
        <f t="shared" si="1"/>
        <v>250</v>
      </c>
      <c r="AJ46" s="2"/>
      <c r="AK46" s="14">
        <f t="shared" si="8"/>
        <v>0</v>
      </c>
      <c r="AL46" s="2" t="s">
        <v>442</v>
      </c>
    </row>
    <row r="47" spans="1:38" ht="19.899999999999999" customHeight="1" x14ac:dyDescent="0.25">
      <c r="A47" s="2">
        <v>45</v>
      </c>
      <c r="B47" s="7" t="s">
        <v>305</v>
      </c>
      <c r="C47" s="4" t="s">
        <v>480</v>
      </c>
      <c r="D47" s="2" t="s">
        <v>84</v>
      </c>
      <c r="E47" s="23">
        <v>10</v>
      </c>
      <c r="F47" s="23">
        <v>10</v>
      </c>
      <c r="G47" s="13">
        <v>10</v>
      </c>
      <c r="H47" s="23">
        <v>10</v>
      </c>
      <c r="I47" s="13" t="s">
        <v>515</v>
      </c>
      <c r="J47" s="13">
        <v>10</v>
      </c>
      <c r="K47" s="13" t="s">
        <v>10</v>
      </c>
      <c r="L47" s="23">
        <v>10</v>
      </c>
      <c r="M47" s="23">
        <v>10</v>
      </c>
      <c r="N47" s="13">
        <v>10</v>
      </c>
      <c r="O47" s="23">
        <v>10</v>
      </c>
      <c r="P47" s="13">
        <v>10</v>
      </c>
      <c r="Q47" s="13">
        <v>10</v>
      </c>
      <c r="R47" s="13" t="s">
        <v>10</v>
      </c>
      <c r="S47" s="23">
        <v>10</v>
      </c>
      <c r="T47" s="23">
        <v>10</v>
      </c>
      <c r="U47" s="13">
        <v>10</v>
      </c>
      <c r="V47" s="23">
        <v>10</v>
      </c>
      <c r="W47" s="13">
        <v>10</v>
      </c>
      <c r="X47" s="13">
        <v>10</v>
      </c>
      <c r="Y47" s="13" t="s">
        <v>10</v>
      </c>
      <c r="Z47" s="23">
        <v>10</v>
      </c>
      <c r="AA47" s="23">
        <v>10</v>
      </c>
      <c r="AB47" s="23">
        <v>10</v>
      </c>
      <c r="AC47" s="23">
        <v>10</v>
      </c>
      <c r="AD47" s="13">
        <v>10</v>
      </c>
      <c r="AE47" s="23">
        <v>10</v>
      </c>
      <c r="AF47" s="23" t="s">
        <v>10</v>
      </c>
      <c r="AG47" s="23">
        <v>10</v>
      </c>
      <c r="AH47" s="23">
        <v>10</v>
      </c>
      <c r="AI47" s="22">
        <f t="shared" si="1"/>
        <v>250</v>
      </c>
      <c r="AJ47" s="21"/>
      <c r="AK47" s="14">
        <f t="shared" si="8"/>
        <v>0</v>
      </c>
      <c r="AL47" s="2" t="s">
        <v>442</v>
      </c>
    </row>
    <row r="48" spans="1:38" ht="19.899999999999999" customHeight="1" x14ac:dyDescent="0.25">
      <c r="A48" s="2">
        <v>46</v>
      </c>
      <c r="B48" s="7" t="s">
        <v>93</v>
      </c>
      <c r="C48" s="4" t="s">
        <v>335</v>
      </c>
      <c r="D48" s="2" t="s">
        <v>130</v>
      </c>
      <c r="E48" s="23">
        <v>10</v>
      </c>
      <c r="F48" s="23">
        <v>10</v>
      </c>
      <c r="G48" s="13">
        <v>10</v>
      </c>
      <c r="H48" s="23">
        <v>10</v>
      </c>
      <c r="I48" s="13" t="s">
        <v>515</v>
      </c>
      <c r="J48" s="13">
        <v>10</v>
      </c>
      <c r="K48" s="13" t="s">
        <v>10</v>
      </c>
      <c r="L48" s="23">
        <v>10</v>
      </c>
      <c r="M48" s="23">
        <v>10</v>
      </c>
      <c r="N48" s="13">
        <v>10</v>
      </c>
      <c r="O48" s="23">
        <v>10</v>
      </c>
      <c r="P48" s="13">
        <v>10</v>
      </c>
      <c r="Q48" s="13">
        <v>10</v>
      </c>
      <c r="R48" s="13" t="s">
        <v>10</v>
      </c>
      <c r="S48" s="23">
        <v>10</v>
      </c>
      <c r="T48" s="23">
        <v>10</v>
      </c>
      <c r="U48" s="13">
        <v>10</v>
      </c>
      <c r="V48" s="23">
        <v>10</v>
      </c>
      <c r="W48" s="13">
        <v>10</v>
      </c>
      <c r="X48" s="13">
        <v>10</v>
      </c>
      <c r="Y48" s="13" t="s">
        <v>10</v>
      </c>
      <c r="Z48" s="23">
        <v>10</v>
      </c>
      <c r="AA48" s="23">
        <v>10</v>
      </c>
      <c r="AB48" s="23">
        <v>10</v>
      </c>
      <c r="AC48" s="23">
        <v>10</v>
      </c>
      <c r="AD48" s="13">
        <v>10</v>
      </c>
      <c r="AE48" s="23">
        <v>10</v>
      </c>
      <c r="AF48" s="23" t="s">
        <v>10</v>
      </c>
      <c r="AG48" s="23">
        <v>10</v>
      </c>
      <c r="AH48" s="23">
        <v>10</v>
      </c>
      <c r="AI48" s="22">
        <f t="shared" si="1"/>
        <v>250</v>
      </c>
      <c r="AJ48" s="21"/>
      <c r="AK48" s="14">
        <f t="shared" ref="AK48:AK64" si="9">AI48*AJ48</f>
        <v>0</v>
      </c>
      <c r="AL48" s="2" t="s">
        <v>442</v>
      </c>
    </row>
    <row r="49" spans="1:38" ht="19.899999999999999" customHeight="1" x14ac:dyDescent="0.25">
      <c r="A49" s="2">
        <v>47</v>
      </c>
      <c r="B49" s="7" t="s">
        <v>119</v>
      </c>
      <c r="C49" s="4" t="s">
        <v>330</v>
      </c>
      <c r="D49" s="2" t="s">
        <v>84</v>
      </c>
      <c r="E49" s="23">
        <v>10</v>
      </c>
      <c r="F49" s="23">
        <v>10</v>
      </c>
      <c r="G49" s="13">
        <v>10</v>
      </c>
      <c r="H49" s="23">
        <v>10</v>
      </c>
      <c r="I49" s="13" t="s">
        <v>515</v>
      </c>
      <c r="J49" s="13">
        <v>10</v>
      </c>
      <c r="K49" s="13" t="s">
        <v>10</v>
      </c>
      <c r="L49" s="23">
        <v>10</v>
      </c>
      <c r="M49" s="23">
        <v>10</v>
      </c>
      <c r="N49" s="13">
        <v>10</v>
      </c>
      <c r="O49" s="23">
        <v>10</v>
      </c>
      <c r="P49" s="13">
        <v>10</v>
      </c>
      <c r="Q49" s="13">
        <v>10</v>
      </c>
      <c r="R49" s="13" t="s">
        <v>10</v>
      </c>
      <c r="S49" s="23">
        <v>10</v>
      </c>
      <c r="T49" s="23">
        <v>10</v>
      </c>
      <c r="U49" s="13">
        <v>10</v>
      </c>
      <c r="V49" s="23">
        <v>10</v>
      </c>
      <c r="W49" s="13">
        <v>10</v>
      </c>
      <c r="X49" s="13">
        <v>10</v>
      </c>
      <c r="Y49" s="13" t="s">
        <v>10</v>
      </c>
      <c r="Z49" s="23">
        <v>10</v>
      </c>
      <c r="AA49" s="23">
        <v>10</v>
      </c>
      <c r="AB49" s="23">
        <v>10</v>
      </c>
      <c r="AC49" s="23">
        <v>10</v>
      </c>
      <c r="AD49" s="13">
        <v>10</v>
      </c>
      <c r="AE49" s="23">
        <v>10</v>
      </c>
      <c r="AF49" s="23" t="s">
        <v>10</v>
      </c>
      <c r="AG49" s="23">
        <v>10</v>
      </c>
      <c r="AH49" s="23">
        <v>10</v>
      </c>
      <c r="AI49" s="22">
        <f t="shared" si="1"/>
        <v>250</v>
      </c>
      <c r="AJ49" s="21"/>
      <c r="AK49" s="14">
        <f t="shared" si="9"/>
        <v>0</v>
      </c>
      <c r="AL49" s="2" t="s">
        <v>309</v>
      </c>
    </row>
    <row r="50" spans="1:38" ht="19.899999999999999" customHeight="1" x14ac:dyDescent="0.25">
      <c r="A50" s="2">
        <v>48</v>
      </c>
      <c r="B50" s="7" t="s">
        <v>316</v>
      </c>
      <c r="C50" s="4" t="s">
        <v>312</v>
      </c>
      <c r="D50" s="2" t="s">
        <v>84</v>
      </c>
      <c r="E50" s="23">
        <v>10</v>
      </c>
      <c r="F50" s="23">
        <v>10</v>
      </c>
      <c r="G50" s="13">
        <v>10</v>
      </c>
      <c r="H50" s="23">
        <v>5</v>
      </c>
      <c r="I50" s="13" t="s">
        <v>515</v>
      </c>
      <c r="J50" s="13">
        <v>10</v>
      </c>
      <c r="K50" s="13" t="s">
        <v>10</v>
      </c>
      <c r="L50" s="23">
        <v>10</v>
      </c>
      <c r="M50" s="23">
        <v>10</v>
      </c>
      <c r="N50" s="13">
        <v>10</v>
      </c>
      <c r="O50" s="23">
        <v>10</v>
      </c>
      <c r="P50" s="13">
        <v>10</v>
      </c>
      <c r="Q50" s="13">
        <v>10</v>
      </c>
      <c r="R50" s="13" t="s">
        <v>10</v>
      </c>
      <c r="S50" s="23">
        <v>10</v>
      </c>
      <c r="T50" s="23">
        <v>10</v>
      </c>
      <c r="U50" s="13">
        <v>10</v>
      </c>
      <c r="V50" s="23">
        <v>10</v>
      </c>
      <c r="W50" s="13">
        <v>10</v>
      </c>
      <c r="X50" s="13">
        <v>10</v>
      </c>
      <c r="Y50" s="13" t="s">
        <v>10</v>
      </c>
      <c r="Z50" s="23">
        <v>10</v>
      </c>
      <c r="AA50" s="23">
        <v>10</v>
      </c>
      <c r="AB50" s="23">
        <v>10</v>
      </c>
      <c r="AC50" s="23">
        <v>10</v>
      </c>
      <c r="AD50" s="13">
        <v>10</v>
      </c>
      <c r="AE50" s="23">
        <v>10</v>
      </c>
      <c r="AF50" s="23" t="s">
        <v>10</v>
      </c>
      <c r="AG50" s="23">
        <v>10</v>
      </c>
      <c r="AH50" s="23">
        <v>10</v>
      </c>
      <c r="AI50" s="22">
        <f t="shared" si="1"/>
        <v>245</v>
      </c>
      <c r="AJ50" s="21"/>
      <c r="AK50" s="14">
        <f t="shared" si="9"/>
        <v>0</v>
      </c>
      <c r="AL50" s="2" t="s">
        <v>309</v>
      </c>
    </row>
    <row r="51" spans="1:38" ht="19.899999999999999" customHeight="1" x14ac:dyDescent="0.25">
      <c r="A51" s="2">
        <v>49</v>
      </c>
      <c r="B51" s="2" t="s">
        <v>341</v>
      </c>
      <c r="C51" s="4" t="s">
        <v>342</v>
      </c>
      <c r="D51" s="2" t="s">
        <v>84</v>
      </c>
      <c r="E51" s="23">
        <v>10</v>
      </c>
      <c r="F51" s="23">
        <v>12</v>
      </c>
      <c r="G51" s="13">
        <v>10</v>
      </c>
      <c r="H51" s="23">
        <v>8</v>
      </c>
      <c r="I51" s="13" t="s">
        <v>515</v>
      </c>
      <c r="J51" s="13">
        <v>10</v>
      </c>
      <c r="K51" s="13" t="s">
        <v>10</v>
      </c>
      <c r="L51" s="23">
        <v>10</v>
      </c>
      <c r="M51" s="23">
        <v>10</v>
      </c>
      <c r="N51" s="13">
        <v>10</v>
      </c>
      <c r="O51" s="23">
        <v>10</v>
      </c>
      <c r="P51" s="13">
        <v>10</v>
      </c>
      <c r="Q51" s="13">
        <v>10</v>
      </c>
      <c r="R51" s="13">
        <v>11</v>
      </c>
      <c r="S51" s="23">
        <v>10</v>
      </c>
      <c r="T51" s="23">
        <v>10</v>
      </c>
      <c r="U51" s="13">
        <v>10</v>
      </c>
      <c r="V51" s="23">
        <v>10</v>
      </c>
      <c r="W51" s="13">
        <v>10</v>
      </c>
      <c r="X51" s="13">
        <v>10</v>
      </c>
      <c r="Y51" s="13" t="s">
        <v>10</v>
      </c>
      <c r="Z51" s="23">
        <v>10</v>
      </c>
      <c r="AA51" s="23">
        <v>10</v>
      </c>
      <c r="AB51" s="23">
        <v>10</v>
      </c>
      <c r="AC51" s="23">
        <v>10</v>
      </c>
      <c r="AD51" s="13">
        <v>10</v>
      </c>
      <c r="AE51" s="23">
        <v>10</v>
      </c>
      <c r="AF51" s="23" t="s">
        <v>10</v>
      </c>
      <c r="AG51" s="23">
        <v>10</v>
      </c>
      <c r="AH51" s="23">
        <v>10</v>
      </c>
      <c r="AI51" s="22">
        <f t="shared" si="1"/>
        <v>261</v>
      </c>
      <c r="AJ51" s="21"/>
      <c r="AK51" s="14">
        <f t="shared" si="9"/>
        <v>0</v>
      </c>
      <c r="AL51" s="2" t="s">
        <v>309</v>
      </c>
    </row>
    <row r="52" spans="1:38" ht="19.899999999999999" customHeight="1" x14ac:dyDescent="0.25">
      <c r="A52" s="2">
        <v>50</v>
      </c>
      <c r="B52" s="7" t="s">
        <v>484</v>
      </c>
      <c r="C52" s="4" t="s">
        <v>485</v>
      </c>
      <c r="D52" s="2" t="s">
        <v>84</v>
      </c>
      <c r="E52" s="23">
        <v>10</v>
      </c>
      <c r="F52" s="23">
        <v>10</v>
      </c>
      <c r="G52" s="13">
        <v>10</v>
      </c>
      <c r="H52" s="23">
        <v>10</v>
      </c>
      <c r="I52" s="13" t="s">
        <v>515</v>
      </c>
      <c r="J52" s="13">
        <v>10</v>
      </c>
      <c r="K52" s="13" t="s">
        <v>10</v>
      </c>
      <c r="L52" s="23">
        <v>10</v>
      </c>
      <c r="M52" s="23">
        <v>10</v>
      </c>
      <c r="N52" s="13">
        <v>10</v>
      </c>
      <c r="O52" s="23">
        <v>10</v>
      </c>
      <c r="P52" s="13">
        <v>10</v>
      </c>
      <c r="Q52" s="13">
        <v>10</v>
      </c>
      <c r="R52" s="13">
        <v>11</v>
      </c>
      <c r="S52" s="23">
        <v>10</v>
      </c>
      <c r="T52" s="23">
        <v>10</v>
      </c>
      <c r="U52" s="13">
        <v>10</v>
      </c>
      <c r="V52" s="23">
        <v>10</v>
      </c>
      <c r="W52" s="13">
        <v>10</v>
      </c>
      <c r="X52" s="13">
        <v>10</v>
      </c>
      <c r="Y52" s="13" t="s">
        <v>10</v>
      </c>
      <c r="Z52" s="23">
        <v>10</v>
      </c>
      <c r="AA52" s="23">
        <v>10</v>
      </c>
      <c r="AB52" s="23">
        <v>10</v>
      </c>
      <c r="AC52" s="23" t="s">
        <v>32</v>
      </c>
      <c r="AD52" s="13">
        <v>10</v>
      </c>
      <c r="AE52" s="23">
        <v>10</v>
      </c>
      <c r="AF52" s="23" t="s">
        <v>10</v>
      </c>
      <c r="AG52" s="23">
        <v>10</v>
      </c>
      <c r="AH52" s="23">
        <v>10</v>
      </c>
      <c r="AI52" s="22">
        <f t="shared" si="1"/>
        <v>251</v>
      </c>
      <c r="AJ52" s="21"/>
      <c r="AK52" s="14">
        <f t="shared" ref="AK52:AK57" si="10">AI52*AJ52</f>
        <v>0</v>
      </c>
      <c r="AL52" s="2" t="s">
        <v>309</v>
      </c>
    </row>
    <row r="53" spans="1:38" ht="19.899999999999999" customHeight="1" x14ac:dyDescent="0.25">
      <c r="A53" s="2">
        <v>51</v>
      </c>
      <c r="B53" s="2" t="s">
        <v>486</v>
      </c>
      <c r="C53" s="4" t="s">
        <v>487</v>
      </c>
      <c r="D53" s="2" t="s">
        <v>482</v>
      </c>
      <c r="E53" s="23">
        <v>10</v>
      </c>
      <c r="F53" s="23">
        <v>12</v>
      </c>
      <c r="G53" s="13">
        <v>10</v>
      </c>
      <c r="H53" s="23">
        <v>10</v>
      </c>
      <c r="I53" s="13" t="s">
        <v>515</v>
      </c>
      <c r="J53" s="13">
        <v>10</v>
      </c>
      <c r="K53" s="13" t="s">
        <v>10</v>
      </c>
      <c r="L53" s="23">
        <v>10</v>
      </c>
      <c r="M53" s="23">
        <v>10</v>
      </c>
      <c r="N53" s="13">
        <v>10</v>
      </c>
      <c r="O53" s="23">
        <v>10</v>
      </c>
      <c r="P53" s="13">
        <v>10</v>
      </c>
      <c r="Q53" s="13">
        <v>10</v>
      </c>
      <c r="R53" s="13">
        <v>11</v>
      </c>
      <c r="S53" s="23">
        <v>10</v>
      </c>
      <c r="T53" s="23">
        <v>10</v>
      </c>
      <c r="U53" s="13">
        <v>10</v>
      </c>
      <c r="V53" s="23">
        <v>10</v>
      </c>
      <c r="W53" s="13">
        <v>10</v>
      </c>
      <c r="X53" s="13">
        <v>10</v>
      </c>
      <c r="Y53" s="13" t="s">
        <v>10</v>
      </c>
      <c r="Z53" s="23">
        <v>10</v>
      </c>
      <c r="AA53" s="23">
        <v>10</v>
      </c>
      <c r="AB53" s="23">
        <v>10</v>
      </c>
      <c r="AC53" s="23">
        <v>10</v>
      </c>
      <c r="AD53" s="13">
        <v>10</v>
      </c>
      <c r="AE53" s="23">
        <v>10</v>
      </c>
      <c r="AF53" s="23" t="s">
        <v>10</v>
      </c>
      <c r="AG53" s="23">
        <v>10</v>
      </c>
      <c r="AH53" s="23">
        <v>10</v>
      </c>
      <c r="AI53" s="22">
        <f t="shared" si="1"/>
        <v>263</v>
      </c>
      <c r="AJ53" s="21"/>
      <c r="AK53" s="14">
        <f t="shared" si="10"/>
        <v>0</v>
      </c>
      <c r="AL53" s="2" t="s">
        <v>309</v>
      </c>
    </row>
    <row r="54" spans="1:38" ht="19.899999999999999" customHeight="1" x14ac:dyDescent="0.25">
      <c r="A54" s="2">
        <v>52</v>
      </c>
      <c r="B54" s="2" t="s">
        <v>488</v>
      </c>
      <c r="C54" s="4" t="s">
        <v>489</v>
      </c>
      <c r="D54" s="2" t="s">
        <v>482</v>
      </c>
      <c r="E54" s="23">
        <v>10</v>
      </c>
      <c r="F54" s="23">
        <v>10</v>
      </c>
      <c r="G54" s="13">
        <v>10</v>
      </c>
      <c r="H54" s="23" t="s">
        <v>32</v>
      </c>
      <c r="I54" s="13" t="s">
        <v>515</v>
      </c>
      <c r="J54" s="13">
        <v>10</v>
      </c>
      <c r="K54" s="13" t="s">
        <v>10</v>
      </c>
      <c r="L54" s="23">
        <v>10</v>
      </c>
      <c r="M54" s="23">
        <v>10</v>
      </c>
      <c r="N54" s="13">
        <v>10</v>
      </c>
      <c r="O54" s="23">
        <v>10</v>
      </c>
      <c r="P54" s="13">
        <v>10</v>
      </c>
      <c r="Q54" s="13">
        <v>10</v>
      </c>
      <c r="R54" s="13" t="s">
        <v>10</v>
      </c>
      <c r="S54" s="23">
        <v>10</v>
      </c>
      <c r="T54" s="23">
        <v>10</v>
      </c>
      <c r="U54" s="13">
        <v>10</v>
      </c>
      <c r="V54" s="23">
        <v>10</v>
      </c>
      <c r="W54" s="13">
        <v>10</v>
      </c>
      <c r="X54" s="13">
        <v>10</v>
      </c>
      <c r="Y54" s="13" t="s">
        <v>10</v>
      </c>
      <c r="Z54" s="23">
        <v>10</v>
      </c>
      <c r="AA54" s="23">
        <v>10</v>
      </c>
      <c r="AB54" s="23">
        <v>10</v>
      </c>
      <c r="AC54" s="23">
        <v>10</v>
      </c>
      <c r="AD54" s="13">
        <v>10</v>
      </c>
      <c r="AE54" s="23">
        <v>10</v>
      </c>
      <c r="AF54" s="23" t="s">
        <v>10</v>
      </c>
      <c r="AG54" s="23">
        <v>10</v>
      </c>
      <c r="AH54" s="23">
        <v>10</v>
      </c>
      <c r="AI54" s="22">
        <f t="shared" si="1"/>
        <v>240</v>
      </c>
      <c r="AJ54" s="21"/>
      <c r="AK54" s="14">
        <f t="shared" si="10"/>
        <v>0</v>
      </c>
      <c r="AL54" s="2" t="s">
        <v>309</v>
      </c>
    </row>
    <row r="55" spans="1:38" ht="19.899999999999999" customHeight="1" x14ac:dyDescent="0.25">
      <c r="A55" s="2">
        <v>53</v>
      </c>
      <c r="B55" s="7" t="s">
        <v>152</v>
      </c>
      <c r="C55" s="4" t="s">
        <v>331</v>
      </c>
      <c r="D55" s="2" t="s">
        <v>84</v>
      </c>
      <c r="E55" s="23">
        <v>10</v>
      </c>
      <c r="F55" s="23">
        <v>10</v>
      </c>
      <c r="G55" s="13">
        <v>10</v>
      </c>
      <c r="H55" s="23">
        <v>10</v>
      </c>
      <c r="I55" s="13">
        <v>10</v>
      </c>
      <c r="J55" s="13">
        <v>10</v>
      </c>
      <c r="K55" s="13">
        <v>14</v>
      </c>
      <c r="L55" s="23">
        <v>10</v>
      </c>
      <c r="M55" s="23">
        <v>10</v>
      </c>
      <c r="N55" s="13">
        <v>10</v>
      </c>
      <c r="O55" s="23">
        <v>10</v>
      </c>
      <c r="P55" s="13">
        <v>10</v>
      </c>
      <c r="Q55" s="13">
        <v>10</v>
      </c>
      <c r="R55" s="13">
        <v>14</v>
      </c>
      <c r="S55" s="23">
        <v>10</v>
      </c>
      <c r="T55" s="23">
        <v>10</v>
      </c>
      <c r="U55" s="13">
        <v>10</v>
      </c>
      <c r="V55" s="23">
        <v>10</v>
      </c>
      <c r="W55" s="13">
        <v>10</v>
      </c>
      <c r="X55" s="13">
        <v>10</v>
      </c>
      <c r="Y55" s="13" t="s">
        <v>10</v>
      </c>
      <c r="Z55" s="23">
        <v>10</v>
      </c>
      <c r="AA55" s="23">
        <v>10</v>
      </c>
      <c r="AB55" s="23">
        <v>10</v>
      </c>
      <c r="AC55" s="23">
        <v>12</v>
      </c>
      <c r="AD55" s="13">
        <v>10</v>
      </c>
      <c r="AE55" s="23">
        <v>10</v>
      </c>
      <c r="AF55" s="23" t="s">
        <v>10</v>
      </c>
      <c r="AG55" s="23">
        <v>10</v>
      </c>
      <c r="AH55" s="23">
        <v>10</v>
      </c>
      <c r="AI55" s="22">
        <f t="shared" si="1"/>
        <v>290</v>
      </c>
      <c r="AJ55" s="21"/>
      <c r="AK55" s="14">
        <f t="shared" si="10"/>
        <v>0</v>
      </c>
      <c r="AL55" s="2" t="s">
        <v>309</v>
      </c>
    </row>
    <row r="56" spans="1:38" ht="19.899999999999999" customHeight="1" x14ac:dyDescent="0.25">
      <c r="A56" s="2">
        <v>54</v>
      </c>
      <c r="B56" s="7">
        <v>293</v>
      </c>
      <c r="C56" s="8" t="s">
        <v>161</v>
      </c>
      <c r="D56" s="2" t="s">
        <v>84</v>
      </c>
      <c r="E56" s="23">
        <v>10</v>
      </c>
      <c r="F56" s="23">
        <v>10</v>
      </c>
      <c r="G56" s="13">
        <v>10</v>
      </c>
      <c r="H56" s="23">
        <v>10</v>
      </c>
      <c r="I56" s="13">
        <v>10</v>
      </c>
      <c r="J56" s="13">
        <v>10</v>
      </c>
      <c r="K56" s="13">
        <v>14</v>
      </c>
      <c r="L56" s="23">
        <v>10</v>
      </c>
      <c r="M56" s="23">
        <v>10</v>
      </c>
      <c r="N56" s="13">
        <v>10</v>
      </c>
      <c r="O56" s="23">
        <v>10</v>
      </c>
      <c r="P56" s="13">
        <v>10</v>
      </c>
      <c r="Q56" s="13">
        <v>10</v>
      </c>
      <c r="R56" s="13" t="s">
        <v>10</v>
      </c>
      <c r="S56" s="23">
        <v>10</v>
      </c>
      <c r="T56" s="23">
        <v>10</v>
      </c>
      <c r="U56" s="13">
        <v>10</v>
      </c>
      <c r="V56" s="23">
        <v>12</v>
      </c>
      <c r="W56" s="13">
        <v>10</v>
      </c>
      <c r="X56" s="13">
        <v>10</v>
      </c>
      <c r="Y56" s="13" t="s">
        <v>10</v>
      </c>
      <c r="Z56" s="23">
        <v>10</v>
      </c>
      <c r="AA56" s="23">
        <v>10</v>
      </c>
      <c r="AB56" s="23">
        <v>10</v>
      </c>
      <c r="AC56" s="23">
        <v>12</v>
      </c>
      <c r="AD56" s="13">
        <v>10</v>
      </c>
      <c r="AE56" s="23">
        <v>10</v>
      </c>
      <c r="AF56" s="23" t="s">
        <v>10</v>
      </c>
      <c r="AG56" s="23">
        <v>10</v>
      </c>
      <c r="AH56" s="23">
        <v>10</v>
      </c>
      <c r="AI56" s="22">
        <f t="shared" si="1"/>
        <v>278</v>
      </c>
      <c r="AJ56" s="21"/>
      <c r="AK56" s="14">
        <f t="shared" si="10"/>
        <v>0</v>
      </c>
      <c r="AL56" s="2" t="s">
        <v>309</v>
      </c>
    </row>
    <row r="57" spans="1:38" ht="19.899999999999999" customHeight="1" x14ac:dyDescent="0.25">
      <c r="A57" s="2">
        <v>55</v>
      </c>
      <c r="B57" s="2">
        <v>308</v>
      </c>
      <c r="C57" s="4" t="s">
        <v>350</v>
      </c>
      <c r="D57" s="2" t="s">
        <v>84</v>
      </c>
      <c r="E57" s="23">
        <v>10</v>
      </c>
      <c r="F57" s="23">
        <v>10</v>
      </c>
      <c r="G57" s="13">
        <v>10</v>
      </c>
      <c r="H57" s="23">
        <v>10</v>
      </c>
      <c r="I57" s="13">
        <v>10</v>
      </c>
      <c r="J57" s="13">
        <v>10</v>
      </c>
      <c r="K57" s="13">
        <v>14</v>
      </c>
      <c r="L57" s="23">
        <v>10</v>
      </c>
      <c r="M57" s="23">
        <v>10</v>
      </c>
      <c r="N57" s="13">
        <v>10</v>
      </c>
      <c r="O57" s="23">
        <v>10</v>
      </c>
      <c r="P57" s="13">
        <v>10</v>
      </c>
      <c r="Q57" s="13">
        <v>10</v>
      </c>
      <c r="R57" s="13" t="s">
        <v>10</v>
      </c>
      <c r="S57" s="23">
        <v>10</v>
      </c>
      <c r="T57" s="23">
        <v>10</v>
      </c>
      <c r="U57" s="13">
        <v>10</v>
      </c>
      <c r="V57" s="23">
        <v>12</v>
      </c>
      <c r="W57" s="13">
        <v>10</v>
      </c>
      <c r="X57" s="13">
        <v>10</v>
      </c>
      <c r="Y57" s="13" t="s">
        <v>10</v>
      </c>
      <c r="Z57" s="23">
        <v>10</v>
      </c>
      <c r="AA57" s="23">
        <v>10</v>
      </c>
      <c r="AB57" s="23">
        <v>10</v>
      </c>
      <c r="AC57" s="23">
        <v>12</v>
      </c>
      <c r="AD57" s="13">
        <v>10</v>
      </c>
      <c r="AE57" s="23">
        <v>10</v>
      </c>
      <c r="AF57" s="23" t="s">
        <v>10</v>
      </c>
      <c r="AG57" s="23">
        <v>10</v>
      </c>
      <c r="AH57" s="23">
        <v>10</v>
      </c>
      <c r="AI57" s="22">
        <f t="shared" si="1"/>
        <v>278</v>
      </c>
      <c r="AJ57" s="21"/>
      <c r="AK57" s="14">
        <f t="shared" si="10"/>
        <v>0</v>
      </c>
      <c r="AL57" s="2" t="s">
        <v>309</v>
      </c>
    </row>
    <row r="58" spans="1:38" ht="19.899999999999999" customHeight="1" x14ac:dyDescent="0.25">
      <c r="A58" s="2">
        <v>56</v>
      </c>
      <c r="B58" s="2">
        <v>377</v>
      </c>
      <c r="C58" s="4" t="s">
        <v>481</v>
      </c>
      <c r="D58" s="2" t="s">
        <v>84</v>
      </c>
      <c r="E58" s="23">
        <v>10</v>
      </c>
      <c r="F58" s="23">
        <v>10</v>
      </c>
      <c r="G58" s="13">
        <v>10</v>
      </c>
      <c r="H58" s="23">
        <v>10</v>
      </c>
      <c r="I58" s="13">
        <v>10</v>
      </c>
      <c r="J58" s="13">
        <v>10</v>
      </c>
      <c r="K58" s="13">
        <v>14</v>
      </c>
      <c r="L58" s="23">
        <v>10</v>
      </c>
      <c r="M58" s="23">
        <v>10</v>
      </c>
      <c r="N58" s="13">
        <v>10</v>
      </c>
      <c r="O58" s="23">
        <v>10</v>
      </c>
      <c r="P58" s="13">
        <v>10</v>
      </c>
      <c r="Q58" s="13">
        <v>10</v>
      </c>
      <c r="R58" s="13">
        <v>14</v>
      </c>
      <c r="S58" s="23">
        <v>10</v>
      </c>
      <c r="T58" s="23">
        <v>10</v>
      </c>
      <c r="U58" s="13">
        <v>10</v>
      </c>
      <c r="V58" s="23">
        <v>10</v>
      </c>
      <c r="W58" s="13">
        <v>10</v>
      </c>
      <c r="X58" s="13">
        <v>10</v>
      </c>
      <c r="Y58" s="13" t="s">
        <v>10</v>
      </c>
      <c r="Z58" s="23">
        <v>10</v>
      </c>
      <c r="AA58" s="23">
        <v>10</v>
      </c>
      <c r="AB58" s="23">
        <v>10</v>
      </c>
      <c r="AC58" s="23">
        <v>10</v>
      </c>
      <c r="AD58" s="13">
        <v>10</v>
      </c>
      <c r="AE58" s="23">
        <v>10</v>
      </c>
      <c r="AF58" s="23" t="s">
        <v>10</v>
      </c>
      <c r="AG58" s="23">
        <v>10</v>
      </c>
      <c r="AH58" s="23">
        <v>10</v>
      </c>
      <c r="AI58" s="22">
        <f t="shared" si="1"/>
        <v>288</v>
      </c>
      <c r="AJ58" s="21"/>
      <c r="AK58" s="14">
        <f t="shared" ref="AK58" si="11">AI58*AJ58</f>
        <v>0</v>
      </c>
      <c r="AL58" s="2" t="s">
        <v>309</v>
      </c>
    </row>
    <row r="59" spans="1:38" ht="19.899999999999999" customHeight="1" x14ac:dyDescent="0.25">
      <c r="A59" s="2">
        <v>57</v>
      </c>
      <c r="B59" s="2" t="s">
        <v>128</v>
      </c>
      <c r="C59" s="4" t="s">
        <v>129</v>
      </c>
      <c r="D59" s="2" t="s">
        <v>130</v>
      </c>
      <c r="E59" s="23">
        <v>10</v>
      </c>
      <c r="F59" s="23">
        <v>10</v>
      </c>
      <c r="G59" s="13">
        <v>10</v>
      </c>
      <c r="H59" s="23">
        <v>10</v>
      </c>
      <c r="I59" s="13">
        <v>10</v>
      </c>
      <c r="J59" s="13">
        <v>10</v>
      </c>
      <c r="K59" s="13" t="s">
        <v>10</v>
      </c>
      <c r="L59" s="23">
        <v>10</v>
      </c>
      <c r="M59" s="23">
        <v>10</v>
      </c>
      <c r="N59" s="13">
        <v>10</v>
      </c>
      <c r="O59" s="23">
        <v>10</v>
      </c>
      <c r="P59" s="13">
        <v>10</v>
      </c>
      <c r="Q59" s="13">
        <v>10</v>
      </c>
      <c r="R59" s="13" t="s">
        <v>10</v>
      </c>
      <c r="S59" s="23">
        <v>10</v>
      </c>
      <c r="T59" s="23">
        <v>10</v>
      </c>
      <c r="U59" s="13">
        <v>10</v>
      </c>
      <c r="V59" s="23">
        <v>10</v>
      </c>
      <c r="W59" s="13">
        <v>10</v>
      </c>
      <c r="X59" s="13">
        <v>10</v>
      </c>
      <c r="Y59" s="13" t="s">
        <v>10</v>
      </c>
      <c r="Z59" s="23">
        <v>10</v>
      </c>
      <c r="AA59" s="23">
        <v>10</v>
      </c>
      <c r="AB59" s="23">
        <v>10</v>
      </c>
      <c r="AC59" s="23">
        <v>12</v>
      </c>
      <c r="AD59" s="13">
        <v>10</v>
      </c>
      <c r="AE59" s="23">
        <v>10</v>
      </c>
      <c r="AF59" s="23" t="s">
        <v>10</v>
      </c>
      <c r="AG59" s="23">
        <v>10</v>
      </c>
      <c r="AH59" s="23">
        <v>10</v>
      </c>
      <c r="AI59" s="22">
        <f t="shared" si="1"/>
        <v>262</v>
      </c>
      <c r="AJ59" s="21"/>
      <c r="AK59" s="14">
        <f t="shared" ref="AK59:AK60" si="12">AI59*AJ59</f>
        <v>0</v>
      </c>
      <c r="AL59" s="2" t="s">
        <v>309</v>
      </c>
    </row>
    <row r="60" spans="1:38" ht="19.899999999999999" customHeight="1" x14ac:dyDescent="0.25">
      <c r="A60" s="2">
        <v>58</v>
      </c>
      <c r="B60" s="2" t="s">
        <v>90</v>
      </c>
      <c r="C60" s="4" t="s">
        <v>332</v>
      </c>
      <c r="D60" s="2" t="s">
        <v>130</v>
      </c>
      <c r="E60" s="23">
        <v>10</v>
      </c>
      <c r="F60" s="23">
        <v>10</v>
      </c>
      <c r="G60" s="13">
        <v>10</v>
      </c>
      <c r="H60" s="23">
        <v>10</v>
      </c>
      <c r="I60" s="13">
        <v>10</v>
      </c>
      <c r="J60" s="13">
        <v>11</v>
      </c>
      <c r="K60" s="13" t="s">
        <v>10</v>
      </c>
      <c r="L60" s="23">
        <v>10</v>
      </c>
      <c r="M60" s="23">
        <v>11</v>
      </c>
      <c r="N60" s="13">
        <v>11</v>
      </c>
      <c r="O60" s="23">
        <v>10</v>
      </c>
      <c r="P60" s="13">
        <v>11</v>
      </c>
      <c r="Q60" s="13">
        <v>11</v>
      </c>
      <c r="R60" s="13">
        <v>10</v>
      </c>
      <c r="S60" s="23">
        <v>11</v>
      </c>
      <c r="T60" s="23">
        <v>10</v>
      </c>
      <c r="U60" s="13">
        <v>10</v>
      </c>
      <c r="V60" s="23">
        <v>11</v>
      </c>
      <c r="W60" s="13">
        <v>10</v>
      </c>
      <c r="X60" s="13">
        <v>10</v>
      </c>
      <c r="Y60" s="13" t="s">
        <v>10</v>
      </c>
      <c r="Z60" s="23">
        <v>10</v>
      </c>
      <c r="AA60" s="23">
        <v>11</v>
      </c>
      <c r="AB60" s="23">
        <v>10</v>
      </c>
      <c r="AC60" s="23">
        <v>10</v>
      </c>
      <c r="AD60" s="13">
        <v>10</v>
      </c>
      <c r="AE60" s="23">
        <v>10</v>
      </c>
      <c r="AF60" s="23" t="s">
        <v>10</v>
      </c>
      <c r="AG60" s="23">
        <v>10</v>
      </c>
      <c r="AH60" s="23">
        <v>10</v>
      </c>
      <c r="AI60" s="22">
        <f t="shared" si="1"/>
        <v>278</v>
      </c>
      <c r="AJ60" s="21"/>
      <c r="AK60" s="14">
        <f t="shared" si="12"/>
        <v>0</v>
      </c>
      <c r="AL60" s="2" t="s">
        <v>309</v>
      </c>
    </row>
    <row r="61" spans="1:38" ht="19.899999999999999" customHeight="1" x14ac:dyDescent="0.25">
      <c r="A61" s="2">
        <v>59</v>
      </c>
      <c r="B61" s="2" t="s">
        <v>141</v>
      </c>
      <c r="C61" s="4" t="s">
        <v>142</v>
      </c>
      <c r="D61" s="2" t="s">
        <v>130</v>
      </c>
      <c r="E61" s="23">
        <v>10</v>
      </c>
      <c r="F61" s="23">
        <v>10</v>
      </c>
      <c r="G61" s="13">
        <v>10</v>
      </c>
      <c r="H61" s="23">
        <v>10</v>
      </c>
      <c r="I61" s="13">
        <v>10</v>
      </c>
      <c r="J61" s="13">
        <v>11</v>
      </c>
      <c r="K61" s="13" t="s">
        <v>10</v>
      </c>
      <c r="L61" s="23">
        <v>10</v>
      </c>
      <c r="M61" s="23">
        <v>10</v>
      </c>
      <c r="N61" s="13">
        <v>10</v>
      </c>
      <c r="O61" s="23">
        <v>10</v>
      </c>
      <c r="P61" s="13">
        <v>11</v>
      </c>
      <c r="Q61" s="13">
        <v>10</v>
      </c>
      <c r="R61" s="13" t="s">
        <v>10</v>
      </c>
      <c r="S61" s="23">
        <v>11</v>
      </c>
      <c r="T61" s="23">
        <v>10</v>
      </c>
      <c r="U61" s="13">
        <v>10</v>
      </c>
      <c r="V61" s="23">
        <v>11</v>
      </c>
      <c r="W61" s="13">
        <v>10</v>
      </c>
      <c r="X61" s="13">
        <v>10</v>
      </c>
      <c r="Y61" s="13" t="s">
        <v>10</v>
      </c>
      <c r="Z61" s="23">
        <v>10</v>
      </c>
      <c r="AA61" s="23">
        <v>11</v>
      </c>
      <c r="AB61" s="23">
        <v>10</v>
      </c>
      <c r="AC61" s="23">
        <v>10</v>
      </c>
      <c r="AD61" s="13">
        <v>10</v>
      </c>
      <c r="AE61" s="23">
        <v>10</v>
      </c>
      <c r="AF61" s="23" t="s">
        <v>10</v>
      </c>
      <c r="AG61" s="23">
        <v>10</v>
      </c>
      <c r="AH61" s="23">
        <v>10</v>
      </c>
      <c r="AI61" s="22">
        <f t="shared" si="1"/>
        <v>265</v>
      </c>
      <c r="AJ61" s="21"/>
      <c r="AK61" s="14">
        <f t="shared" si="9"/>
        <v>0</v>
      </c>
      <c r="AL61" s="2" t="s">
        <v>309</v>
      </c>
    </row>
    <row r="62" spans="1:38" ht="19.899999999999999" customHeight="1" x14ac:dyDescent="0.25">
      <c r="A62" s="2">
        <v>60</v>
      </c>
      <c r="B62" s="7">
        <v>296</v>
      </c>
      <c r="C62" s="8" t="s">
        <v>333</v>
      </c>
      <c r="D62" s="2" t="s">
        <v>130</v>
      </c>
      <c r="E62" s="23">
        <v>10</v>
      </c>
      <c r="F62" s="23">
        <v>10</v>
      </c>
      <c r="G62" s="13">
        <v>10</v>
      </c>
      <c r="H62" s="23"/>
      <c r="I62" s="13"/>
      <c r="J62" s="13"/>
      <c r="K62" s="13"/>
      <c r="L62" s="23"/>
      <c r="M62" s="23"/>
      <c r="N62" s="13"/>
      <c r="O62" s="23"/>
      <c r="P62" s="13"/>
      <c r="Q62" s="13"/>
      <c r="R62" s="13"/>
      <c r="S62" s="23"/>
      <c r="T62" s="23"/>
      <c r="U62" s="13"/>
      <c r="V62" s="23"/>
      <c r="W62" s="13"/>
      <c r="X62" s="13"/>
      <c r="Y62" s="13"/>
      <c r="Z62" s="23"/>
      <c r="AA62" s="23"/>
      <c r="AB62" s="23"/>
      <c r="AC62" s="23"/>
      <c r="AD62" s="13"/>
      <c r="AE62" s="23"/>
      <c r="AF62" s="23"/>
      <c r="AG62" s="23"/>
      <c r="AH62" s="23"/>
      <c r="AI62" s="22">
        <f t="shared" si="1"/>
        <v>30</v>
      </c>
      <c r="AJ62" s="21"/>
      <c r="AK62" s="14">
        <f t="shared" si="9"/>
        <v>0</v>
      </c>
      <c r="AL62" s="2" t="s">
        <v>309</v>
      </c>
    </row>
    <row r="63" spans="1:38" ht="19.899999999999999" customHeight="1" x14ac:dyDescent="0.25">
      <c r="A63" s="2">
        <v>61</v>
      </c>
      <c r="B63" s="7">
        <v>352</v>
      </c>
      <c r="C63" s="4" t="s">
        <v>432</v>
      </c>
      <c r="D63" s="2" t="s">
        <v>483</v>
      </c>
      <c r="E63" s="23">
        <v>10</v>
      </c>
      <c r="F63" s="23">
        <v>10</v>
      </c>
      <c r="G63" s="13">
        <v>10</v>
      </c>
      <c r="H63" s="23">
        <v>10</v>
      </c>
      <c r="I63" s="13">
        <v>10</v>
      </c>
      <c r="J63" s="13">
        <v>10</v>
      </c>
      <c r="K63" s="13" t="s">
        <v>10</v>
      </c>
      <c r="L63" s="23">
        <v>10</v>
      </c>
      <c r="M63" s="23">
        <v>10</v>
      </c>
      <c r="N63" s="13">
        <v>10</v>
      </c>
      <c r="O63" s="23">
        <v>10</v>
      </c>
      <c r="P63" s="13">
        <v>10</v>
      </c>
      <c r="Q63" s="13">
        <v>10</v>
      </c>
      <c r="R63" s="13">
        <v>10</v>
      </c>
      <c r="S63" s="23">
        <v>10</v>
      </c>
      <c r="T63" s="23" t="s">
        <v>32</v>
      </c>
      <c r="U63" s="13">
        <v>10</v>
      </c>
      <c r="V63" s="23">
        <v>10</v>
      </c>
      <c r="W63" s="13">
        <v>10</v>
      </c>
      <c r="X63" s="13">
        <v>10</v>
      </c>
      <c r="Y63" s="13" t="s">
        <v>10</v>
      </c>
      <c r="Z63" s="23">
        <v>10</v>
      </c>
      <c r="AA63" s="23">
        <v>10</v>
      </c>
      <c r="AB63" s="23">
        <v>10</v>
      </c>
      <c r="AC63" s="23">
        <v>10</v>
      </c>
      <c r="AD63" s="13">
        <v>10</v>
      </c>
      <c r="AE63" s="23">
        <v>10</v>
      </c>
      <c r="AF63" s="23" t="s">
        <v>10</v>
      </c>
      <c r="AG63" s="23">
        <v>10</v>
      </c>
      <c r="AH63" s="23">
        <v>10</v>
      </c>
      <c r="AI63" s="22">
        <f t="shared" si="1"/>
        <v>260</v>
      </c>
      <c r="AJ63" s="21"/>
      <c r="AK63" s="14">
        <f t="shared" si="9"/>
        <v>0</v>
      </c>
      <c r="AL63" s="2" t="s">
        <v>309</v>
      </c>
    </row>
    <row r="64" spans="1:38" ht="19.899999999999999" customHeight="1" x14ac:dyDescent="0.25">
      <c r="A64" s="2">
        <v>62</v>
      </c>
      <c r="B64" s="2" t="s">
        <v>434</v>
      </c>
      <c r="C64" s="4" t="s">
        <v>435</v>
      </c>
      <c r="D64" s="2" t="s">
        <v>483</v>
      </c>
      <c r="E64" s="23">
        <v>10</v>
      </c>
      <c r="F64" s="23">
        <v>10</v>
      </c>
      <c r="G64" s="13">
        <v>10</v>
      </c>
      <c r="H64" s="23">
        <v>10</v>
      </c>
      <c r="I64" s="13">
        <v>10</v>
      </c>
      <c r="J64" s="13">
        <v>11</v>
      </c>
      <c r="K64" s="13" t="s">
        <v>10</v>
      </c>
      <c r="L64" s="23">
        <v>10</v>
      </c>
      <c r="M64" s="23">
        <v>10</v>
      </c>
      <c r="N64" s="13">
        <v>10</v>
      </c>
      <c r="O64" s="23">
        <v>10</v>
      </c>
      <c r="P64" s="13">
        <v>11</v>
      </c>
      <c r="Q64" s="13">
        <v>10</v>
      </c>
      <c r="R64" s="13">
        <v>10</v>
      </c>
      <c r="S64" s="23">
        <v>11</v>
      </c>
      <c r="T64" s="23">
        <v>10</v>
      </c>
      <c r="U64" s="13">
        <v>10</v>
      </c>
      <c r="V64" s="23">
        <v>11</v>
      </c>
      <c r="W64" s="13">
        <v>10</v>
      </c>
      <c r="X64" s="13">
        <v>10</v>
      </c>
      <c r="Y64" s="13" t="s">
        <v>10</v>
      </c>
      <c r="Z64" s="23">
        <v>10</v>
      </c>
      <c r="AA64" s="23">
        <v>10</v>
      </c>
      <c r="AB64" s="23">
        <v>10</v>
      </c>
      <c r="AC64" s="23">
        <v>10</v>
      </c>
      <c r="AD64" s="13">
        <v>10</v>
      </c>
      <c r="AE64" s="23">
        <v>10</v>
      </c>
      <c r="AF64" s="23" t="s">
        <v>10</v>
      </c>
      <c r="AG64" s="23">
        <v>10</v>
      </c>
      <c r="AH64" s="23">
        <v>10</v>
      </c>
      <c r="AI64" s="22">
        <f t="shared" si="1"/>
        <v>274</v>
      </c>
      <c r="AJ64" s="21"/>
      <c r="AK64" s="14">
        <f t="shared" si="9"/>
        <v>0</v>
      </c>
      <c r="AL64" s="2" t="s">
        <v>309</v>
      </c>
    </row>
    <row r="65" spans="1:38" ht="19.899999999999999" customHeight="1" x14ac:dyDescent="0.25">
      <c r="A65" s="2">
        <v>63</v>
      </c>
      <c r="B65" s="7">
        <v>163</v>
      </c>
      <c r="C65" s="4" t="s">
        <v>541</v>
      </c>
      <c r="D65" s="2" t="s">
        <v>130</v>
      </c>
      <c r="E65" s="23"/>
      <c r="F65" s="23"/>
      <c r="G65" s="13"/>
      <c r="H65" s="23">
        <v>8</v>
      </c>
      <c r="I65" s="13"/>
      <c r="J65" s="13">
        <v>8</v>
      </c>
      <c r="K65" s="13" t="s">
        <v>10</v>
      </c>
      <c r="L65" s="23">
        <v>9</v>
      </c>
      <c r="M65" s="23" t="s">
        <v>32</v>
      </c>
      <c r="N65" s="13" t="s">
        <v>32</v>
      </c>
      <c r="O65" s="23" t="s">
        <v>32</v>
      </c>
      <c r="P65" s="13" t="s">
        <v>32</v>
      </c>
      <c r="Q65" s="13">
        <v>10</v>
      </c>
      <c r="R65" s="13" t="s">
        <v>10</v>
      </c>
      <c r="S65" s="23">
        <v>10</v>
      </c>
      <c r="T65" s="23">
        <v>10</v>
      </c>
      <c r="U65" s="13">
        <v>10</v>
      </c>
      <c r="V65" s="23">
        <v>10</v>
      </c>
      <c r="W65" s="13">
        <v>10</v>
      </c>
      <c r="X65" s="13">
        <v>10</v>
      </c>
      <c r="Y65" s="13" t="s">
        <v>10</v>
      </c>
      <c r="Z65" s="23">
        <v>10</v>
      </c>
      <c r="AA65" s="23">
        <v>10</v>
      </c>
      <c r="AB65" s="23">
        <v>10</v>
      </c>
      <c r="AC65" s="23">
        <v>10</v>
      </c>
      <c r="AD65" s="13">
        <v>10</v>
      </c>
      <c r="AE65" s="23" t="s">
        <v>32</v>
      </c>
      <c r="AF65" s="23" t="s">
        <v>10</v>
      </c>
      <c r="AG65" s="23">
        <v>10</v>
      </c>
      <c r="AH65" s="23" t="s">
        <v>32</v>
      </c>
      <c r="AI65" s="22">
        <f t="shared" ref="AI65:AI71" si="13">SUM(E65:AH65)</f>
        <v>155</v>
      </c>
      <c r="AJ65" s="21"/>
      <c r="AK65" s="14">
        <f t="shared" ref="AK65:AK71" si="14">AI65*AJ65</f>
        <v>0</v>
      </c>
      <c r="AL65" s="2" t="s">
        <v>521</v>
      </c>
    </row>
    <row r="66" spans="1:38" ht="19.899999999999999" customHeight="1" x14ac:dyDescent="0.25">
      <c r="A66" s="2">
        <v>64</v>
      </c>
      <c r="B66" s="7" t="s">
        <v>136</v>
      </c>
      <c r="C66" s="4" t="s">
        <v>542</v>
      </c>
      <c r="D66" s="2" t="s">
        <v>130</v>
      </c>
      <c r="E66" s="23"/>
      <c r="F66" s="23"/>
      <c r="G66" s="13"/>
      <c r="H66" s="23">
        <v>8</v>
      </c>
      <c r="I66" s="13"/>
      <c r="J66" s="13">
        <v>8</v>
      </c>
      <c r="K66" s="13" t="s">
        <v>10</v>
      </c>
      <c r="L66" s="23">
        <v>9</v>
      </c>
      <c r="M66" s="23" t="s">
        <v>32</v>
      </c>
      <c r="N66" s="13" t="s">
        <v>32</v>
      </c>
      <c r="O66" s="23" t="s">
        <v>32</v>
      </c>
      <c r="P66" s="13" t="s">
        <v>32</v>
      </c>
      <c r="Q66" s="13">
        <v>10</v>
      </c>
      <c r="R66" s="13" t="s">
        <v>10</v>
      </c>
      <c r="S66" s="23">
        <v>10</v>
      </c>
      <c r="T66" s="23">
        <v>10</v>
      </c>
      <c r="U66" s="13">
        <v>10</v>
      </c>
      <c r="V66" s="23">
        <v>10</v>
      </c>
      <c r="W66" s="13">
        <v>10</v>
      </c>
      <c r="X66" s="13">
        <v>4</v>
      </c>
      <c r="Y66" s="13" t="s">
        <v>10</v>
      </c>
      <c r="Z66" s="23">
        <v>10</v>
      </c>
      <c r="AA66" s="23">
        <v>10</v>
      </c>
      <c r="AB66" s="23">
        <v>10</v>
      </c>
      <c r="AC66" s="23">
        <v>10</v>
      </c>
      <c r="AD66" s="13">
        <v>10</v>
      </c>
      <c r="AE66" s="23">
        <v>10</v>
      </c>
      <c r="AF66" s="23" t="s">
        <v>10</v>
      </c>
      <c r="AG66" s="23">
        <v>10</v>
      </c>
      <c r="AH66" s="23">
        <v>5</v>
      </c>
      <c r="AI66" s="22">
        <f t="shared" si="13"/>
        <v>164</v>
      </c>
      <c r="AJ66" s="21"/>
      <c r="AK66" s="14">
        <f t="shared" si="14"/>
        <v>0</v>
      </c>
      <c r="AL66" s="2" t="s">
        <v>521</v>
      </c>
    </row>
    <row r="67" spans="1:38" ht="19.899999999999999" customHeight="1" x14ac:dyDescent="0.25">
      <c r="A67" s="2">
        <v>65</v>
      </c>
      <c r="B67" s="7" t="s">
        <v>91</v>
      </c>
      <c r="C67" s="4" t="s">
        <v>333</v>
      </c>
      <c r="D67" s="2" t="s">
        <v>130</v>
      </c>
      <c r="E67" s="23"/>
      <c r="F67" s="23"/>
      <c r="G67" s="13"/>
      <c r="H67" s="23">
        <v>8</v>
      </c>
      <c r="I67" s="13"/>
      <c r="J67" s="13">
        <v>8</v>
      </c>
      <c r="K67" s="13" t="s">
        <v>10</v>
      </c>
      <c r="L67" s="23">
        <v>9</v>
      </c>
      <c r="M67" s="23">
        <v>10</v>
      </c>
      <c r="N67" s="13">
        <v>10</v>
      </c>
      <c r="O67" s="23">
        <v>10</v>
      </c>
      <c r="P67" s="13">
        <v>10</v>
      </c>
      <c r="Q67" s="13">
        <v>10</v>
      </c>
      <c r="R67" s="13" t="s">
        <v>10</v>
      </c>
      <c r="S67" s="23">
        <v>10</v>
      </c>
      <c r="T67" s="23">
        <v>10</v>
      </c>
      <c r="U67" s="13">
        <v>10</v>
      </c>
      <c r="V67" s="23">
        <v>10</v>
      </c>
      <c r="W67" s="13">
        <v>10</v>
      </c>
      <c r="X67" s="13">
        <v>10</v>
      </c>
      <c r="Y67" s="13" t="s">
        <v>10</v>
      </c>
      <c r="Z67" s="23">
        <v>10</v>
      </c>
      <c r="AA67" s="23">
        <v>10</v>
      </c>
      <c r="AB67" s="23">
        <v>10</v>
      </c>
      <c r="AC67" s="23">
        <v>10</v>
      </c>
      <c r="AD67" s="13">
        <v>10</v>
      </c>
      <c r="AE67" s="23">
        <v>10</v>
      </c>
      <c r="AF67" s="23" t="s">
        <v>10</v>
      </c>
      <c r="AG67" s="23">
        <v>10</v>
      </c>
      <c r="AH67" s="23">
        <v>10</v>
      </c>
      <c r="AI67" s="22">
        <f t="shared" si="13"/>
        <v>215</v>
      </c>
      <c r="AJ67" s="21"/>
      <c r="AK67" s="14">
        <f t="shared" si="14"/>
        <v>0</v>
      </c>
      <c r="AL67" s="2" t="s">
        <v>521</v>
      </c>
    </row>
    <row r="68" spans="1:38" ht="19.899999999999999" customHeight="1" x14ac:dyDescent="0.25">
      <c r="A68" s="2">
        <v>66</v>
      </c>
      <c r="B68" s="7" t="s">
        <v>288</v>
      </c>
      <c r="C68" s="4" t="s">
        <v>543</v>
      </c>
      <c r="D68" s="2" t="s">
        <v>130</v>
      </c>
      <c r="E68" s="23"/>
      <c r="F68" s="23"/>
      <c r="G68" s="13"/>
      <c r="H68" s="23">
        <v>8</v>
      </c>
      <c r="I68" s="13"/>
      <c r="J68" s="13">
        <v>8</v>
      </c>
      <c r="K68" s="13" t="s">
        <v>10</v>
      </c>
      <c r="L68" s="23">
        <v>9</v>
      </c>
      <c r="M68" s="23" t="s">
        <v>32</v>
      </c>
      <c r="N68" s="13" t="s">
        <v>32</v>
      </c>
      <c r="O68" s="23" t="s">
        <v>32</v>
      </c>
      <c r="P68" s="13" t="s">
        <v>32</v>
      </c>
      <c r="Q68" s="13">
        <v>10</v>
      </c>
      <c r="R68" s="13" t="s">
        <v>10</v>
      </c>
      <c r="S68" s="23">
        <v>10</v>
      </c>
      <c r="T68" s="23">
        <v>10</v>
      </c>
      <c r="U68" s="13">
        <v>10</v>
      </c>
      <c r="V68" s="23">
        <v>10</v>
      </c>
      <c r="W68" s="13">
        <v>10</v>
      </c>
      <c r="X68" s="13">
        <v>10</v>
      </c>
      <c r="Y68" s="13" t="s">
        <v>10</v>
      </c>
      <c r="Z68" s="23">
        <v>10</v>
      </c>
      <c r="AA68" s="23">
        <v>10</v>
      </c>
      <c r="AB68" s="23">
        <v>10</v>
      </c>
      <c r="AC68" s="23">
        <v>10</v>
      </c>
      <c r="AD68" s="13">
        <v>10</v>
      </c>
      <c r="AE68" s="23" t="s">
        <v>32</v>
      </c>
      <c r="AF68" s="23" t="s">
        <v>10</v>
      </c>
      <c r="AG68" s="23">
        <v>10</v>
      </c>
      <c r="AH68" s="23" t="s">
        <v>32</v>
      </c>
      <c r="AI68" s="22">
        <f t="shared" si="13"/>
        <v>155</v>
      </c>
      <c r="AJ68" s="21"/>
      <c r="AK68" s="14">
        <f t="shared" si="14"/>
        <v>0</v>
      </c>
      <c r="AL68" s="2" t="s">
        <v>521</v>
      </c>
    </row>
    <row r="69" spans="1:38" ht="19.899999999999999" customHeight="1" x14ac:dyDescent="0.25">
      <c r="A69" s="2">
        <v>67</v>
      </c>
      <c r="B69" s="7" t="s">
        <v>382</v>
      </c>
      <c r="C69" s="4" t="s">
        <v>383</v>
      </c>
      <c r="D69" s="2" t="s">
        <v>84</v>
      </c>
      <c r="E69" s="23"/>
      <c r="F69" s="23"/>
      <c r="G69" s="13"/>
      <c r="H69" s="23">
        <v>8</v>
      </c>
      <c r="I69" s="13"/>
      <c r="J69" s="13">
        <v>8</v>
      </c>
      <c r="K69" s="13" t="s">
        <v>10</v>
      </c>
      <c r="L69" s="23">
        <v>9</v>
      </c>
      <c r="M69" s="23">
        <v>10</v>
      </c>
      <c r="N69" s="13">
        <v>10</v>
      </c>
      <c r="O69" s="23">
        <v>10</v>
      </c>
      <c r="P69" s="13">
        <v>10</v>
      </c>
      <c r="Q69" s="13">
        <v>10</v>
      </c>
      <c r="R69" s="13" t="s">
        <v>10</v>
      </c>
      <c r="S69" s="23">
        <v>10</v>
      </c>
      <c r="T69" s="23">
        <v>10</v>
      </c>
      <c r="U69" s="13">
        <v>10</v>
      </c>
      <c r="V69" s="23">
        <v>10</v>
      </c>
      <c r="W69" s="13">
        <v>10</v>
      </c>
      <c r="X69" s="13">
        <v>10</v>
      </c>
      <c r="Y69" s="13" t="s">
        <v>10</v>
      </c>
      <c r="Z69" s="23" t="s">
        <v>32</v>
      </c>
      <c r="AA69" s="23">
        <v>10</v>
      </c>
      <c r="AB69" s="23">
        <v>10</v>
      </c>
      <c r="AC69" s="23">
        <v>10</v>
      </c>
      <c r="AD69" s="13">
        <v>10</v>
      </c>
      <c r="AE69" s="23">
        <v>10</v>
      </c>
      <c r="AF69" s="23" t="s">
        <v>10</v>
      </c>
      <c r="AG69" s="23">
        <v>10</v>
      </c>
      <c r="AH69" s="23">
        <v>10</v>
      </c>
      <c r="AI69" s="22">
        <f t="shared" si="13"/>
        <v>205</v>
      </c>
      <c r="AJ69" s="21"/>
      <c r="AK69" s="14">
        <f t="shared" si="14"/>
        <v>0</v>
      </c>
      <c r="AL69" s="2" t="s">
        <v>521</v>
      </c>
    </row>
    <row r="70" spans="1:38" ht="19.899999999999999" customHeight="1" x14ac:dyDescent="0.25">
      <c r="A70" s="2">
        <v>68</v>
      </c>
      <c r="B70" s="7" t="s">
        <v>491</v>
      </c>
      <c r="C70" s="4" t="s">
        <v>479</v>
      </c>
      <c r="D70" s="2" t="s">
        <v>84</v>
      </c>
      <c r="E70" s="23"/>
      <c r="F70" s="23"/>
      <c r="G70" s="13"/>
      <c r="H70" s="23">
        <v>8</v>
      </c>
      <c r="I70" s="13"/>
      <c r="J70" s="13">
        <v>8</v>
      </c>
      <c r="K70" s="13" t="s">
        <v>10</v>
      </c>
      <c r="L70" s="23">
        <v>9</v>
      </c>
      <c r="M70" s="23">
        <v>10</v>
      </c>
      <c r="N70" s="13">
        <v>10</v>
      </c>
      <c r="O70" s="23">
        <v>10</v>
      </c>
      <c r="P70" s="13">
        <v>10</v>
      </c>
      <c r="Q70" s="13">
        <v>10</v>
      </c>
      <c r="R70" s="13" t="s">
        <v>10</v>
      </c>
      <c r="S70" s="23">
        <v>10</v>
      </c>
      <c r="T70" s="23">
        <v>10</v>
      </c>
      <c r="U70" s="13">
        <v>10</v>
      </c>
      <c r="V70" s="23">
        <v>10</v>
      </c>
      <c r="W70" s="13">
        <v>10</v>
      </c>
      <c r="X70" s="13">
        <v>10</v>
      </c>
      <c r="Y70" s="13" t="s">
        <v>10</v>
      </c>
      <c r="Z70" s="23">
        <v>10</v>
      </c>
      <c r="AA70" s="23">
        <v>10</v>
      </c>
      <c r="AB70" s="23">
        <v>10</v>
      </c>
      <c r="AC70" s="23">
        <v>10</v>
      </c>
      <c r="AD70" s="13">
        <v>10</v>
      </c>
      <c r="AE70" s="23">
        <v>10</v>
      </c>
      <c r="AF70" s="23" t="s">
        <v>10</v>
      </c>
      <c r="AG70" s="23">
        <v>10</v>
      </c>
      <c r="AH70" s="23">
        <v>10</v>
      </c>
      <c r="AI70" s="22">
        <f t="shared" si="13"/>
        <v>215</v>
      </c>
      <c r="AJ70" s="21"/>
      <c r="AK70" s="14">
        <f t="shared" si="14"/>
        <v>0</v>
      </c>
      <c r="AL70" s="2" t="s">
        <v>521</v>
      </c>
    </row>
    <row r="71" spans="1:38" ht="19.899999999999999" customHeight="1" x14ac:dyDescent="0.25">
      <c r="A71" s="2">
        <v>69</v>
      </c>
      <c r="B71" s="7" t="s">
        <v>384</v>
      </c>
      <c r="C71" s="4" t="s">
        <v>385</v>
      </c>
      <c r="D71" s="2" t="s">
        <v>84</v>
      </c>
      <c r="E71" s="23"/>
      <c r="F71" s="23"/>
      <c r="G71" s="13"/>
      <c r="H71" s="23"/>
      <c r="I71" s="13"/>
      <c r="J71" s="13"/>
      <c r="K71" s="13"/>
      <c r="L71" s="23"/>
      <c r="M71" s="23"/>
      <c r="N71" s="13"/>
      <c r="O71" s="23"/>
      <c r="P71" s="13"/>
      <c r="Q71" s="13"/>
      <c r="R71" s="13"/>
      <c r="S71" s="23"/>
      <c r="T71" s="23"/>
      <c r="U71" s="13"/>
      <c r="V71" s="23">
        <v>8</v>
      </c>
      <c r="W71" s="13">
        <v>10</v>
      </c>
      <c r="X71" s="13">
        <v>10</v>
      </c>
      <c r="Y71" s="13" t="s">
        <v>10</v>
      </c>
      <c r="Z71" s="23">
        <v>10</v>
      </c>
      <c r="AA71" s="23">
        <v>10</v>
      </c>
      <c r="AB71" s="23">
        <v>10</v>
      </c>
      <c r="AC71" s="23">
        <v>10</v>
      </c>
      <c r="AD71" s="13">
        <v>10</v>
      </c>
      <c r="AE71" s="23">
        <v>10</v>
      </c>
      <c r="AF71" s="23" t="s">
        <v>10</v>
      </c>
      <c r="AG71" s="23">
        <v>10</v>
      </c>
      <c r="AH71" s="23">
        <v>10</v>
      </c>
      <c r="AI71" s="22">
        <f t="shared" si="13"/>
        <v>108</v>
      </c>
      <c r="AJ71" s="2"/>
      <c r="AK71" s="14">
        <f t="shared" si="14"/>
        <v>0</v>
      </c>
      <c r="AL71" s="2" t="s">
        <v>521</v>
      </c>
    </row>
    <row r="72" spans="1:38" ht="19.899999999999999" customHeight="1" x14ac:dyDescent="0.25">
      <c r="A72" s="2">
        <v>70</v>
      </c>
      <c r="B72" s="2" t="s">
        <v>147</v>
      </c>
      <c r="C72" s="4" t="s">
        <v>148</v>
      </c>
      <c r="D72" s="2" t="s">
        <v>84</v>
      </c>
      <c r="E72" s="23"/>
      <c r="F72" s="23"/>
      <c r="G72" s="13"/>
      <c r="H72" s="23"/>
      <c r="I72" s="13"/>
      <c r="J72" s="13"/>
      <c r="K72" s="13"/>
      <c r="L72" s="23"/>
      <c r="M72" s="23"/>
      <c r="N72" s="13"/>
      <c r="O72" s="23"/>
      <c r="P72" s="13"/>
      <c r="Q72" s="13"/>
      <c r="R72" s="13"/>
      <c r="S72" s="23"/>
      <c r="T72" s="23"/>
      <c r="U72" s="13"/>
      <c r="V72" s="23">
        <v>8</v>
      </c>
      <c r="W72" s="13">
        <v>10</v>
      </c>
      <c r="X72" s="13">
        <v>10</v>
      </c>
      <c r="Y72" s="13" t="s">
        <v>10</v>
      </c>
      <c r="Z72" s="23">
        <v>10</v>
      </c>
      <c r="AA72" s="23">
        <v>10</v>
      </c>
      <c r="AB72" s="23">
        <v>10</v>
      </c>
      <c r="AC72" s="23">
        <v>10</v>
      </c>
      <c r="AD72" s="13">
        <v>10</v>
      </c>
      <c r="AE72" s="23">
        <v>10</v>
      </c>
      <c r="AF72" s="23" t="s">
        <v>10</v>
      </c>
      <c r="AG72" s="23">
        <v>10</v>
      </c>
      <c r="AH72" s="23">
        <v>10</v>
      </c>
      <c r="AI72" s="22">
        <f t="shared" si="1"/>
        <v>108</v>
      </c>
      <c r="AJ72" s="21"/>
      <c r="AK72" s="14">
        <f t="shared" ref="AK72:AK77" si="15">AI72*AJ72</f>
        <v>0</v>
      </c>
      <c r="AL72" s="2" t="s">
        <v>521</v>
      </c>
    </row>
    <row r="73" spans="1:38" ht="19.899999999999999" customHeight="1" x14ac:dyDescent="0.25">
      <c r="A73" s="2">
        <v>71</v>
      </c>
      <c r="B73" s="7" t="s">
        <v>131</v>
      </c>
      <c r="C73" s="4" t="s">
        <v>132</v>
      </c>
      <c r="D73" s="2" t="s">
        <v>130</v>
      </c>
      <c r="E73" s="23">
        <v>10</v>
      </c>
      <c r="F73" s="23">
        <v>10</v>
      </c>
      <c r="G73" s="13">
        <v>10</v>
      </c>
      <c r="H73" s="23">
        <v>10</v>
      </c>
      <c r="I73" s="13">
        <v>10</v>
      </c>
      <c r="J73" s="13">
        <v>10</v>
      </c>
      <c r="K73" s="13" t="s">
        <v>10</v>
      </c>
      <c r="L73" s="23">
        <v>10</v>
      </c>
      <c r="M73" s="23">
        <v>10</v>
      </c>
      <c r="N73" s="13">
        <v>10</v>
      </c>
      <c r="O73" s="23">
        <v>10</v>
      </c>
      <c r="P73" s="13">
        <v>10</v>
      </c>
      <c r="Q73" s="13">
        <v>10</v>
      </c>
      <c r="R73" s="13" t="s">
        <v>10</v>
      </c>
      <c r="S73" s="23">
        <v>10</v>
      </c>
      <c r="T73" s="23">
        <v>10</v>
      </c>
      <c r="U73" s="13">
        <v>10</v>
      </c>
      <c r="V73" s="23">
        <v>10</v>
      </c>
      <c r="W73" s="13">
        <v>10</v>
      </c>
      <c r="X73" s="13">
        <v>10</v>
      </c>
      <c r="Y73" s="13" t="s">
        <v>10</v>
      </c>
      <c r="Z73" s="23">
        <v>10</v>
      </c>
      <c r="AA73" s="23">
        <v>10</v>
      </c>
      <c r="AB73" s="23">
        <v>10</v>
      </c>
      <c r="AC73" s="23">
        <v>10</v>
      </c>
      <c r="AD73" s="13">
        <v>10</v>
      </c>
      <c r="AE73" s="23" t="s">
        <v>32</v>
      </c>
      <c r="AF73" s="23" t="s">
        <v>10</v>
      </c>
      <c r="AG73" s="23">
        <v>10</v>
      </c>
      <c r="AH73" s="23" t="s">
        <v>32</v>
      </c>
      <c r="AI73" s="22">
        <f t="shared" si="1"/>
        <v>240</v>
      </c>
      <c r="AJ73" s="21"/>
      <c r="AK73" s="14">
        <f t="shared" si="15"/>
        <v>0</v>
      </c>
      <c r="AL73" s="2" t="s">
        <v>164</v>
      </c>
    </row>
    <row r="74" spans="1:38" ht="19.899999999999999" customHeight="1" x14ac:dyDescent="0.25">
      <c r="A74" s="2">
        <v>72</v>
      </c>
      <c r="B74" s="2" t="s">
        <v>133</v>
      </c>
      <c r="C74" s="4" t="s">
        <v>134</v>
      </c>
      <c r="D74" s="2" t="s">
        <v>130</v>
      </c>
      <c r="E74" s="23">
        <v>10</v>
      </c>
      <c r="F74" s="23">
        <v>10</v>
      </c>
      <c r="G74" s="13">
        <v>10</v>
      </c>
      <c r="H74" s="23">
        <v>10</v>
      </c>
      <c r="I74" s="13">
        <v>10</v>
      </c>
      <c r="J74" s="13">
        <v>10</v>
      </c>
      <c r="K74" s="13" t="s">
        <v>10</v>
      </c>
      <c r="L74" s="23">
        <v>10</v>
      </c>
      <c r="M74" s="23">
        <v>10</v>
      </c>
      <c r="N74" s="13">
        <v>10</v>
      </c>
      <c r="O74" s="23">
        <v>10</v>
      </c>
      <c r="P74" s="13">
        <v>10</v>
      </c>
      <c r="Q74" s="13">
        <v>10</v>
      </c>
      <c r="R74" s="13" t="s">
        <v>10</v>
      </c>
      <c r="S74" s="23">
        <v>10</v>
      </c>
      <c r="T74" s="23">
        <v>10</v>
      </c>
      <c r="U74" s="13">
        <v>10</v>
      </c>
      <c r="V74" s="23">
        <v>10</v>
      </c>
      <c r="W74" s="13">
        <v>10</v>
      </c>
      <c r="X74" s="13">
        <v>10</v>
      </c>
      <c r="Y74" s="13">
        <v>10</v>
      </c>
      <c r="Z74" s="23">
        <v>10</v>
      </c>
      <c r="AA74" s="23">
        <v>10</v>
      </c>
      <c r="AB74" s="23">
        <v>10</v>
      </c>
      <c r="AC74" s="23">
        <v>10</v>
      </c>
      <c r="AD74" s="13">
        <v>10</v>
      </c>
      <c r="AE74" s="23">
        <v>10</v>
      </c>
      <c r="AF74" s="23">
        <v>10</v>
      </c>
      <c r="AG74" s="23">
        <v>10</v>
      </c>
      <c r="AH74" s="23">
        <v>10</v>
      </c>
      <c r="AI74" s="22">
        <f t="shared" si="1"/>
        <v>280</v>
      </c>
      <c r="AJ74" s="21"/>
      <c r="AK74" s="14">
        <f t="shared" si="15"/>
        <v>0</v>
      </c>
      <c r="AL74" s="2" t="s">
        <v>164</v>
      </c>
    </row>
    <row r="75" spans="1:38" ht="19.899999999999999" customHeight="1" x14ac:dyDescent="0.25">
      <c r="A75" s="2">
        <v>73</v>
      </c>
      <c r="B75" s="2" t="s">
        <v>137</v>
      </c>
      <c r="C75" s="4" t="s">
        <v>138</v>
      </c>
      <c r="D75" s="2" t="s">
        <v>130</v>
      </c>
      <c r="E75" s="23">
        <v>10</v>
      </c>
      <c r="F75" s="23">
        <v>10</v>
      </c>
      <c r="G75" s="13">
        <v>10</v>
      </c>
      <c r="H75" s="23">
        <v>10</v>
      </c>
      <c r="I75" s="13">
        <v>10</v>
      </c>
      <c r="J75" s="13">
        <v>10</v>
      </c>
      <c r="K75" s="13" t="s">
        <v>10</v>
      </c>
      <c r="L75" s="23">
        <v>10</v>
      </c>
      <c r="M75" s="23">
        <v>10</v>
      </c>
      <c r="N75" s="13">
        <v>10</v>
      </c>
      <c r="O75" s="23">
        <v>10</v>
      </c>
      <c r="P75" s="13">
        <v>10</v>
      </c>
      <c r="Q75" s="13">
        <v>10</v>
      </c>
      <c r="R75" s="13" t="s">
        <v>10</v>
      </c>
      <c r="S75" s="23">
        <v>10</v>
      </c>
      <c r="T75" s="23">
        <v>10</v>
      </c>
      <c r="U75" s="13">
        <v>10</v>
      </c>
      <c r="V75" s="23">
        <v>10</v>
      </c>
      <c r="W75" s="13">
        <v>10</v>
      </c>
      <c r="X75" s="13">
        <v>10</v>
      </c>
      <c r="Y75" s="13" t="s">
        <v>10</v>
      </c>
      <c r="Z75" s="23">
        <v>10</v>
      </c>
      <c r="AA75" s="23">
        <v>10</v>
      </c>
      <c r="AB75" s="23">
        <v>10</v>
      </c>
      <c r="AC75" s="23">
        <v>10</v>
      </c>
      <c r="AD75" s="13">
        <v>10</v>
      </c>
      <c r="AE75" s="23">
        <v>10</v>
      </c>
      <c r="AF75" s="23" t="s">
        <v>10</v>
      </c>
      <c r="AG75" s="23">
        <v>10</v>
      </c>
      <c r="AH75" s="23">
        <v>10</v>
      </c>
      <c r="AI75" s="22">
        <f t="shared" ref="AI75:AI118" si="16">SUM(E75:AH75)</f>
        <v>260</v>
      </c>
      <c r="AJ75" s="21"/>
      <c r="AK75" s="14">
        <f t="shared" si="15"/>
        <v>0</v>
      </c>
      <c r="AL75" s="2" t="s">
        <v>164</v>
      </c>
    </row>
    <row r="76" spans="1:38" ht="19.899999999999999" customHeight="1" x14ac:dyDescent="0.25">
      <c r="A76" s="2">
        <v>74</v>
      </c>
      <c r="B76" s="7" t="s">
        <v>436</v>
      </c>
      <c r="C76" s="4" t="s">
        <v>437</v>
      </c>
      <c r="D76" s="2" t="s">
        <v>130</v>
      </c>
      <c r="E76" s="23">
        <v>10</v>
      </c>
      <c r="F76" s="23">
        <v>10</v>
      </c>
      <c r="G76" s="13">
        <v>10</v>
      </c>
      <c r="H76" s="23">
        <v>10</v>
      </c>
      <c r="I76" s="13">
        <v>10</v>
      </c>
      <c r="J76" s="13">
        <v>10</v>
      </c>
      <c r="K76" s="13" t="s">
        <v>10</v>
      </c>
      <c r="L76" s="23">
        <v>10</v>
      </c>
      <c r="M76" s="23">
        <v>10</v>
      </c>
      <c r="N76" s="13">
        <v>10</v>
      </c>
      <c r="O76" s="23">
        <v>10</v>
      </c>
      <c r="P76" s="13">
        <v>10</v>
      </c>
      <c r="Q76" s="13">
        <v>10</v>
      </c>
      <c r="R76" s="13" t="s">
        <v>10</v>
      </c>
      <c r="S76" s="23">
        <v>10</v>
      </c>
      <c r="T76" s="23">
        <v>10</v>
      </c>
      <c r="U76" s="13">
        <v>10</v>
      </c>
      <c r="V76" s="23">
        <v>10</v>
      </c>
      <c r="W76" s="13">
        <v>10</v>
      </c>
      <c r="X76" s="13">
        <v>10</v>
      </c>
      <c r="Y76" s="13" t="s">
        <v>10</v>
      </c>
      <c r="Z76" s="23">
        <v>10</v>
      </c>
      <c r="AA76" s="23">
        <v>10</v>
      </c>
      <c r="AB76" s="23">
        <v>10</v>
      </c>
      <c r="AC76" s="23">
        <v>10</v>
      </c>
      <c r="AD76" s="13">
        <v>10</v>
      </c>
      <c r="AE76" s="23">
        <v>10</v>
      </c>
      <c r="AF76" s="23" t="s">
        <v>10</v>
      </c>
      <c r="AG76" s="23">
        <v>10</v>
      </c>
      <c r="AH76" s="23">
        <v>10</v>
      </c>
      <c r="AI76" s="22">
        <f t="shared" si="16"/>
        <v>260</v>
      </c>
      <c r="AJ76" s="21"/>
      <c r="AK76" s="14">
        <f t="shared" si="15"/>
        <v>0</v>
      </c>
      <c r="AL76" s="2" t="s">
        <v>164</v>
      </c>
    </row>
    <row r="77" spans="1:38" ht="19.899999999999999" customHeight="1" x14ac:dyDescent="0.25">
      <c r="A77" s="2">
        <v>75</v>
      </c>
      <c r="B77" s="2" t="s">
        <v>143</v>
      </c>
      <c r="C77" s="4" t="s">
        <v>144</v>
      </c>
      <c r="D77" s="2" t="s">
        <v>130</v>
      </c>
      <c r="E77" s="23">
        <v>10</v>
      </c>
      <c r="F77" s="23">
        <v>10</v>
      </c>
      <c r="G77" s="13">
        <v>10</v>
      </c>
      <c r="H77" s="23">
        <v>10</v>
      </c>
      <c r="I77" s="13">
        <v>10</v>
      </c>
      <c r="J77" s="13">
        <v>10</v>
      </c>
      <c r="K77" s="13">
        <v>10</v>
      </c>
      <c r="L77" s="23">
        <v>10</v>
      </c>
      <c r="M77" s="23">
        <v>10</v>
      </c>
      <c r="N77" s="13">
        <v>10</v>
      </c>
      <c r="O77" s="23">
        <v>10</v>
      </c>
      <c r="P77" s="13">
        <v>10</v>
      </c>
      <c r="Q77" s="13">
        <v>10</v>
      </c>
      <c r="R77" s="13">
        <v>10</v>
      </c>
      <c r="S77" s="23">
        <v>10</v>
      </c>
      <c r="T77" s="23">
        <v>10</v>
      </c>
      <c r="U77" s="13">
        <v>10</v>
      </c>
      <c r="V77" s="23">
        <v>10</v>
      </c>
      <c r="W77" s="13">
        <v>10</v>
      </c>
      <c r="X77" s="13">
        <v>10</v>
      </c>
      <c r="Y77" s="13">
        <v>10</v>
      </c>
      <c r="Z77" s="23">
        <v>10</v>
      </c>
      <c r="AA77" s="23">
        <v>10</v>
      </c>
      <c r="AB77" s="23">
        <v>10</v>
      </c>
      <c r="AC77" s="23">
        <v>10</v>
      </c>
      <c r="AD77" s="13">
        <v>10</v>
      </c>
      <c r="AE77" s="23">
        <v>10</v>
      </c>
      <c r="AF77" s="23">
        <v>10</v>
      </c>
      <c r="AG77" s="23">
        <v>10</v>
      </c>
      <c r="AH77" s="23">
        <v>10</v>
      </c>
      <c r="AI77" s="22">
        <f t="shared" si="16"/>
        <v>300</v>
      </c>
      <c r="AJ77" s="21"/>
      <c r="AK77" s="14">
        <f t="shared" si="15"/>
        <v>0</v>
      </c>
      <c r="AL77" s="2" t="s">
        <v>164</v>
      </c>
    </row>
    <row r="78" spans="1:38" ht="19.899999999999999" customHeight="1" x14ac:dyDescent="0.25">
      <c r="A78" s="2">
        <v>76</v>
      </c>
      <c r="B78" s="3" t="s">
        <v>145</v>
      </c>
      <c r="C78" s="4" t="s">
        <v>146</v>
      </c>
      <c r="D78" s="2" t="s">
        <v>130</v>
      </c>
      <c r="E78" s="23">
        <v>10</v>
      </c>
      <c r="F78" s="23">
        <v>10</v>
      </c>
      <c r="G78" s="13">
        <v>10</v>
      </c>
      <c r="H78" s="23">
        <v>10</v>
      </c>
      <c r="I78" s="13">
        <v>10</v>
      </c>
      <c r="J78" s="13">
        <v>10</v>
      </c>
      <c r="K78" s="13" t="s">
        <v>10</v>
      </c>
      <c r="L78" s="23">
        <v>10</v>
      </c>
      <c r="M78" s="23">
        <v>10</v>
      </c>
      <c r="N78" s="13">
        <v>10</v>
      </c>
      <c r="O78" s="23">
        <v>10</v>
      </c>
      <c r="P78" s="13">
        <v>10</v>
      </c>
      <c r="Q78" s="13">
        <v>10</v>
      </c>
      <c r="R78" s="13" t="s">
        <v>10</v>
      </c>
      <c r="S78" s="23">
        <v>10</v>
      </c>
      <c r="T78" s="23">
        <v>10</v>
      </c>
      <c r="U78" s="13">
        <v>10</v>
      </c>
      <c r="V78" s="23">
        <v>10</v>
      </c>
      <c r="W78" s="13">
        <v>10</v>
      </c>
      <c r="X78" s="13">
        <v>10</v>
      </c>
      <c r="Y78" s="13" t="s">
        <v>10</v>
      </c>
      <c r="Z78" s="23">
        <v>10</v>
      </c>
      <c r="AA78" s="23">
        <v>10</v>
      </c>
      <c r="AB78" s="23">
        <v>10</v>
      </c>
      <c r="AC78" s="23">
        <v>10</v>
      </c>
      <c r="AD78" s="13">
        <v>10</v>
      </c>
      <c r="AE78" s="23">
        <v>10</v>
      </c>
      <c r="AF78" s="23" t="s">
        <v>10</v>
      </c>
      <c r="AG78" s="23">
        <v>10</v>
      </c>
      <c r="AH78" s="23">
        <v>10</v>
      </c>
      <c r="AI78" s="22">
        <f t="shared" si="16"/>
        <v>260</v>
      </c>
      <c r="AJ78" s="21"/>
      <c r="AK78" s="14">
        <f>AI78*AJ78</f>
        <v>0</v>
      </c>
      <c r="AL78" s="2" t="s">
        <v>164</v>
      </c>
    </row>
    <row r="79" spans="1:38" ht="19.899999999999999" customHeight="1" x14ac:dyDescent="0.25">
      <c r="A79" s="2">
        <v>77</v>
      </c>
      <c r="B79" s="7" t="s">
        <v>384</v>
      </c>
      <c r="C79" s="4" t="s">
        <v>385</v>
      </c>
      <c r="D79" s="2" t="s">
        <v>84</v>
      </c>
      <c r="E79" s="23">
        <v>11</v>
      </c>
      <c r="F79" s="23">
        <v>11</v>
      </c>
      <c r="G79" s="13">
        <v>11</v>
      </c>
      <c r="H79" s="23">
        <v>11</v>
      </c>
      <c r="I79" s="13" t="s">
        <v>515</v>
      </c>
      <c r="J79" s="13">
        <v>11</v>
      </c>
      <c r="K79" s="13" t="s">
        <v>10</v>
      </c>
      <c r="L79" s="23">
        <v>11</v>
      </c>
      <c r="M79" s="23">
        <v>11</v>
      </c>
      <c r="N79" s="13">
        <v>11</v>
      </c>
      <c r="O79" s="23">
        <v>11</v>
      </c>
      <c r="P79" s="13">
        <v>11</v>
      </c>
      <c r="Q79" s="13">
        <v>11</v>
      </c>
      <c r="R79" s="13" t="s">
        <v>10</v>
      </c>
      <c r="S79" s="23">
        <v>11</v>
      </c>
      <c r="T79" s="23">
        <v>11</v>
      </c>
      <c r="U79" s="13"/>
      <c r="V79" s="23"/>
      <c r="W79" s="13"/>
      <c r="X79" s="13"/>
      <c r="Y79" s="13" t="s">
        <v>10</v>
      </c>
      <c r="Z79" s="23"/>
      <c r="AA79" s="23"/>
      <c r="AB79" s="23"/>
      <c r="AC79" s="23"/>
      <c r="AD79" s="13"/>
      <c r="AE79" s="23"/>
      <c r="AF79" s="23" t="s">
        <v>10</v>
      </c>
      <c r="AG79" s="23"/>
      <c r="AH79" s="23"/>
      <c r="AI79" s="22">
        <f t="shared" si="16"/>
        <v>143</v>
      </c>
      <c r="AJ79" s="21"/>
      <c r="AK79" s="14">
        <f>AI79*AJ79</f>
        <v>0</v>
      </c>
      <c r="AL79" s="2" t="s">
        <v>164</v>
      </c>
    </row>
    <row r="80" spans="1:38" ht="19.899999999999999" customHeight="1" x14ac:dyDescent="0.25">
      <c r="A80" s="2">
        <v>78</v>
      </c>
      <c r="B80" s="2" t="s">
        <v>544</v>
      </c>
      <c r="C80" s="4" t="s">
        <v>112</v>
      </c>
      <c r="D80" s="2" t="s">
        <v>84</v>
      </c>
      <c r="E80" s="23">
        <v>11</v>
      </c>
      <c r="F80" s="23">
        <v>11</v>
      </c>
      <c r="G80" s="13">
        <v>11</v>
      </c>
      <c r="H80" s="23">
        <v>11</v>
      </c>
      <c r="I80" s="13" t="s">
        <v>515</v>
      </c>
      <c r="J80" s="13">
        <v>11</v>
      </c>
      <c r="K80" s="13" t="s">
        <v>10</v>
      </c>
      <c r="L80" s="23">
        <v>11</v>
      </c>
      <c r="M80" s="23">
        <v>11</v>
      </c>
      <c r="N80" s="13">
        <v>11</v>
      </c>
      <c r="O80" s="23">
        <v>11</v>
      </c>
      <c r="P80" s="13">
        <v>11</v>
      </c>
      <c r="Q80" s="13">
        <v>11</v>
      </c>
      <c r="R80" s="13" t="s">
        <v>10</v>
      </c>
      <c r="S80" s="23">
        <v>11</v>
      </c>
      <c r="T80" s="23">
        <v>11</v>
      </c>
      <c r="U80" s="13">
        <v>11</v>
      </c>
      <c r="V80" s="23">
        <v>11</v>
      </c>
      <c r="W80" s="13">
        <v>11</v>
      </c>
      <c r="X80" s="13">
        <v>11</v>
      </c>
      <c r="Y80" s="13" t="s">
        <v>10</v>
      </c>
      <c r="Z80" s="23">
        <v>11</v>
      </c>
      <c r="AA80" s="23">
        <v>11</v>
      </c>
      <c r="AB80" s="23">
        <v>11</v>
      </c>
      <c r="AC80" s="23">
        <v>11</v>
      </c>
      <c r="AD80" s="13">
        <v>11</v>
      </c>
      <c r="AE80" s="23">
        <v>11</v>
      </c>
      <c r="AF80" s="23">
        <v>11</v>
      </c>
      <c r="AG80" s="23">
        <v>11</v>
      </c>
      <c r="AH80" s="23">
        <v>11</v>
      </c>
      <c r="AI80" s="22">
        <f t="shared" si="16"/>
        <v>286</v>
      </c>
      <c r="AJ80" s="21"/>
      <c r="AK80" s="14">
        <f t="shared" ref="AK80:AK87" si="17">AI80*AJ80</f>
        <v>0</v>
      </c>
      <c r="AL80" s="2" t="s">
        <v>164</v>
      </c>
    </row>
    <row r="81" spans="1:38" ht="19.899999999999999" customHeight="1" x14ac:dyDescent="0.25">
      <c r="A81" s="2">
        <v>79</v>
      </c>
      <c r="B81" s="7" t="s">
        <v>115</v>
      </c>
      <c r="C81" s="4" t="s">
        <v>116</v>
      </c>
      <c r="D81" s="2" t="s">
        <v>84</v>
      </c>
      <c r="E81" s="23">
        <v>10</v>
      </c>
      <c r="F81" s="23">
        <v>10</v>
      </c>
      <c r="G81" s="13">
        <v>10</v>
      </c>
      <c r="H81" s="23">
        <v>10</v>
      </c>
      <c r="I81" s="13">
        <v>10</v>
      </c>
      <c r="J81" s="13">
        <v>10</v>
      </c>
      <c r="K81" s="13" t="s">
        <v>10</v>
      </c>
      <c r="L81" s="23">
        <v>10</v>
      </c>
      <c r="M81" s="23">
        <v>10</v>
      </c>
      <c r="N81" s="13">
        <v>10</v>
      </c>
      <c r="O81" s="23">
        <v>10</v>
      </c>
      <c r="P81" s="13">
        <v>10</v>
      </c>
      <c r="Q81" s="13">
        <v>10</v>
      </c>
      <c r="R81" s="13">
        <v>10</v>
      </c>
      <c r="S81" s="23">
        <v>10</v>
      </c>
      <c r="T81" s="23">
        <v>10</v>
      </c>
      <c r="U81" s="13">
        <v>10</v>
      </c>
      <c r="V81" s="23">
        <v>10</v>
      </c>
      <c r="W81" s="13">
        <v>10</v>
      </c>
      <c r="X81" s="13">
        <v>10</v>
      </c>
      <c r="Y81" s="13" t="s">
        <v>10</v>
      </c>
      <c r="Z81" s="23">
        <v>10</v>
      </c>
      <c r="AA81" s="23">
        <v>10</v>
      </c>
      <c r="AB81" s="23">
        <v>10</v>
      </c>
      <c r="AC81" s="23">
        <v>10</v>
      </c>
      <c r="AD81" s="13">
        <v>10</v>
      </c>
      <c r="AE81" s="23">
        <v>10</v>
      </c>
      <c r="AF81" s="23" t="s">
        <v>10</v>
      </c>
      <c r="AG81" s="23">
        <v>10</v>
      </c>
      <c r="AH81" s="23">
        <v>10</v>
      </c>
      <c r="AI81" s="22">
        <f t="shared" si="16"/>
        <v>270</v>
      </c>
      <c r="AJ81" s="21"/>
      <c r="AK81" s="14">
        <f t="shared" si="17"/>
        <v>0</v>
      </c>
      <c r="AL81" s="2" t="s">
        <v>164</v>
      </c>
    </row>
    <row r="82" spans="1:38" ht="19.899999999999999" customHeight="1" x14ac:dyDescent="0.25">
      <c r="A82" s="2">
        <v>80</v>
      </c>
      <c r="B82" s="7">
        <v>146</v>
      </c>
      <c r="C82" s="4" t="s">
        <v>310</v>
      </c>
      <c r="D82" s="2" t="s">
        <v>84</v>
      </c>
      <c r="E82" s="23">
        <v>10</v>
      </c>
      <c r="F82" s="23">
        <v>10</v>
      </c>
      <c r="G82" s="13">
        <v>10</v>
      </c>
      <c r="H82" s="23">
        <v>10</v>
      </c>
      <c r="I82" s="13">
        <v>10</v>
      </c>
      <c r="J82" s="13">
        <v>10</v>
      </c>
      <c r="K82" s="13" t="s">
        <v>10</v>
      </c>
      <c r="L82" s="23">
        <v>10</v>
      </c>
      <c r="M82" s="23">
        <v>10</v>
      </c>
      <c r="N82" s="13">
        <v>10</v>
      </c>
      <c r="O82" s="23">
        <v>10</v>
      </c>
      <c r="P82" s="13">
        <v>10</v>
      </c>
      <c r="Q82" s="13">
        <v>10</v>
      </c>
      <c r="R82" s="13" t="s">
        <v>10</v>
      </c>
      <c r="S82" s="23">
        <v>10</v>
      </c>
      <c r="T82" s="23">
        <v>10</v>
      </c>
      <c r="U82" s="13">
        <v>10</v>
      </c>
      <c r="V82" s="23">
        <v>10</v>
      </c>
      <c r="W82" s="13">
        <v>10</v>
      </c>
      <c r="X82" s="13">
        <v>10</v>
      </c>
      <c r="Y82" s="13">
        <v>10</v>
      </c>
      <c r="Z82" s="23">
        <v>10</v>
      </c>
      <c r="AA82" s="23">
        <v>10</v>
      </c>
      <c r="AB82" s="23">
        <v>10</v>
      </c>
      <c r="AC82" s="23">
        <v>10</v>
      </c>
      <c r="AD82" s="13">
        <v>10</v>
      </c>
      <c r="AE82" s="23">
        <v>10</v>
      </c>
      <c r="AF82" s="23">
        <v>10</v>
      </c>
      <c r="AG82" s="23">
        <v>10</v>
      </c>
      <c r="AH82" s="23">
        <v>10</v>
      </c>
      <c r="AI82" s="22">
        <f t="shared" si="16"/>
        <v>280</v>
      </c>
      <c r="AJ82" s="21"/>
      <c r="AK82" s="14">
        <f t="shared" si="17"/>
        <v>0</v>
      </c>
      <c r="AL82" s="2" t="s">
        <v>164</v>
      </c>
    </row>
    <row r="83" spans="1:38" ht="19.899999999999999" customHeight="1" x14ac:dyDescent="0.25">
      <c r="A83" s="2">
        <v>81</v>
      </c>
      <c r="B83" s="7" t="s">
        <v>117</v>
      </c>
      <c r="C83" s="4" t="s">
        <v>118</v>
      </c>
      <c r="D83" s="2" t="s">
        <v>84</v>
      </c>
      <c r="E83" s="23">
        <v>10</v>
      </c>
      <c r="F83" s="23">
        <v>10</v>
      </c>
      <c r="G83" s="13">
        <v>10</v>
      </c>
      <c r="H83" s="23">
        <v>10</v>
      </c>
      <c r="I83" s="13">
        <v>10</v>
      </c>
      <c r="J83" s="13">
        <v>10</v>
      </c>
      <c r="K83" s="13" t="s">
        <v>10</v>
      </c>
      <c r="L83" s="23">
        <v>10</v>
      </c>
      <c r="M83" s="23">
        <v>10</v>
      </c>
      <c r="N83" s="13">
        <v>10</v>
      </c>
      <c r="O83" s="23">
        <v>10</v>
      </c>
      <c r="P83" s="13">
        <v>10</v>
      </c>
      <c r="Q83" s="13">
        <v>10</v>
      </c>
      <c r="R83" s="13" t="s">
        <v>10</v>
      </c>
      <c r="S83" s="23">
        <v>10</v>
      </c>
      <c r="T83" s="23">
        <v>10</v>
      </c>
      <c r="U83" s="13">
        <v>10</v>
      </c>
      <c r="V83" s="23">
        <v>10</v>
      </c>
      <c r="W83" s="13">
        <v>10</v>
      </c>
      <c r="X83" s="13">
        <v>10</v>
      </c>
      <c r="Y83" s="13" t="s">
        <v>10</v>
      </c>
      <c r="Z83" s="23">
        <v>10</v>
      </c>
      <c r="AA83" s="23">
        <v>10</v>
      </c>
      <c r="AB83" s="23">
        <v>10</v>
      </c>
      <c r="AC83" s="23">
        <v>10</v>
      </c>
      <c r="AD83" s="13">
        <v>10</v>
      </c>
      <c r="AE83" s="23">
        <v>10</v>
      </c>
      <c r="AF83" s="23" t="s">
        <v>10</v>
      </c>
      <c r="AG83" s="23">
        <v>10</v>
      </c>
      <c r="AH83" s="23">
        <v>10</v>
      </c>
      <c r="AI83" s="22">
        <f t="shared" si="16"/>
        <v>260</v>
      </c>
      <c r="AJ83" s="21"/>
      <c r="AK83" s="14">
        <f t="shared" si="17"/>
        <v>0</v>
      </c>
      <c r="AL83" s="2" t="s">
        <v>164</v>
      </c>
    </row>
    <row r="84" spans="1:38" ht="19.899999999999999" customHeight="1" x14ac:dyDescent="0.25">
      <c r="A84" s="2">
        <v>82</v>
      </c>
      <c r="B84" s="7" t="s">
        <v>99</v>
      </c>
      <c r="C84" s="4" t="s">
        <v>386</v>
      </c>
      <c r="D84" s="2" t="s">
        <v>84</v>
      </c>
      <c r="E84" s="23">
        <v>10</v>
      </c>
      <c r="F84" s="23">
        <v>10</v>
      </c>
      <c r="G84" s="13">
        <v>10</v>
      </c>
      <c r="H84" s="23">
        <v>10</v>
      </c>
      <c r="I84" s="13">
        <v>10</v>
      </c>
      <c r="J84" s="13">
        <v>10</v>
      </c>
      <c r="K84" s="13" t="s">
        <v>10</v>
      </c>
      <c r="L84" s="23">
        <v>10</v>
      </c>
      <c r="M84" s="23">
        <v>10</v>
      </c>
      <c r="N84" s="13">
        <v>10</v>
      </c>
      <c r="O84" s="23">
        <v>10</v>
      </c>
      <c r="P84" s="13">
        <v>10</v>
      </c>
      <c r="Q84" s="13">
        <v>10</v>
      </c>
      <c r="R84" s="13" t="s">
        <v>10</v>
      </c>
      <c r="S84" s="23">
        <v>10</v>
      </c>
      <c r="T84" s="23">
        <v>10</v>
      </c>
      <c r="U84" s="13">
        <v>10</v>
      </c>
      <c r="V84" s="23">
        <v>10</v>
      </c>
      <c r="W84" s="13">
        <v>10</v>
      </c>
      <c r="X84" s="13">
        <v>10</v>
      </c>
      <c r="Y84" s="13">
        <v>10</v>
      </c>
      <c r="Z84" s="23">
        <v>10</v>
      </c>
      <c r="AA84" s="23">
        <v>10</v>
      </c>
      <c r="AB84" s="23">
        <v>10</v>
      </c>
      <c r="AC84" s="23">
        <v>10</v>
      </c>
      <c r="AD84" s="13">
        <v>10</v>
      </c>
      <c r="AE84" s="23">
        <v>10</v>
      </c>
      <c r="AF84" s="23" t="s">
        <v>10</v>
      </c>
      <c r="AG84" s="23">
        <v>10</v>
      </c>
      <c r="AH84" s="23">
        <v>10</v>
      </c>
      <c r="AI84" s="22">
        <f t="shared" si="16"/>
        <v>270</v>
      </c>
      <c r="AJ84" s="21"/>
      <c r="AK84" s="14">
        <f t="shared" si="17"/>
        <v>0</v>
      </c>
      <c r="AL84" s="2" t="s">
        <v>164</v>
      </c>
    </row>
    <row r="85" spans="1:38" ht="19.899999999999999" customHeight="1" x14ac:dyDescent="0.25">
      <c r="A85" s="2">
        <v>83</v>
      </c>
      <c r="B85" s="7" t="s">
        <v>110</v>
      </c>
      <c r="C85" s="4" t="s">
        <v>111</v>
      </c>
      <c r="D85" s="2" t="s">
        <v>84</v>
      </c>
      <c r="E85" s="23">
        <v>10</v>
      </c>
      <c r="F85" s="23">
        <v>10</v>
      </c>
      <c r="G85" s="13">
        <v>10</v>
      </c>
      <c r="H85" s="23">
        <v>10</v>
      </c>
      <c r="I85" s="13">
        <v>10</v>
      </c>
      <c r="J85" s="13">
        <v>10</v>
      </c>
      <c r="K85" s="13" t="s">
        <v>10</v>
      </c>
      <c r="L85" s="23">
        <v>10</v>
      </c>
      <c r="M85" s="23">
        <v>10</v>
      </c>
      <c r="N85" s="13">
        <v>10</v>
      </c>
      <c r="O85" s="23">
        <v>10</v>
      </c>
      <c r="P85" s="13">
        <v>10</v>
      </c>
      <c r="Q85" s="13">
        <v>10</v>
      </c>
      <c r="R85" s="13">
        <v>10</v>
      </c>
      <c r="S85" s="23">
        <v>10</v>
      </c>
      <c r="T85" s="23">
        <v>10</v>
      </c>
      <c r="U85" s="13">
        <v>10</v>
      </c>
      <c r="V85" s="23">
        <v>10</v>
      </c>
      <c r="W85" s="13">
        <v>10</v>
      </c>
      <c r="X85" s="13">
        <v>10</v>
      </c>
      <c r="Y85" s="13">
        <v>10</v>
      </c>
      <c r="Z85" s="23">
        <v>10</v>
      </c>
      <c r="AA85" s="23">
        <v>10</v>
      </c>
      <c r="AB85" s="23">
        <v>10</v>
      </c>
      <c r="AC85" s="23">
        <v>10</v>
      </c>
      <c r="AD85" s="13">
        <v>10</v>
      </c>
      <c r="AE85" s="23">
        <v>10</v>
      </c>
      <c r="AF85" s="23" t="s">
        <v>10</v>
      </c>
      <c r="AG85" s="23">
        <v>10</v>
      </c>
      <c r="AH85" s="23">
        <v>10</v>
      </c>
      <c r="AI85" s="22">
        <f t="shared" si="16"/>
        <v>280</v>
      </c>
      <c r="AJ85" s="21"/>
      <c r="AK85" s="14">
        <f t="shared" si="17"/>
        <v>0</v>
      </c>
      <c r="AL85" s="2" t="s">
        <v>164</v>
      </c>
    </row>
    <row r="86" spans="1:38" ht="19.899999999999999" customHeight="1" x14ac:dyDescent="0.25">
      <c r="A86" s="2">
        <v>84</v>
      </c>
      <c r="B86" s="7">
        <v>334</v>
      </c>
      <c r="C86" s="4" t="s">
        <v>339</v>
      </c>
      <c r="D86" s="2" t="s">
        <v>84</v>
      </c>
      <c r="E86" s="23">
        <v>10</v>
      </c>
      <c r="F86" s="23">
        <v>10</v>
      </c>
      <c r="G86" s="13">
        <v>10</v>
      </c>
      <c r="H86" s="23">
        <v>10</v>
      </c>
      <c r="I86" s="13">
        <v>10</v>
      </c>
      <c r="J86" s="13">
        <v>10</v>
      </c>
      <c r="K86" s="13">
        <v>10</v>
      </c>
      <c r="L86" s="23">
        <v>10</v>
      </c>
      <c r="M86" s="23">
        <v>10</v>
      </c>
      <c r="N86" s="13">
        <v>10</v>
      </c>
      <c r="O86" s="23">
        <v>10</v>
      </c>
      <c r="P86" s="13">
        <v>10</v>
      </c>
      <c r="Q86" s="13">
        <v>10</v>
      </c>
      <c r="R86" s="13">
        <v>10</v>
      </c>
      <c r="S86" s="23">
        <v>10</v>
      </c>
      <c r="T86" s="23">
        <v>10</v>
      </c>
      <c r="U86" s="13">
        <v>10</v>
      </c>
      <c r="V86" s="23">
        <v>10</v>
      </c>
      <c r="W86" s="13">
        <v>10</v>
      </c>
      <c r="X86" s="13">
        <v>10</v>
      </c>
      <c r="Y86" s="13" t="s">
        <v>10</v>
      </c>
      <c r="Z86" s="23">
        <v>10</v>
      </c>
      <c r="AA86" s="23">
        <v>10</v>
      </c>
      <c r="AB86" s="23">
        <v>10</v>
      </c>
      <c r="AC86" s="23">
        <v>10</v>
      </c>
      <c r="AD86" s="13">
        <v>10</v>
      </c>
      <c r="AE86" s="23">
        <v>10</v>
      </c>
      <c r="AF86" s="23">
        <v>10</v>
      </c>
      <c r="AG86" s="23">
        <v>10</v>
      </c>
      <c r="AH86" s="23">
        <v>10</v>
      </c>
      <c r="AI86" s="22">
        <f t="shared" si="16"/>
        <v>290</v>
      </c>
      <c r="AJ86" s="21"/>
      <c r="AK86" s="14">
        <f t="shared" si="17"/>
        <v>0</v>
      </c>
      <c r="AL86" s="2" t="s">
        <v>164</v>
      </c>
    </row>
    <row r="87" spans="1:38" ht="19.899999999999999" customHeight="1" x14ac:dyDescent="0.25">
      <c r="A87" s="2">
        <v>85</v>
      </c>
      <c r="B87" s="7">
        <v>295</v>
      </c>
      <c r="C87" s="4" t="s">
        <v>311</v>
      </c>
      <c r="D87" s="2" t="s">
        <v>84</v>
      </c>
      <c r="E87" s="23">
        <v>11</v>
      </c>
      <c r="F87" s="23">
        <v>11</v>
      </c>
      <c r="G87" s="13">
        <v>11</v>
      </c>
      <c r="H87" s="23">
        <v>11</v>
      </c>
      <c r="I87" s="13" t="s">
        <v>515</v>
      </c>
      <c r="J87" s="13">
        <v>11</v>
      </c>
      <c r="K87" s="13" t="s">
        <v>10</v>
      </c>
      <c r="L87" s="23">
        <v>11</v>
      </c>
      <c r="M87" s="23">
        <v>11</v>
      </c>
      <c r="N87" s="13">
        <v>11</v>
      </c>
      <c r="O87" s="23">
        <v>11</v>
      </c>
      <c r="P87" s="13">
        <v>11</v>
      </c>
      <c r="Q87" s="13">
        <v>11</v>
      </c>
      <c r="R87" s="13" t="s">
        <v>10</v>
      </c>
      <c r="S87" s="23">
        <v>11</v>
      </c>
      <c r="T87" s="23">
        <v>11</v>
      </c>
      <c r="U87" s="13">
        <v>11</v>
      </c>
      <c r="V87" s="23">
        <v>11</v>
      </c>
      <c r="W87" s="13">
        <v>11</v>
      </c>
      <c r="X87" s="13">
        <v>11</v>
      </c>
      <c r="Y87" s="13" t="s">
        <v>10</v>
      </c>
      <c r="Z87" s="23">
        <v>11</v>
      </c>
      <c r="AA87" s="23">
        <v>11</v>
      </c>
      <c r="AB87" s="23">
        <v>11</v>
      </c>
      <c r="AC87" s="23">
        <v>11</v>
      </c>
      <c r="AD87" s="13">
        <v>11</v>
      </c>
      <c r="AE87" s="23">
        <v>11</v>
      </c>
      <c r="AF87" s="23">
        <v>11</v>
      </c>
      <c r="AG87" s="23">
        <v>11</v>
      </c>
      <c r="AH87" s="23">
        <v>11</v>
      </c>
      <c r="AI87" s="22">
        <f t="shared" si="16"/>
        <v>286</v>
      </c>
      <c r="AJ87" s="21"/>
      <c r="AK87" s="14">
        <f t="shared" si="17"/>
        <v>0</v>
      </c>
      <c r="AL87" s="2" t="s">
        <v>164</v>
      </c>
    </row>
    <row r="88" spans="1:38" ht="19.899999999999999" customHeight="1" x14ac:dyDescent="0.25">
      <c r="A88" s="2">
        <v>86</v>
      </c>
      <c r="B88" s="7">
        <v>299</v>
      </c>
      <c r="C88" s="4" t="s">
        <v>340</v>
      </c>
      <c r="D88" s="2" t="s">
        <v>84</v>
      </c>
      <c r="E88" s="23" t="s">
        <v>32</v>
      </c>
      <c r="F88" s="23">
        <v>11</v>
      </c>
      <c r="G88" s="13" t="s">
        <v>32</v>
      </c>
      <c r="H88" s="23">
        <v>8</v>
      </c>
      <c r="I88" s="13" t="s">
        <v>515</v>
      </c>
      <c r="J88" s="13">
        <v>11</v>
      </c>
      <c r="K88" s="13" t="s">
        <v>10</v>
      </c>
      <c r="L88" s="23">
        <v>11</v>
      </c>
      <c r="M88" s="23">
        <v>11</v>
      </c>
      <c r="N88" s="13">
        <v>11</v>
      </c>
      <c r="O88" s="23">
        <v>11</v>
      </c>
      <c r="P88" s="13">
        <v>11</v>
      </c>
      <c r="Q88" s="13">
        <v>11</v>
      </c>
      <c r="R88" s="13" t="s">
        <v>10</v>
      </c>
      <c r="S88" s="23">
        <v>11</v>
      </c>
      <c r="T88" s="23">
        <v>11</v>
      </c>
      <c r="U88" s="13">
        <v>11</v>
      </c>
      <c r="V88" s="23">
        <v>11</v>
      </c>
      <c r="W88" s="13">
        <v>11</v>
      </c>
      <c r="X88" s="13">
        <v>11</v>
      </c>
      <c r="Y88" s="13" t="s">
        <v>10</v>
      </c>
      <c r="Z88" s="23">
        <v>11</v>
      </c>
      <c r="AA88" s="23">
        <v>11</v>
      </c>
      <c r="AB88" s="23">
        <v>11</v>
      </c>
      <c r="AC88" s="23">
        <v>11</v>
      </c>
      <c r="AD88" s="13">
        <v>11</v>
      </c>
      <c r="AE88" s="23">
        <v>11</v>
      </c>
      <c r="AF88" s="23">
        <v>11</v>
      </c>
      <c r="AG88" s="23">
        <v>11</v>
      </c>
      <c r="AH88" s="23">
        <v>11</v>
      </c>
      <c r="AI88" s="22">
        <f t="shared" si="16"/>
        <v>261</v>
      </c>
      <c r="AJ88" s="21"/>
      <c r="AK88" s="14">
        <f>AI88*AJ88</f>
        <v>0</v>
      </c>
      <c r="AL88" s="2" t="s">
        <v>164</v>
      </c>
    </row>
    <row r="89" spans="1:38" ht="19.899999999999999" customHeight="1" x14ac:dyDescent="0.25">
      <c r="A89" s="2">
        <v>87</v>
      </c>
      <c r="B89" s="7">
        <v>322</v>
      </c>
      <c r="C89" s="4" t="s">
        <v>387</v>
      </c>
      <c r="D89" s="2" t="s">
        <v>84</v>
      </c>
      <c r="E89" s="23" t="s">
        <v>32</v>
      </c>
      <c r="F89" s="23">
        <v>11</v>
      </c>
      <c r="G89" s="13">
        <v>11</v>
      </c>
      <c r="H89" s="23">
        <v>11</v>
      </c>
      <c r="I89" s="13" t="s">
        <v>515</v>
      </c>
      <c r="J89" s="13">
        <v>11</v>
      </c>
      <c r="K89" s="13" t="s">
        <v>10</v>
      </c>
      <c r="L89" s="23">
        <v>11</v>
      </c>
      <c r="M89" s="23">
        <v>11</v>
      </c>
      <c r="N89" s="13">
        <v>11</v>
      </c>
      <c r="O89" s="23">
        <v>11</v>
      </c>
      <c r="P89" s="13">
        <v>11</v>
      </c>
      <c r="Q89" s="13">
        <v>11</v>
      </c>
      <c r="R89" s="13" t="s">
        <v>10</v>
      </c>
      <c r="S89" s="23">
        <v>11</v>
      </c>
      <c r="T89" s="23">
        <v>11</v>
      </c>
      <c r="U89" s="13">
        <v>11</v>
      </c>
      <c r="V89" s="23">
        <v>11</v>
      </c>
      <c r="W89" s="13">
        <v>11</v>
      </c>
      <c r="X89" s="13">
        <v>11</v>
      </c>
      <c r="Y89" s="13" t="s">
        <v>10</v>
      </c>
      <c r="Z89" s="23">
        <v>11</v>
      </c>
      <c r="AA89" s="23">
        <v>11</v>
      </c>
      <c r="AB89" s="23">
        <v>11</v>
      </c>
      <c r="AC89" s="23">
        <v>11</v>
      </c>
      <c r="AD89" s="13" t="s">
        <v>32</v>
      </c>
      <c r="AE89" s="23">
        <v>11</v>
      </c>
      <c r="AF89" s="23">
        <v>11</v>
      </c>
      <c r="AG89" s="23">
        <v>11</v>
      </c>
      <c r="AH89" s="23">
        <v>11</v>
      </c>
      <c r="AI89" s="22">
        <f t="shared" si="16"/>
        <v>264</v>
      </c>
      <c r="AJ89" s="21"/>
      <c r="AK89" s="14">
        <f>AI89*AJ89</f>
        <v>0</v>
      </c>
      <c r="AL89" s="2" t="s">
        <v>164</v>
      </c>
    </row>
    <row r="90" spans="1:38" ht="19.899999999999999" customHeight="1" x14ac:dyDescent="0.25">
      <c r="A90" s="2">
        <v>88</v>
      </c>
      <c r="B90" s="7">
        <v>328</v>
      </c>
      <c r="C90" s="4" t="s">
        <v>336</v>
      </c>
      <c r="D90" s="2" t="s">
        <v>84</v>
      </c>
      <c r="E90" s="23">
        <v>11</v>
      </c>
      <c r="F90" s="23">
        <v>11</v>
      </c>
      <c r="G90" s="13">
        <v>11</v>
      </c>
      <c r="H90" s="23">
        <v>11</v>
      </c>
      <c r="I90" s="13" t="s">
        <v>515</v>
      </c>
      <c r="J90" s="13">
        <v>11</v>
      </c>
      <c r="K90" s="13" t="s">
        <v>10</v>
      </c>
      <c r="L90" s="23">
        <v>11</v>
      </c>
      <c r="M90" s="23">
        <v>11</v>
      </c>
      <c r="N90" s="13">
        <v>11</v>
      </c>
      <c r="O90" s="23">
        <v>11</v>
      </c>
      <c r="P90" s="13">
        <v>11</v>
      </c>
      <c r="Q90" s="13">
        <v>11</v>
      </c>
      <c r="R90" s="13" t="s">
        <v>10</v>
      </c>
      <c r="S90" s="23">
        <v>11</v>
      </c>
      <c r="T90" s="23">
        <v>11</v>
      </c>
      <c r="U90" s="13">
        <v>11</v>
      </c>
      <c r="V90" s="23">
        <v>11</v>
      </c>
      <c r="W90" s="13">
        <v>11</v>
      </c>
      <c r="X90" s="13">
        <v>11</v>
      </c>
      <c r="Y90" s="13" t="s">
        <v>10</v>
      </c>
      <c r="Z90" s="23">
        <v>11</v>
      </c>
      <c r="AA90" s="23">
        <v>11</v>
      </c>
      <c r="AB90" s="23">
        <v>11</v>
      </c>
      <c r="AC90" s="23">
        <v>11</v>
      </c>
      <c r="AD90" s="13">
        <v>11</v>
      </c>
      <c r="AE90" s="23">
        <v>11</v>
      </c>
      <c r="AF90" s="23">
        <v>11</v>
      </c>
      <c r="AG90" s="23">
        <v>11</v>
      </c>
      <c r="AH90" s="23">
        <v>11</v>
      </c>
      <c r="AI90" s="22">
        <f t="shared" si="16"/>
        <v>286</v>
      </c>
      <c r="AJ90" s="21"/>
      <c r="AK90" s="14">
        <f>AI90*AJ90</f>
        <v>0</v>
      </c>
      <c r="AL90" s="2" t="s">
        <v>164</v>
      </c>
    </row>
    <row r="91" spans="1:38" ht="19.899999999999999" customHeight="1" x14ac:dyDescent="0.25">
      <c r="A91" s="2">
        <v>89</v>
      </c>
      <c r="B91" s="7">
        <v>329</v>
      </c>
      <c r="C91" s="4" t="s">
        <v>337</v>
      </c>
      <c r="D91" s="2" t="s">
        <v>84</v>
      </c>
      <c r="E91" s="23">
        <v>10</v>
      </c>
      <c r="F91" s="23">
        <v>10</v>
      </c>
      <c r="G91" s="13">
        <v>10</v>
      </c>
      <c r="H91" s="23">
        <v>10</v>
      </c>
      <c r="I91" s="13">
        <v>10</v>
      </c>
      <c r="J91" s="13">
        <v>10</v>
      </c>
      <c r="K91" s="13" t="s">
        <v>10</v>
      </c>
      <c r="L91" s="23">
        <v>10</v>
      </c>
      <c r="M91" s="23">
        <v>10</v>
      </c>
      <c r="N91" s="13">
        <v>10</v>
      </c>
      <c r="O91" s="23">
        <v>10</v>
      </c>
      <c r="P91" s="13">
        <v>10</v>
      </c>
      <c r="Q91" s="13">
        <v>10</v>
      </c>
      <c r="R91" s="13" t="s">
        <v>10</v>
      </c>
      <c r="S91" s="23">
        <v>10</v>
      </c>
      <c r="T91" s="23">
        <v>10</v>
      </c>
      <c r="U91" s="13">
        <v>10</v>
      </c>
      <c r="V91" s="23">
        <v>10</v>
      </c>
      <c r="W91" s="13">
        <v>10</v>
      </c>
      <c r="X91" s="13">
        <v>10</v>
      </c>
      <c r="Y91" s="13" t="s">
        <v>10</v>
      </c>
      <c r="Z91" s="23">
        <v>10</v>
      </c>
      <c r="AA91" s="23">
        <v>10</v>
      </c>
      <c r="AB91" s="23">
        <v>10</v>
      </c>
      <c r="AC91" s="23">
        <v>10</v>
      </c>
      <c r="AD91" s="13">
        <v>10</v>
      </c>
      <c r="AE91" s="23">
        <v>10</v>
      </c>
      <c r="AF91" s="23" t="s">
        <v>10</v>
      </c>
      <c r="AG91" s="23">
        <v>10</v>
      </c>
      <c r="AH91" s="23">
        <v>10</v>
      </c>
      <c r="AI91" s="22">
        <f t="shared" si="16"/>
        <v>260</v>
      </c>
      <c r="AJ91" s="2"/>
      <c r="AK91" s="14">
        <f t="shared" ref="AK91:AK94" si="18">AI91*AJ91</f>
        <v>0</v>
      </c>
      <c r="AL91" s="2" t="s">
        <v>164</v>
      </c>
    </row>
    <row r="92" spans="1:38" ht="19.899999999999999" customHeight="1" x14ac:dyDescent="0.25">
      <c r="A92" s="2">
        <v>90</v>
      </c>
      <c r="B92" s="7">
        <v>330</v>
      </c>
      <c r="C92" s="4" t="s">
        <v>112</v>
      </c>
      <c r="D92" s="2" t="s">
        <v>84</v>
      </c>
      <c r="E92" s="23" t="s">
        <v>32</v>
      </c>
      <c r="F92" s="23">
        <v>11</v>
      </c>
      <c r="G92" s="13">
        <v>11</v>
      </c>
      <c r="H92" s="23">
        <v>11</v>
      </c>
      <c r="I92" s="13" t="s">
        <v>515</v>
      </c>
      <c r="J92" s="13">
        <v>11</v>
      </c>
      <c r="K92" s="13" t="s">
        <v>10</v>
      </c>
      <c r="L92" s="23">
        <v>11</v>
      </c>
      <c r="M92" s="23">
        <v>11</v>
      </c>
      <c r="N92" s="13">
        <v>11</v>
      </c>
      <c r="O92" s="23">
        <v>11</v>
      </c>
      <c r="P92" s="13">
        <v>11</v>
      </c>
      <c r="Q92" s="13">
        <v>11</v>
      </c>
      <c r="R92" s="13" t="s">
        <v>10</v>
      </c>
      <c r="S92" s="23">
        <v>11</v>
      </c>
      <c r="T92" s="23">
        <v>11</v>
      </c>
      <c r="U92" s="13">
        <v>11</v>
      </c>
      <c r="V92" s="23">
        <v>11</v>
      </c>
      <c r="W92" s="13">
        <v>11</v>
      </c>
      <c r="X92" s="13">
        <v>11</v>
      </c>
      <c r="Y92" s="13" t="s">
        <v>10</v>
      </c>
      <c r="Z92" s="23">
        <v>11</v>
      </c>
      <c r="AA92" s="23">
        <v>11</v>
      </c>
      <c r="AB92" s="23">
        <v>11</v>
      </c>
      <c r="AC92" s="23">
        <v>11</v>
      </c>
      <c r="AD92" s="13">
        <v>11</v>
      </c>
      <c r="AE92" s="23">
        <v>11</v>
      </c>
      <c r="AF92" s="23">
        <v>11</v>
      </c>
      <c r="AG92" s="23">
        <v>11</v>
      </c>
      <c r="AH92" s="23">
        <v>11</v>
      </c>
      <c r="AI92" s="22">
        <f t="shared" si="16"/>
        <v>275</v>
      </c>
      <c r="AJ92" s="2"/>
      <c r="AK92" s="14">
        <f t="shared" si="18"/>
        <v>0</v>
      </c>
      <c r="AL92" s="2" t="s">
        <v>164</v>
      </c>
    </row>
    <row r="93" spans="1:38" ht="19.899999999999999" customHeight="1" x14ac:dyDescent="0.25">
      <c r="A93" s="2">
        <v>91</v>
      </c>
      <c r="B93" s="7">
        <v>336</v>
      </c>
      <c r="C93" s="4" t="s">
        <v>338</v>
      </c>
      <c r="D93" s="2" t="s">
        <v>84</v>
      </c>
      <c r="E93" s="23">
        <v>10</v>
      </c>
      <c r="F93" s="23">
        <v>10</v>
      </c>
      <c r="G93" s="13">
        <v>10</v>
      </c>
      <c r="H93" s="23">
        <v>10</v>
      </c>
      <c r="I93" s="13">
        <v>10</v>
      </c>
      <c r="J93" s="13">
        <v>10</v>
      </c>
      <c r="K93" s="13" t="s">
        <v>10</v>
      </c>
      <c r="L93" s="23">
        <v>10</v>
      </c>
      <c r="M93" s="23">
        <v>10</v>
      </c>
      <c r="N93" s="13">
        <v>10</v>
      </c>
      <c r="O93" s="23">
        <v>10</v>
      </c>
      <c r="P93" s="13">
        <v>10</v>
      </c>
      <c r="Q93" s="13">
        <v>10</v>
      </c>
      <c r="R93" s="13" t="s">
        <v>10</v>
      </c>
      <c r="S93" s="23">
        <v>10</v>
      </c>
      <c r="T93" s="23">
        <v>10</v>
      </c>
      <c r="U93" s="13">
        <v>10</v>
      </c>
      <c r="V93" s="23">
        <v>10</v>
      </c>
      <c r="W93" s="13">
        <v>10</v>
      </c>
      <c r="X93" s="13">
        <v>10</v>
      </c>
      <c r="Y93" s="13" t="s">
        <v>10</v>
      </c>
      <c r="Z93" s="23">
        <v>10</v>
      </c>
      <c r="AA93" s="23">
        <v>10</v>
      </c>
      <c r="AB93" s="23">
        <v>10</v>
      </c>
      <c r="AC93" s="23">
        <v>10</v>
      </c>
      <c r="AD93" s="13">
        <v>10</v>
      </c>
      <c r="AE93" s="23">
        <v>10</v>
      </c>
      <c r="AF93" s="23" t="s">
        <v>10</v>
      </c>
      <c r="AG93" s="23">
        <v>10</v>
      </c>
      <c r="AH93" s="23">
        <v>10</v>
      </c>
      <c r="AI93" s="22">
        <f t="shared" si="16"/>
        <v>260</v>
      </c>
      <c r="AJ93" s="2"/>
      <c r="AK93" s="14">
        <f t="shared" si="18"/>
        <v>0</v>
      </c>
      <c r="AL93" s="2" t="s">
        <v>164</v>
      </c>
    </row>
    <row r="94" spans="1:38" ht="19.899999999999999" customHeight="1" x14ac:dyDescent="0.25">
      <c r="A94" s="2">
        <v>92</v>
      </c>
      <c r="B94" s="7">
        <v>370</v>
      </c>
      <c r="C94" s="4" t="s">
        <v>438</v>
      </c>
      <c r="D94" s="2" t="s">
        <v>84</v>
      </c>
      <c r="E94" s="23" t="s">
        <v>32</v>
      </c>
      <c r="F94" s="23">
        <v>10</v>
      </c>
      <c r="G94" s="13">
        <v>10</v>
      </c>
      <c r="H94" s="23">
        <v>10</v>
      </c>
      <c r="I94" s="13">
        <v>10</v>
      </c>
      <c r="J94" s="13">
        <v>10</v>
      </c>
      <c r="K94" s="13" t="s">
        <v>10</v>
      </c>
      <c r="L94" s="23">
        <v>10</v>
      </c>
      <c r="M94" s="23">
        <v>10</v>
      </c>
      <c r="N94" s="13">
        <v>10</v>
      </c>
      <c r="O94" s="23">
        <v>10</v>
      </c>
      <c r="P94" s="13">
        <v>10</v>
      </c>
      <c r="Q94" s="13">
        <v>10</v>
      </c>
      <c r="R94" s="13" t="s">
        <v>10</v>
      </c>
      <c r="S94" s="23">
        <v>10</v>
      </c>
      <c r="T94" s="23">
        <v>10</v>
      </c>
      <c r="U94" s="13">
        <v>10</v>
      </c>
      <c r="V94" s="23">
        <v>10</v>
      </c>
      <c r="W94" s="13">
        <v>10</v>
      </c>
      <c r="X94" s="13">
        <v>10</v>
      </c>
      <c r="Y94" s="13" t="s">
        <v>10</v>
      </c>
      <c r="Z94" s="23">
        <v>10</v>
      </c>
      <c r="AA94" s="23">
        <v>10</v>
      </c>
      <c r="AB94" s="23">
        <v>10</v>
      </c>
      <c r="AC94" s="23">
        <v>10</v>
      </c>
      <c r="AD94" s="13">
        <v>10</v>
      </c>
      <c r="AE94" s="23">
        <v>10</v>
      </c>
      <c r="AF94" s="23" t="s">
        <v>10</v>
      </c>
      <c r="AG94" s="23">
        <v>10</v>
      </c>
      <c r="AH94" s="23">
        <v>10</v>
      </c>
      <c r="AI94" s="22">
        <f t="shared" si="16"/>
        <v>250</v>
      </c>
      <c r="AJ94" s="2"/>
      <c r="AK94" s="14">
        <f t="shared" si="18"/>
        <v>0</v>
      </c>
      <c r="AL94" s="2" t="s">
        <v>164</v>
      </c>
    </row>
    <row r="95" spans="1:38" ht="19.899999999999999" customHeight="1" x14ac:dyDescent="0.25">
      <c r="A95" s="2">
        <v>93</v>
      </c>
      <c r="B95" s="7" t="s">
        <v>545</v>
      </c>
      <c r="C95" s="4" t="s">
        <v>546</v>
      </c>
      <c r="D95" s="2" t="s">
        <v>84</v>
      </c>
      <c r="E95" s="23">
        <v>11</v>
      </c>
      <c r="F95" s="23">
        <v>11</v>
      </c>
      <c r="G95" s="13">
        <v>11</v>
      </c>
      <c r="H95" s="23">
        <v>11</v>
      </c>
      <c r="I95" s="13" t="s">
        <v>515</v>
      </c>
      <c r="J95" s="13">
        <v>11</v>
      </c>
      <c r="K95" s="13" t="s">
        <v>10</v>
      </c>
      <c r="L95" s="23">
        <v>11</v>
      </c>
      <c r="M95" s="23">
        <v>11</v>
      </c>
      <c r="N95" s="13">
        <v>11</v>
      </c>
      <c r="O95" s="23">
        <v>11</v>
      </c>
      <c r="P95" s="13">
        <v>11</v>
      </c>
      <c r="Q95" s="13">
        <v>11</v>
      </c>
      <c r="R95" s="13" t="s">
        <v>10</v>
      </c>
      <c r="S95" s="23">
        <v>11</v>
      </c>
      <c r="T95" s="23">
        <v>11</v>
      </c>
      <c r="U95" s="13">
        <v>11</v>
      </c>
      <c r="V95" s="23">
        <v>11</v>
      </c>
      <c r="W95" s="13">
        <v>11</v>
      </c>
      <c r="X95" s="13">
        <v>11</v>
      </c>
      <c r="Y95" s="13" t="s">
        <v>10</v>
      </c>
      <c r="Z95" s="23">
        <v>11</v>
      </c>
      <c r="AA95" s="23">
        <v>11</v>
      </c>
      <c r="AB95" s="23">
        <v>11</v>
      </c>
      <c r="AC95" s="23">
        <v>11</v>
      </c>
      <c r="AD95" s="13">
        <v>11</v>
      </c>
      <c r="AE95" s="23">
        <v>11</v>
      </c>
      <c r="AF95" s="23">
        <v>11</v>
      </c>
      <c r="AG95" s="23">
        <v>11</v>
      </c>
      <c r="AH95" s="23">
        <v>11</v>
      </c>
      <c r="AI95" s="22">
        <f t="shared" si="16"/>
        <v>286</v>
      </c>
      <c r="AJ95" s="2"/>
      <c r="AK95" s="14">
        <f t="shared" ref="AK95:AK97" si="19">AI95*AJ95</f>
        <v>0</v>
      </c>
      <c r="AL95" s="2" t="s">
        <v>164</v>
      </c>
    </row>
    <row r="96" spans="1:38" ht="19.899999999999999" customHeight="1" x14ac:dyDescent="0.25">
      <c r="A96" s="2">
        <v>94</v>
      </c>
      <c r="B96" s="7">
        <v>321</v>
      </c>
      <c r="C96" s="4" t="s">
        <v>313</v>
      </c>
      <c r="D96" s="2" t="s">
        <v>84</v>
      </c>
      <c r="E96" s="23">
        <v>11</v>
      </c>
      <c r="F96" s="23">
        <v>11</v>
      </c>
      <c r="G96" s="13">
        <v>11</v>
      </c>
      <c r="H96" s="23">
        <v>11</v>
      </c>
      <c r="I96" s="13" t="s">
        <v>515</v>
      </c>
      <c r="J96" s="13">
        <v>11</v>
      </c>
      <c r="K96" s="13" t="s">
        <v>10</v>
      </c>
      <c r="L96" s="23">
        <v>11</v>
      </c>
      <c r="M96" s="23">
        <v>11</v>
      </c>
      <c r="N96" s="13">
        <v>11</v>
      </c>
      <c r="O96" s="23">
        <v>11</v>
      </c>
      <c r="P96" s="13">
        <v>11</v>
      </c>
      <c r="Q96" s="13">
        <v>11</v>
      </c>
      <c r="R96" s="13" t="s">
        <v>10</v>
      </c>
      <c r="S96" s="23">
        <v>11</v>
      </c>
      <c r="T96" s="23">
        <v>11</v>
      </c>
      <c r="U96" s="13">
        <v>11</v>
      </c>
      <c r="V96" s="23">
        <v>11</v>
      </c>
      <c r="W96" s="13">
        <v>11</v>
      </c>
      <c r="X96" s="13">
        <v>11</v>
      </c>
      <c r="Y96" s="13" t="s">
        <v>10</v>
      </c>
      <c r="Z96" s="23">
        <v>11</v>
      </c>
      <c r="AA96" s="23">
        <v>11</v>
      </c>
      <c r="AB96" s="23">
        <v>11</v>
      </c>
      <c r="AC96" s="23">
        <v>11</v>
      </c>
      <c r="AD96" s="13">
        <v>11</v>
      </c>
      <c r="AE96" s="23">
        <v>11</v>
      </c>
      <c r="AF96" s="23">
        <v>11</v>
      </c>
      <c r="AG96" s="23">
        <v>11</v>
      </c>
      <c r="AH96" s="23">
        <v>11</v>
      </c>
      <c r="AI96" s="22">
        <f t="shared" si="16"/>
        <v>286</v>
      </c>
      <c r="AJ96" s="2"/>
      <c r="AK96" s="14">
        <f t="shared" si="19"/>
        <v>0</v>
      </c>
      <c r="AL96" s="2" t="s">
        <v>164</v>
      </c>
    </row>
    <row r="97" spans="1:38" ht="19.899999999999999" customHeight="1" x14ac:dyDescent="0.25">
      <c r="A97" s="2">
        <v>95</v>
      </c>
      <c r="B97" s="7">
        <v>374</v>
      </c>
      <c r="C97" s="4" t="s">
        <v>439</v>
      </c>
      <c r="D97" s="2" t="s">
        <v>84</v>
      </c>
      <c r="E97" s="23">
        <v>10</v>
      </c>
      <c r="F97" s="23">
        <v>10</v>
      </c>
      <c r="G97" s="13">
        <v>10</v>
      </c>
      <c r="H97" s="23">
        <v>10</v>
      </c>
      <c r="I97" s="13">
        <v>10</v>
      </c>
      <c r="J97" s="13">
        <v>10</v>
      </c>
      <c r="K97" s="13">
        <v>10</v>
      </c>
      <c r="L97" s="23">
        <v>10</v>
      </c>
      <c r="M97" s="23">
        <v>10</v>
      </c>
      <c r="N97" s="13">
        <v>10</v>
      </c>
      <c r="O97" s="23">
        <v>10</v>
      </c>
      <c r="P97" s="13">
        <v>10</v>
      </c>
      <c r="Q97" s="13">
        <v>10</v>
      </c>
      <c r="R97" s="13">
        <v>10</v>
      </c>
      <c r="S97" s="23">
        <v>10</v>
      </c>
      <c r="T97" s="23">
        <v>10</v>
      </c>
      <c r="U97" s="13">
        <v>10</v>
      </c>
      <c r="V97" s="23">
        <v>10</v>
      </c>
      <c r="W97" s="13">
        <v>10</v>
      </c>
      <c r="X97" s="13">
        <v>10</v>
      </c>
      <c r="Y97" s="13" t="s">
        <v>10</v>
      </c>
      <c r="Z97" s="23">
        <v>10</v>
      </c>
      <c r="AA97" s="23">
        <v>10</v>
      </c>
      <c r="AB97" s="23">
        <v>10</v>
      </c>
      <c r="AC97" s="23">
        <v>10</v>
      </c>
      <c r="AD97" s="13">
        <v>10</v>
      </c>
      <c r="AE97" s="23">
        <v>10</v>
      </c>
      <c r="AF97" s="23">
        <v>10</v>
      </c>
      <c r="AG97" s="23">
        <v>10</v>
      </c>
      <c r="AH97" s="23">
        <v>10</v>
      </c>
      <c r="AI97" s="22">
        <f t="shared" si="16"/>
        <v>290</v>
      </c>
      <c r="AJ97" s="21"/>
      <c r="AK97" s="14">
        <f t="shared" si="19"/>
        <v>0</v>
      </c>
      <c r="AL97" s="2" t="s">
        <v>164</v>
      </c>
    </row>
    <row r="98" spans="1:38" ht="19.899999999999999" customHeight="1" x14ac:dyDescent="0.25">
      <c r="A98" s="2">
        <v>96</v>
      </c>
      <c r="B98" s="7" t="s">
        <v>304</v>
      </c>
      <c r="C98" s="4" t="s">
        <v>149</v>
      </c>
      <c r="D98" s="2" t="s">
        <v>84</v>
      </c>
      <c r="E98" s="23">
        <v>11</v>
      </c>
      <c r="F98" s="23">
        <v>11</v>
      </c>
      <c r="G98" s="13">
        <v>11</v>
      </c>
      <c r="H98" s="23">
        <v>8</v>
      </c>
      <c r="I98" s="13">
        <v>11</v>
      </c>
      <c r="J98" s="13">
        <v>11</v>
      </c>
      <c r="K98" s="13" t="s">
        <v>10</v>
      </c>
      <c r="L98" s="23">
        <v>11</v>
      </c>
      <c r="M98" s="23">
        <v>11</v>
      </c>
      <c r="N98" s="13">
        <v>11</v>
      </c>
      <c r="O98" s="23">
        <v>11</v>
      </c>
      <c r="P98" s="13">
        <v>11</v>
      </c>
      <c r="Q98" s="13">
        <v>11</v>
      </c>
      <c r="R98" s="13" t="s">
        <v>10</v>
      </c>
      <c r="S98" s="23">
        <v>11</v>
      </c>
      <c r="T98" s="23">
        <v>11</v>
      </c>
      <c r="U98" s="13">
        <v>11</v>
      </c>
      <c r="V98" s="23">
        <v>11</v>
      </c>
      <c r="W98" s="13">
        <v>11</v>
      </c>
      <c r="X98" s="13">
        <v>11</v>
      </c>
      <c r="Y98" s="13" t="s">
        <v>10</v>
      </c>
      <c r="Z98" s="23">
        <v>11</v>
      </c>
      <c r="AA98" s="23">
        <v>11</v>
      </c>
      <c r="AB98" s="23">
        <v>11</v>
      </c>
      <c r="AC98" s="23">
        <v>11</v>
      </c>
      <c r="AD98" s="13">
        <v>11</v>
      </c>
      <c r="AE98" s="23">
        <v>11</v>
      </c>
      <c r="AF98" s="23" t="s">
        <v>10</v>
      </c>
      <c r="AG98" s="23">
        <v>11</v>
      </c>
      <c r="AH98" s="23">
        <v>11</v>
      </c>
      <c r="AI98" s="22">
        <f t="shared" si="16"/>
        <v>283</v>
      </c>
      <c r="AJ98" s="2"/>
      <c r="AK98" s="14">
        <f t="shared" ref="AK98:AK101" si="20">AI98*AJ98</f>
        <v>0</v>
      </c>
      <c r="AL98" s="2" t="s">
        <v>344</v>
      </c>
    </row>
    <row r="99" spans="1:38" ht="19.899999999999999" customHeight="1" x14ac:dyDescent="0.25">
      <c r="A99" s="2">
        <v>97</v>
      </c>
      <c r="B99" s="7" t="s">
        <v>108</v>
      </c>
      <c r="C99" s="4" t="s">
        <v>109</v>
      </c>
      <c r="D99" s="2" t="s">
        <v>84</v>
      </c>
      <c r="E99" s="23">
        <v>11</v>
      </c>
      <c r="F99" s="23">
        <v>11</v>
      </c>
      <c r="G99" s="13">
        <v>11</v>
      </c>
      <c r="H99" s="23">
        <v>11</v>
      </c>
      <c r="I99" s="13">
        <v>11</v>
      </c>
      <c r="J99" s="13">
        <v>11</v>
      </c>
      <c r="K99" s="13" t="s">
        <v>10</v>
      </c>
      <c r="L99" s="23">
        <v>11</v>
      </c>
      <c r="M99" s="23">
        <v>11</v>
      </c>
      <c r="N99" s="13">
        <v>11</v>
      </c>
      <c r="O99" s="23">
        <v>11</v>
      </c>
      <c r="P99" s="13">
        <v>11</v>
      </c>
      <c r="Q99" s="13">
        <v>11</v>
      </c>
      <c r="R99" s="13" t="s">
        <v>10</v>
      </c>
      <c r="S99" s="23">
        <v>11</v>
      </c>
      <c r="T99" s="23">
        <v>11</v>
      </c>
      <c r="U99" s="13">
        <v>11</v>
      </c>
      <c r="V99" s="23">
        <v>11</v>
      </c>
      <c r="W99" s="13">
        <v>11</v>
      </c>
      <c r="X99" s="13">
        <v>11</v>
      </c>
      <c r="Y99" s="13" t="s">
        <v>10</v>
      </c>
      <c r="Z99" s="23" t="s">
        <v>32</v>
      </c>
      <c r="AA99" s="23">
        <v>11</v>
      </c>
      <c r="AB99" s="23">
        <v>11</v>
      </c>
      <c r="AC99" s="23">
        <v>11</v>
      </c>
      <c r="AD99" s="13">
        <v>11</v>
      </c>
      <c r="AE99" s="23">
        <v>11</v>
      </c>
      <c r="AF99" s="23" t="s">
        <v>10</v>
      </c>
      <c r="AG99" s="23">
        <v>11</v>
      </c>
      <c r="AH99" s="23">
        <v>11</v>
      </c>
      <c r="AI99" s="22">
        <f t="shared" si="16"/>
        <v>275</v>
      </c>
      <c r="AJ99" s="21"/>
      <c r="AK99" s="14">
        <f t="shared" si="20"/>
        <v>0</v>
      </c>
      <c r="AL99" s="2" t="s">
        <v>344</v>
      </c>
    </row>
    <row r="100" spans="1:38" ht="19.899999999999999" customHeight="1" x14ac:dyDescent="0.25">
      <c r="A100" s="2">
        <v>98</v>
      </c>
      <c r="B100" s="7">
        <v>318</v>
      </c>
      <c r="C100" s="4" t="s">
        <v>388</v>
      </c>
      <c r="D100" s="2" t="s">
        <v>84</v>
      </c>
      <c r="E100" s="23">
        <v>11</v>
      </c>
      <c r="F100" s="23">
        <v>11</v>
      </c>
      <c r="G100" s="13">
        <v>11</v>
      </c>
      <c r="H100" s="23">
        <v>11</v>
      </c>
      <c r="I100" s="13">
        <v>11</v>
      </c>
      <c r="J100" s="13">
        <v>11</v>
      </c>
      <c r="K100" s="13" t="s">
        <v>10</v>
      </c>
      <c r="L100" s="23">
        <v>11</v>
      </c>
      <c r="M100" s="23">
        <v>11</v>
      </c>
      <c r="N100" s="13">
        <v>11</v>
      </c>
      <c r="O100" s="23">
        <v>11</v>
      </c>
      <c r="P100" s="13">
        <v>11</v>
      </c>
      <c r="Q100" s="13">
        <v>11</v>
      </c>
      <c r="R100" s="13" t="s">
        <v>10</v>
      </c>
      <c r="S100" s="23">
        <v>11</v>
      </c>
      <c r="T100" s="23">
        <v>11</v>
      </c>
      <c r="U100" s="13">
        <v>11</v>
      </c>
      <c r="V100" s="23">
        <v>11</v>
      </c>
      <c r="W100" s="13">
        <v>11</v>
      </c>
      <c r="X100" s="13">
        <v>11</v>
      </c>
      <c r="Y100" s="13" t="s">
        <v>10</v>
      </c>
      <c r="Z100" s="23">
        <v>11</v>
      </c>
      <c r="AA100" s="23">
        <v>11</v>
      </c>
      <c r="AB100" s="23">
        <v>11</v>
      </c>
      <c r="AC100" s="23">
        <v>11</v>
      </c>
      <c r="AD100" s="13">
        <v>11</v>
      </c>
      <c r="AE100" s="23">
        <v>11</v>
      </c>
      <c r="AF100" s="23" t="s">
        <v>10</v>
      </c>
      <c r="AG100" s="23">
        <v>11</v>
      </c>
      <c r="AH100" s="23">
        <v>11</v>
      </c>
      <c r="AI100" s="22">
        <f t="shared" si="16"/>
        <v>286</v>
      </c>
      <c r="AJ100" s="21"/>
      <c r="AK100" s="14">
        <f t="shared" si="20"/>
        <v>0</v>
      </c>
      <c r="AL100" s="2" t="s">
        <v>344</v>
      </c>
    </row>
    <row r="101" spans="1:38" ht="19.899999999999999" customHeight="1" x14ac:dyDescent="0.25">
      <c r="A101" s="2">
        <v>99</v>
      </c>
      <c r="B101" s="7">
        <v>341</v>
      </c>
      <c r="C101" s="4" t="s">
        <v>347</v>
      </c>
      <c r="D101" s="2" t="s">
        <v>84</v>
      </c>
      <c r="E101" s="23">
        <v>11</v>
      </c>
      <c r="F101" s="23">
        <v>11</v>
      </c>
      <c r="G101" s="13">
        <v>11</v>
      </c>
      <c r="H101" s="23">
        <v>11</v>
      </c>
      <c r="I101" s="13">
        <v>11</v>
      </c>
      <c r="J101" s="13">
        <v>11</v>
      </c>
      <c r="K101" s="13" t="s">
        <v>10</v>
      </c>
      <c r="L101" s="23">
        <v>11</v>
      </c>
      <c r="M101" s="23">
        <v>11</v>
      </c>
      <c r="N101" s="13">
        <v>11</v>
      </c>
      <c r="O101" s="23">
        <v>11</v>
      </c>
      <c r="P101" s="13">
        <v>11</v>
      </c>
      <c r="Q101" s="13">
        <v>11</v>
      </c>
      <c r="R101" s="13">
        <v>11</v>
      </c>
      <c r="S101" s="23">
        <v>11</v>
      </c>
      <c r="T101" s="23">
        <v>11</v>
      </c>
      <c r="U101" s="13">
        <v>11</v>
      </c>
      <c r="V101" s="23">
        <v>11</v>
      </c>
      <c r="W101" s="13">
        <v>11</v>
      </c>
      <c r="X101" s="13">
        <v>11</v>
      </c>
      <c r="Y101" s="13">
        <v>11</v>
      </c>
      <c r="Z101" s="23">
        <v>11</v>
      </c>
      <c r="AA101" s="23">
        <v>11</v>
      </c>
      <c r="AB101" s="23">
        <v>11</v>
      </c>
      <c r="AC101" s="23">
        <v>11</v>
      </c>
      <c r="AD101" s="13">
        <v>11</v>
      </c>
      <c r="AE101" s="23">
        <v>11</v>
      </c>
      <c r="AF101" s="23" t="s">
        <v>10</v>
      </c>
      <c r="AG101" s="23">
        <v>11</v>
      </c>
      <c r="AH101" s="23">
        <v>11</v>
      </c>
      <c r="AI101" s="22">
        <f t="shared" si="16"/>
        <v>308</v>
      </c>
      <c r="AJ101" s="21"/>
      <c r="AK101" s="14">
        <f t="shared" si="20"/>
        <v>0</v>
      </c>
      <c r="AL101" s="2" t="s">
        <v>344</v>
      </c>
    </row>
    <row r="102" spans="1:38" ht="19.899999999999999" customHeight="1" x14ac:dyDescent="0.25">
      <c r="A102" s="2">
        <v>100</v>
      </c>
      <c r="B102" s="7">
        <v>342</v>
      </c>
      <c r="C102" s="4" t="s">
        <v>348</v>
      </c>
      <c r="D102" s="2" t="s">
        <v>84</v>
      </c>
      <c r="E102" s="23">
        <v>11</v>
      </c>
      <c r="F102" s="23">
        <v>11</v>
      </c>
      <c r="G102" s="13">
        <v>11</v>
      </c>
      <c r="H102" s="23">
        <v>11</v>
      </c>
      <c r="I102" s="13">
        <v>11</v>
      </c>
      <c r="J102" s="13">
        <v>11</v>
      </c>
      <c r="K102" s="13" t="s">
        <v>10</v>
      </c>
      <c r="L102" s="23">
        <v>11</v>
      </c>
      <c r="M102" s="23">
        <v>11</v>
      </c>
      <c r="N102" s="13">
        <v>11</v>
      </c>
      <c r="O102" s="23">
        <v>11</v>
      </c>
      <c r="P102" s="13">
        <v>11</v>
      </c>
      <c r="Q102" s="13">
        <v>11</v>
      </c>
      <c r="R102" s="13">
        <v>11</v>
      </c>
      <c r="S102" s="23">
        <v>11</v>
      </c>
      <c r="T102" s="23">
        <v>11</v>
      </c>
      <c r="U102" s="13">
        <v>11</v>
      </c>
      <c r="V102" s="23">
        <v>11</v>
      </c>
      <c r="W102" s="13">
        <v>11</v>
      </c>
      <c r="X102" s="13">
        <v>11</v>
      </c>
      <c r="Y102" s="13">
        <v>11</v>
      </c>
      <c r="Z102" s="23">
        <v>11</v>
      </c>
      <c r="AA102" s="23">
        <v>11</v>
      </c>
      <c r="AB102" s="23">
        <v>11</v>
      </c>
      <c r="AC102" s="23">
        <v>11</v>
      </c>
      <c r="AD102" s="13">
        <v>11</v>
      </c>
      <c r="AE102" s="23">
        <v>11</v>
      </c>
      <c r="AF102" s="23">
        <v>11</v>
      </c>
      <c r="AG102" s="23">
        <v>11</v>
      </c>
      <c r="AH102" s="23">
        <v>11</v>
      </c>
      <c r="AI102" s="22">
        <f t="shared" si="16"/>
        <v>319</v>
      </c>
      <c r="AJ102" s="21"/>
      <c r="AK102" s="14">
        <f>AI102*AJ102</f>
        <v>0</v>
      </c>
      <c r="AL102" s="2" t="s">
        <v>344</v>
      </c>
    </row>
    <row r="103" spans="1:38" ht="19.899999999999999" customHeight="1" x14ac:dyDescent="0.25">
      <c r="A103" s="2">
        <v>101</v>
      </c>
      <c r="B103" s="7">
        <v>337</v>
      </c>
      <c r="C103" s="4" t="s">
        <v>345</v>
      </c>
      <c r="D103" s="2" t="s">
        <v>84</v>
      </c>
      <c r="E103" s="23">
        <v>11</v>
      </c>
      <c r="F103" s="23">
        <v>11</v>
      </c>
      <c r="G103" s="13">
        <v>11</v>
      </c>
      <c r="H103" s="23">
        <v>11</v>
      </c>
      <c r="I103" s="13">
        <v>11</v>
      </c>
      <c r="J103" s="13">
        <v>11</v>
      </c>
      <c r="K103" s="13" t="s">
        <v>10</v>
      </c>
      <c r="L103" s="23">
        <v>11</v>
      </c>
      <c r="M103" s="23">
        <v>11</v>
      </c>
      <c r="N103" s="13">
        <v>11</v>
      </c>
      <c r="O103" s="23">
        <v>11</v>
      </c>
      <c r="P103" s="13">
        <v>11</v>
      </c>
      <c r="Q103" s="13">
        <v>11</v>
      </c>
      <c r="R103" s="13">
        <v>11</v>
      </c>
      <c r="S103" s="23">
        <v>11</v>
      </c>
      <c r="T103" s="23">
        <v>11</v>
      </c>
      <c r="U103" s="13">
        <v>11</v>
      </c>
      <c r="V103" s="23">
        <v>11</v>
      </c>
      <c r="W103" s="13">
        <v>11</v>
      </c>
      <c r="X103" s="13">
        <v>11</v>
      </c>
      <c r="Y103" s="13" t="s">
        <v>10</v>
      </c>
      <c r="Z103" s="23">
        <v>11</v>
      </c>
      <c r="AA103" s="23">
        <v>11</v>
      </c>
      <c r="AB103" s="23">
        <v>11</v>
      </c>
      <c r="AC103" s="23">
        <v>11</v>
      </c>
      <c r="AD103" s="13">
        <v>11</v>
      </c>
      <c r="AE103" s="23">
        <v>11</v>
      </c>
      <c r="AF103" s="23" t="s">
        <v>10</v>
      </c>
      <c r="AG103" s="23">
        <v>11</v>
      </c>
      <c r="AH103" s="23">
        <v>11</v>
      </c>
      <c r="AI103" s="22">
        <f t="shared" si="16"/>
        <v>297</v>
      </c>
      <c r="AJ103" s="21"/>
      <c r="AK103" s="14">
        <f>AI103*AJ103</f>
        <v>0</v>
      </c>
      <c r="AL103" s="2" t="s">
        <v>344</v>
      </c>
    </row>
    <row r="104" spans="1:38" ht="19.899999999999999" customHeight="1" x14ac:dyDescent="0.25">
      <c r="A104" s="2">
        <v>102</v>
      </c>
      <c r="B104" s="7">
        <v>338</v>
      </c>
      <c r="C104" s="4" t="s">
        <v>346</v>
      </c>
      <c r="D104" s="2" t="s">
        <v>84</v>
      </c>
      <c r="E104" s="23">
        <v>13</v>
      </c>
      <c r="F104" s="23">
        <v>11</v>
      </c>
      <c r="G104" s="13">
        <v>13</v>
      </c>
      <c r="H104" s="23">
        <v>13</v>
      </c>
      <c r="I104" s="13">
        <v>11</v>
      </c>
      <c r="J104" s="13">
        <v>11</v>
      </c>
      <c r="K104" s="13" t="s">
        <v>10</v>
      </c>
      <c r="L104" s="23">
        <v>11</v>
      </c>
      <c r="M104" s="23">
        <v>13</v>
      </c>
      <c r="N104" s="13">
        <v>11</v>
      </c>
      <c r="O104" s="23">
        <v>11</v>
      </c>
      <c r="P104" s="13">
        <v>11</v>
      </c>
      <c r="Q104" s="13">
        <v>11</v>
      </c>
      <c r="R104" s="13">
        <v>11</v>
      </c>
      <c r="S104" s="23">
        <v>11</v>
      </c>
      <c r="T104" s="23">
        <v>11</v>
      </c>
      <c r="U104" s="13">
        <v>11</v>
      </c>
      <c r="V104" s="23">
        <v>11</v>
      </c>
      <c r="W104" s="13">
        <v>11</v>
      </c>
      <c r="X104" s="13">
        <v>11</v>
      </c>
      <c r="Y104" s="13" t="s">
        <v>10</v>
      </c>
      <c r="Z104" s="23">
        <v>11</v>
      </c>
      <c r="AA104" s="23">
        <v>11</v>
      </c>
      <c r="AB104" s="23">
        <v>11</v>
      </c>
      <c r="AC104" s="23">
        <v>11</v>
      </c>
      <c r="AD104" s="13">
        <v>11</v>
      </c>
      <c r="AE104" s="23">
        <v>11</v>
      </c>
      <c r="AF104" s="23">
        <v>11</v>
      </c>
      <c r="AG104" s="23">
        <v>11</v>
      </c>
      <c r="AH104" s="23">
        <v>13</v>
      </c>
      <c r="AI104" s="22">
        <f t="shared" si="16"/>
        <v>318</v>
      </c>
      <c r="AJ104" s="21"/>
      <c r="AK104" s="14">
        <f>AI104*AJ104</f>
        <v>0</v>
      </c>
      <c r="AL104" s="2" t="s">
        <v>344</v>
      </c>
    </row>
    <row r="105" spans="1:38" ht="19.899999999999999" customHeight="1" x14ac:dyDescent="0.25">
      <c r="A105" s="2">
        <v>103</v>
      </c>
      <c r="B105" s="7" t="s">
        <v>104</v>
      </c>
      <c r="C105" s="4" t="s">
        <v>105</v>
      </c>
      <c r="D105" s="2" t="s">
        <v>84</v>
      </c>
      <c r="E105" s="23">
        <v>11</v>
      </c>
      <c r="F105" s="23">
        <v>11</v>
      </c>
      <c r="G105" s="13">
        <v>11</v>
      </c>
      <c r="H105" s="23">
        <v>11</v>
      </c>
      <c r="I105" s="13">
        <v>11</v>
      </c>
      <c r="J105" s="13">
        <v>11</v>
      </c>
      <c r="K105" s="13" t="s">
        <v>10</v>
      </c>
      <c r="L105" s="23">
        <v>11</v>
      </c>
      <c r="M105" s="23">
        <v>11</v>
      </c>
      <c r="N105" s="13">
        <v>11</v>
      </c>
      <c r="O105" s="23">
        <v>11</v>
      </c>
      <c r="P105" s="13">
        <v>11</v>
      </c>
      <c r="Q105" s="13">
        <v>11</v>
      </c>
      <c r="R105" s="13" t="s">
        <v>10</v>
      </c>
      <c r="S105" s="23">
        <v>11</v>
      </c>
      <c r="T105" s="23">
        <v>11</v>
      </c>
      <c r="U105" s="13">
        <v>11</v>
      </c>
      <c r="V105" s="23">
        <v>11</v>
      </c>
      <c r="W105" s="13">
        <v>11</v>
      </c>
      <c r="X105" s="13">
        <v>11</v>
      </c>
      <c r="Y105" s="13" t="s">
        <v>10</v>
      </c>
      <c r="Z105" s="23">
        <v>11</v>
      </c>
      <c r="AA105" s="23">
        <v>11</v>
      </c>
      <c r="AB105" s="23">
        <v>11</v>
      </c>
      <c r="AC105" s="23">
        <v>11</v>
      </c>
      <c r="AD105" s="13">
        <v>11</v>
      </c>
      <c r="AE105" s="23">
        <v>11</v>
      </c>
      <c r="AF105" s="23" t="s">
        <v>10</v>
      </c>
      <c r="AG105" s="23">
        <v>11</v>
      </c>
      <c r="AH105" s="23">
        <v>11</v>
      </c>
      <c r="AI105" s="22">
        <f t="shared" si="16"/>
        <v>286</v>
      </c>
      <c r="AJ105" s="2"/>
      <c r="AK105" s="14">
        <f t="shared" ref="AK105:AK109" si="21">AI105*AJ105</f>
        <v>0</v>
      </c>
      <c r="AL105" s="2" t="s">
        <v>344</v>
      </c>
    </row>
    <row r="106" spans="1:38" ht="19.899999999999999" customHeight="1" x14ac:dyDescent="0.25">
      <c r="A106" s="2">
        <v>104</v>
      </c>
      <c r="B106" s="7" t="s">
        <v>89</v>
      </c>
      <c r="C106" s="4" t="s">
        <v>349</v>
      </c>
      <c r="D106" s="2" t="s">
        <v>84</v>
      </c>
      <c r="E106" s="23">
        <v>11</v>
      </c>
      <c r="F106" s="23">
        <v>11</v>
      </c>
      <c r="G106" s="13">
        <v>11</v>
      </c>
      <c r="H106" s="23">
        <v>11</v>
      </c>
      <c r="I106" s="13">
        <v>11</v>
      </c>
      <c r="J106" s="13">
        <v>11</v>
      </c>
      <c r="K106" s="13" t="s">
        <v>10</v>
      </c>
      <c r="L106" s="23">
        <v>11</v>
      </c>
      <c r="M106" s="23">
        <v>11</v>
      </c>
      <c r="N106" s="13">
        <v>11</v>
      </c>
      <c r="O106" s="23">
        <v>11</v>
      </c>
      <c r="P106" s="13">
        <v>11</v>
      </c>
      <c r="Q106" s="13">
        <v>11</v>
      </c>
      <c r="R106" s="13" t="s">
        <v>10</v>
      </c>
      <c r="S106" s="23">
        <v>11</v>
      </c>
      <c r="T106" s="23">
        <v>11</v>
      </c>
      <c r="U106" s="13">
        <v>11</v>
      </c>
      <c r="V106" s="23">
        <v>11</v>
      </c>
      <c r="W106" s="13">
        <v>11</v>
      </c>
      <c r="X106" s="13">
        <v>11</v>
      </c>
      <c r="Y106" s="13">
        <v>11</v>
      </c>
      <c r="Z106" s="23">
        <v>11</v>
      </c>
      <c r="AA106" s="23">
        <v>11</v>
      </c>
      <c r="AB106" s="23">
        <v>11</v>
      </c>
      <c r="AC106" s="23">
        <v>11</v>
      </c>
      <c r="AD106" s="13">
        <v>11</v>
      </c>
      <c r="AE106" s="23">
        <v>11</v>
      </c>
      <c r="AF106" s="23" t="s">
        <v>10</v>
      </c>
      <c r="AG106" s="23">
        <v>11</v>
      </c>
      <c r="AH106" s="23">
        <v>11</v>
      </c>
      <c r="AI106" s="22">
        <f t="shared" si="16"/>
        <v>297</v>
      </c>
      <c r="AJ106" s="2"/>
      <c r="AK106" s="14">
        <f t="shared" si="21"/>
        <v>0</v>
      </c>
      <c r="AL106" s="2" t="s">
        <v>344</v>
      </c>
    </row>
    <row r="107" spans="1:38" ht="19.899999999999999" customHeight="1" x14ac:dyDescent="0.25">
      <c r="A107" s="2">
        <v>105</v>
      </c>
      <c r="B107" s="7">
        <v>343</v>
      </c>
      <c r="C107" s="4" t="s">
        <v>389</v>
      </c>
      <c r="D107" s="2" t="s">
        <v>84</v>
      </c>
      <c r="E107" s="23">
        <v>11</v>
      </c>
      <c r="F107" s="23">
        <v>11</v>
      </c>
      <c r="G107" s="13">
        <v>11</v>
      </c>
      <c r="H107" s="23">
        <v>11</v>
      </c>
      <c r="I107" s="13">
        <v>11</v>
      </c>
      <c r="J107" s="13">
        <v>11</v>
      </c>
      <c r="K107" s="13" t="s">
        <v>10</v>
      </c>
      <c r="L107" s="23">
        <v>11</v>
      </c>
      <c r="M107" s="23">
        <v>11</v>
      </c>
      <c r="N107" s="13">
        <v>11</v>
      </c>
      <c r="O107" s="23">
        <v>11</v>
      </c>
      <c r="P107" s="13">
        <v>11</v>
      </c>
      <c r="Q107" s="13">
        <v>11</v>
      </c>
      <c r="R107" s="13">
        <v>11</v>
      </c>
      <c r="S107" s="23">
        <v>11</v>
      </c>
      <c r="T107" s="23">
        <v>11</v>
      </c>
      <c r="U107" s="13">
        <v>11</v>
      </c>
      <c r="V107" s="23">
        <v>11</v>
      </c>
      <c r="W107" s="13">
        <v>11</v>
      </c>
      <c r="X107" s="13">
        <v>11</v>
      </c>
      <c r="Y107" s="13">
        <v>11</v>
      </c>
      <c r="Z107" s="23">
        <v>11</v>
      </c>
      <c r="AA107" s="23">
        <v>11</v>
      </c>
      <c r="AB107" s="23">
        <v>11</v>
      </c>
      <c r="AC107" s="23">
        <v>11</v>
      </c>
      <c r="AD107" s="13">
        <v>11</v>
      </c>
      <c r="AE107" s="23">
        <v>11</v>
      </c>
      <c r="AF107" s="23" t="s">
        <v>10</v>
      </c>
      <c r="AG107" s="23">
        <v>11</v>
      </c>
      <c r="AH107" s="23">
        <v>11</v>
      </c>
      <c r="AI107" s="22">
        <f t="shared" si="16"/>
        <v>308</v>
      </c>
      <c r="AJ107" s="21"/>
      <c r="AK107" s="14">
        <f t="shared" si="21"/>
        <v>0</v>
      </c>
      <c r="AL107" s="2" t="s">
        <v>344</v>
      </c>
    </row>
    <row r="108" spans="1:38" ht="19.899999999999999" customHeight="1" x14ac:dyDescent="0.25">
      <c r="A108" s="2">
        <v>106</v>
      </c>
      <c r="B108" s="7">
        <v>345</v>
      </c>
      <c r="C108" s="4" t="s">
        <v>390</v>
      </c>
      <c r="D108" s="2" t="s">
        <v>84</v>
      </c>
      <c r="E108" s="23">
        <v>11</v>
      </c>
      <c r="F108" s="23">
        <v>11</v>
      </c>
      <c r="G108" s="13">
        <v>11</v>
      </c>
      <c r="H108" s="23">
        <v>11</v>
      </c>
      <c r="I108" s="13">
        <v>11</v>
      </c>
      <c r="J108" s="13">
        <v>11</v>
      </c>
      <c r="K108" s="13" t="s">
        <v>10</v>
      </c>
      <c r="L108" s="23">
        <v>11</v>
      </c>
      <c r="M108" s="23">
        <v>11</v>
      </c>
      <c r="N108" s="13">
        <v>11</v>
      </c>
      <c r="O108" s="23">
        <v>11</v>
      </c>
      <c r="P108" s="13">
        <v>11</v>
      </c>
      <c r="Q108" s="13">
        <v>11</v>
      </c>
      <c r="R108" s="13" t="s">
        <v>10</v>
      </c>
      <c r="S108" s="23">
        <v>11</v>
      </c>
      <c r="T108" s="23">
        <v>11</v>
      </c>
      <c r="U108" s="13">
        <v>11</v>
      </c>
      <c r="V108" s="23">
        <v>11</v>
      </c>
      <c r="W108" s="13">
        <v>11</v>
      </c>
      <c r="X108" s="13">
        <v>11</v>
      </c>
      <c r="Y108" s="13">
        <v>11</v>
      </c>
      <c r="Z108" s="23">
        <v>11</v>
      </c>
      <c r="AA108" s="23">
        <v>11</v>
      </c>
      <c r="AB108" s="23">
        <v>11</v>
      </c>
      <c r="AC108" s="23">
        <v>11</v>
      </c>
      <c r="AD108" s="13">
        <v>11</v>
      </c>
      <c r="AE108" s="23">
        <v>11</v>
      </c>
      <c r="AF108" s="23" t="s">
        <v>10</v>
      </c>
      <c r="AG108" s="23">
        <v>11</v>
      </c>
      <c r="AH108" s="23">
        <v>11</v>
      </c>
      <c r="AI108" s="22">
        <f t="shared" si="16"/>
        <v>297</v>
      </c>
      <c r="AJ108" s="21"/>
      <c r="AK108" s="14">
        <f t="shared" si="21"/>
        <v>0</v>
      </c>
      <c r="AL108" s="2" t="s">
        <v>344</v>
      </c>
    </row>
    <row r="109" spans="1:38" ht="19.899999999999999" customHeight="1" x14ac:dyDescent="0.25">
      <c r="A109" s="2">
        <v>107</v>
      </c>
      <c r="B109" s="7" t="s">
        <v>95</v>
      </c>
      <c r="C109" s="4" t="s">
        <v>96</v>
      </c>
      <c r="D109" s="2" t="s">
        <v>84</v>
      </c>
      <c r="E109" s="23">
        <v>11</v>
      </c>
      <c r="F109" s="23">
        <v>11</v>
      </c>
      <c r="G109" s="13">
        <v>11</v>
      </c>
      <c r="H109" s="23">
        <v>11</v>
      </c>
      <c r="I109" s="13">
        <v>11</v>
      </c>
      <c r="J109" s="13">
        <v>11</v>
      </c>
      <c r="K109" s="13" t="s">
        <v>10</v>
      </c>
      <c r="L109" s="23">
        <v>11</v>
      </c>
      <c r="M109" s="23">
        <v>11</v>
      </c>
      <c r="N109" s="13">
        <v>11</v>
      </c>
      <c r="O109" s="23">
        <v>11</v>
      </c>
      <c r="P109" s="13">
        <v>11</v>
      </c>
      <c r="Q109" s="13">
        <v>11</v>
      </c>
      <c r="R109" s="13" t="s">
        <v>10</v>
      </c>
      <c r="S109" s="23">
        <v>11</v>
      </c>
      <c r="T109" s="23">
        <v>11</v>
      </c>
      <c r="U109" s="13">
        <v>11</v>
      </c>
      <c r="V109" s="23">
        <v>11</v>
      </c>
      <c r="W109" s="13">
        <v>11</v>
      </c>
      <c r="X109" s="13">
        <v>11</v>
      </c>
      <c r="Y109" s="13">
        <v>11</v>
      </c>
      <c r="Z109" s="23">
        <v>11</v>
      </c>
      <c r="AA109" s="23">
        <v>11</v>
      </c>
      <c r="AB109" s="23">
        <v>11</v>
      </c>
      <c r="AC109" s="23">
        <v>11</v>
      </c>
      <c r="AD109" s="13">
        <v>11</v>
      </c>
      <c r="AE109" s="23">
        <v>11</v>
      </c>
      <c r="AF109" s="23">
        <v>11</v>
      </c>
      <c r="AG109" s="23">
        <v>11</v>
      </c>
      <c r="AH109" s="23">
        <v>11</v>
      </c>
      <c r="AI109" s="22">
        <f t="shared" si="16"/>
        <v>308</v>
      </c>
      <c r="AJ109" s="21"/>
      <c r="AK109" s="14">
        <f t="shared" si="21"/>
        <v>0</v>
      </c>
      <c r="AL109" s="2" t="s">
        <v>344</v>
      </c>
    </row>
    <row r="110" spans="1:38" ht="19.899999999999999" customHeight="1" x14ac:dyDescent="0.25">
      <c r="A110" s="2">
        <v>108</v>
      </c>
      <c r="B110" s="7" t="s">
        <v>315</v>
      </c>
      <c r="C110" s="4" t="s">
        <v>440</v>
      </c>
      <c r="D110" s="2" t="s">
        <v>84</v>
      </c>
      <c r="E110" s="23">
        <v>11</v>
      </c>
      <c r="F110" s="23">
        <v>11</v>
      </c>
      <c r="G110" s="13">
        <v>11</v>
      </c>
      <c r="H110" s="23">
        <v>11</v>
      </c>
      <c r="I110" s="13">
        <v>11</v>
      </c>
      <c r="J110" s="13">
        <v>11</v>
      </c>
      <c r="K110" s="13" t="s">
        <v>10</v>
      </c>
      <c r="L110" s="23">
        <v>11</v>
      </c>
      <c r="M110" s="23">
        <v>11</v>
      </c>
      <c r="N110" s="13">
        <v>11</v>
      </c>
      <c r="O110" s="23">
        <v>11</v>
      </c>
      <c r="P110" s="13">
        <v>11</v>
      </c>
      <c r="Q110" s="13">
        <v>11</v>
      </c>
      <c r="R110" s="13" t="s">
        <v>10</v>
      </c>
      <c r="S110" s="23">
        <v>11</v>
      </c>
      <c r="T110" s="23">
        <v>11</v>
      </c>
      <c r="U110" s="13">
        <v>11</v>
      </c>
      <c r="V110" s="23">
        <v>11</v>
      </c>
      <c r="W110" s="13">
        <v>11</v>
      </c>
      <c r="X110" s="13">
        <v>11</v>
      </c>
      <c r="Y110" s="13">
        <v>11</v>
      </c>
      <c r="Z110" s="23">
        <v>11</v>
      </c>
      <c r="AA110" s="23">
        <v>11</v>
      </c>
      <c r="AB110" s="23">
        <v>11</v>
      </c>
      <c r="AC110" s="23">
        <v>11</v>
      </c>
      <c r="AD110" s="13">
        <v>11</v>
      </c>
      <c r="AE110" s="23">
        <v>11</v>
      </c>
      <c r="AF110" s="23" t="s">
        <v>10</v>
      </c>
      <c r="AG110" s="23">
        <v>11</v>
      </c>
      <c r="AH110" s="23">
        <v>11</v>
      </c>
      <c r="AI110" s="22">
        <f t="shared" si="16"/>
        <v>297</v>
      </c>
      <c r="AJ110" s="21"/>
      <c r="AK110" s="14">
        <f>AI110*AJ110</f>
        <v>0</v>
      </c>
      <c r="AL110" s="2" t="s">
        <v>344</v>
      </c>
    </row>
    <row r="111" spans="1:38" ht="19.899999999999999" customHeight="1" x14ac:dyDescent="0.25">
      <c r="A111" s="2">
        <v>109</v>
      </c>
      <c r="B111" s="7" t="s">
        <v>102</v>
      </c>
      <c r="C111" s="4" t="s">
        <v>103</v>
      </c>
      <c r="D111" s="2" t="s">
        <v>84</v>
      </c>
      <c r="E111" s="23">
        <v>11</v>
      </c>
      <c r="F111" s="23">
        <v>11</v>
      </c>
      <c r="G111" s="13">
        <v>11</v>
      </c>
      <c r="H111" s="23">
        <v>11</v>
      </c>
      <c r="I111" s="13">
        <v>11</v>
      </c>
      <c r="J111" s="13">
        <v>11</v>
      </c>
      <c r="K111" s="13" t="s">
        <v>10</v>
      </c>
      <c r="L111" s="23">
        <v>11</v>
      </c>
      <c r="M111" s="23">
        <v>11</v>
      </c>
      <c r="N111" s="13">
        <v>11</v>
      </c>
      <c r="O111" s="23">
        <v>11</v>
      </c>
      <c r="P111" s="13">
        <v>11</v>
      </c>
      <c r="Q111" s="13">
        <v>11</v>
      </c>
      <c r="R111" s="13" t="s">
        <v>10</v>
      </c>
      <c r="S111" s="23">
        <v>11</v>
      </c>
      <c r="T111" s="23">
        <v>11</v>
      </c>
      <c r="U111" s="13">
        <v>11</v>
      </c>
      <c r="V111" s="23">
        <v>11</v>
      </c>
      <c r="W111" s="13">
        <v>11</v>
      </c>
      <c r="X111" s="13">
        <v>11</v>
      </c>
      <c r="Y111" s="13">
        <v>11</v>
      </c>
      <c r="Z111" s="23">
        <v>11</v>
      </c>
      <c r="AA111" s="23">
        <v>11</v>
      </c>
      <c r="AB111" s="23">
        <v>11</v>
      </c>
      <c r="AC111" s="23">
        <v>11</v>
      </c>
      <c r="AD111" s="13">
        <v>11</v>
      </c>
      <c r="AE111" s="23">
        <v>11</v>
      </c>
      <c r="AF111" s="23" t="s">
        <v>10</v>
      </c>
      <c r="AG111" s="23">
        <v>11</v>
      </c>
      <c r="AH111" s="23">
        <v>11</v>
      </c>
      <c r="AI111" s="22">
        <f t="shared" si="16"/>
        <v>297</v>
      </c>
      <c r="AJ111" s="21"/>
      <c r="AK111" s="14">
        <f>AI111*AJ111</f>
        <v>0</v>
      </c>
      <c r="AL111" s="2" t="s">
        <v>344</v>
      </c>
    </row>
    <row r="112" spans="1:38" ht="19.899999999999999" customHeight="1" x14ac:dyDescent="0.25">
      <c r="A112" s="2">
        <v>110</v>
      </c>
      <c r="B112" s="7" t="s">
        <v>100</v>
      </c>
      <c r="C112" s="4" t="s">
        <v>101</v>
      </c>
      <c r="D112" s="2" t="s">
        <v>84</v>
      </c>
      <c r="E112" s="23">
        <v>11</v>
      </c>
      <c r="F112" s="23">
        <v>11</v>
      </c>
      <c r="G112" s="13">
        <v>11</v>
      </c>
      <c r="H112" s="23">
        <v>11</v>
      </c>
      <c r="I112" s="13">
        <v>11</v>
      </c>
      <c r="J112" s="13">
        <v>11</v>
      </c>
      <c r="K112" s="13" t="s">
        <v>10</v>
      </c>
      <c r="L112" s="23">
        <v>11</v>
      </c>
      <c r="M112" s="23">
        <v>11</v>
      </c>
      <c r="N112" s="13">
        <v>11</v>
      </c>
      <c r="O112" s="23">
        <v>11</v>
      </c>
      <c r="P112" s="13">
        <v>11</v>
      </c>
      <c r="Q112" s="13">
        <v>11</v>
      </c>
      <c r="R112" s="13" t="s">
        <v>10</v>
      </c>
      <c r="S112" s="23">
        <v>11</v>
      </c>
      <c r="T112" s="23">
        <v>11</v>
      </c>
      <c r="U112" s="13">
        <v>11</v>
      </c>
      <c r="V112" s="23">
        <v>11</v>
      </c>
      <c r="W112" s="13">
        <v>11</v>
      </c>
      <c r="X112" s="13">
        <v>11</v>
      </c>
      <c r="Y112" s="13">
        <v>11</v>
      </c>
      <c r="Z112" s="23">
        <v>11</v>
      </c>
      <c r="AA112" s="23">
        <v>11</v>
      </c>
      <c r="AB112" s="23">
        <v>11</v>
      </c>
      <c r="AC112" s="23">
        <v>11</v>
      </c>
      <c r="AD112" s="13">
        <v>11</v>
      </c>
      <c r="AE112" s="23">
        <v>11</v>
      </c>
      <c r="AF112" s="23">
        <v>11</v>
      </c>
      <c r="AG112" s="23">
        <v>11</v>
      </c>
      <c r="AH112" s="23">
        <v>11</v>
      </c>
      <c r="AI112" s="22">
        <f t="shared" si="16"/>
        <v>308</v>
      </c>
      <c r="AJ112" s="21"/>
      <c r="AK112" s="14">
        <f t="shared" ref="AK112" si="22">AI112*AJ112</f>
        <v>0</v>
      </c>
      <c r="AL112" s="2" t="s">
        <v>344</v>
      </c>
    </row>
    <row r="113" spans="1:38" ht="19.899999999999999" customHeight="1" x14ac:dyDescent="0.25">
      <c r="A113" s="2">
        <v>111</v>
      </c>
      <c r="B113" s="7">
        <v>367</v>
      </c>
      <c r="C113" s="4" t="s">
        <v>441</v>
      </c>
      <c r="D113" s="2" t="s">
        <v>84</v>
      </c>
      <c r="E113" s="23">
        <v>11</v>
      </c>
      <c r="F113" s="23">
        <v>11</v>
      </c>
      <c r="G113" s="13">
        <v>11</v>
      </c>
      <c r="H113" s="23">
        <v>11</v>
      </c>
      <c r="I113" s="13">
        <v>11</v>
      </c>
      <c r="J113" s="13">
        <v>11</v>
      </c>
      <c r="K113" s="13" t="s">
        <v>10</v>
      </c>
      <c r="L113" s="23">
        <v>11</v>
      </c>
      <c r="M113" s="23">
        <v>11</v>
      </c>
      <c r="N113" s="13">
        <v>11</v>
      </c>
      <c r="O113" s="23">
        <v>11</v>
      </c>
      <c r="P113" s="13">
        <v>11</v>
      </c>
      <c r="Q113" s="13" t="s">
        <v>32</v>
      </c>
      <c r="R113" s="13" t="s">
        <v>10</v>
      </c>
      <c r="S113" s="23">
        <v>11</v>
      </c>
      <c r="T113" s="23">
        <v>11</v>
      </c>
      <c r="U113" s="13">
        <v>11</v>
      </c>
      <c r="V113" s="23">
        <v>11</v>
      </c>
      <c r="W113" s="13">
        <v>11</v>
      </c>
      <c r="X113" s="13">
        <v>11</v>
      </c>
      <c r="Y113" s="13" t="s">
        <v>10</v>
      </c>
      <c r="Z113" s="23">
        <v>11</v>
      </c>
      <c r="AA113" s="23">
        <v>11</v>
      </c>
      <c r="AB113" s="23">
        <v>11</v>
      </c>
      <c r="AC113" s="23">
        <v>11</v>
      </c>
      <c r="AD113" s="13">
        <v>11</v>
      </c>
      <c r="AE113" s="23">
        <v>11</v>
      </c>
      <c r="AF113" s="23" t="s">
        <v>10</v>
      </c>
      <c r="AG113" s="23">
        <v>11</v>
      </c>
      <c r="AH113" s="23">
        <v>11</v>
      </c>
      <c r="AI113" s="22">
        <f t="shared" si="16"/>
        <v>275</v>
      </c>
      <c r="AJ113" s="21"/>
      <c r="AK113" s="14">
        <f>AI113*AJ113</f>
        <v>0</v>
      </c>
      <c r="AL113" s="2" t="s">
        <v>344</v>
      </c>
    </row>
    <row r="114" spans="1:38" ht="19.899999999999999" customHeight="1" x14ac:dyDescent="0.25">
      <c r="A114" s="2">
        <v>112</v>
      </c>
      <c r="B114" s="7" t="s">
        <v>150</v>
      </c>
      <c r="C114" s="4" t="s">
        <v>151</v>
      </c>
      <c r="D114" s="2" t="s">
        <v>84</v>
      </c>
      <c r="E114" s="23">
        <v>11</v>
      </c>
      <c r="F114" s="23">
        <v>11</v>
      </c>
      <c r="G114" s="13">
        <v>11</v>
      </c>
      <c r="H114" s="23">
        <v>11</v>
      </c>
      <c r="I114" s="13">
        <v>11</v>
      </c>
      <c r="J114" s="13">
        <v>11</v>
      </c>
      <c r="K114" s="13" t="s">
        <v>10</v>
      </c>
      <c r="L114" s="23">
        <v>11</v>
      </c>
      <c r="M114" s="23">
        <v>11</v>
      </c>
      <c r="N114" s="13">
        <v>11</v>
      </c>
      <c r="O114" s="23">
        <v>11</v>
      </c>
      <c r="P114" s="13">
        <v>11</v>
      </c>
      <c r="Q114" s="13">
        <v>11</v>
      </c>
      <c r="R114" s="13" t="s">
        <v>10</v>
      </c>
      <c r="S114" s="23">
        <v>11</v>
      </c>
      <c r="T114" s="23">
        <v>11</v>
      </c>
      <c r="U114" s="13">
        <v>11</v>
      </c>
      <c r="V114" s="23">
        <v>11</v>
      </c>
      <c r="W114" s="13">
        <v>11</v>
      </c>
      <c r="X114" s="13">
        <v>11</v>
      </c>
      <c r="Y114" s="13">
        <v>11</v>
      </c>
      <c r="Z114" s="23">
        <v>11</v>
      </c>
      <c r="AA114" s="23">
        <v>11</v>
      </c>
      <c r="AB114" s="23">
        <v>11</v>
      </c>
      <c r="AC114" s="23">
        <v>11</v>
      </c>
      <c r="AD114" s="13">
        <v>11</v>
      </c>
      <c r="AE114" s="23">
        <v>11</v>
      </c>
      <c r="AF114" s="23">
        <v>11</v>
      </c>
      <c r="AG114" s="23">
        <v>11</v>
      </c>
      <c r="AH114" s="23">
        <v>11</v>
      </c>
      <c r="AI114" s="22">
        <f t="shared" si="16"/>
        <v>308</v>
      </c>
      <c r="AJ114" s="2"/>
      <c r="AK114" s="14">
        <f t="shared" ref="AK114:AK117" si="23">AI114*AJ114</f>
        <v>0</v>
      </c>
      <c r="AL114" s="2" t="s">
        <v>344</v>
      </c>
    </row>
    <row r="115" spans="1:38" ht="19.899999999999999" customHeight="1" x14ac:dyDescent="0.25">
      <c r="A115" s="2">
        <v>113</v>
      </c>
      <c r="B115" s="7" t="s">
        <v>154</v>
      </c>
      <c r="C115" s="4" t="s">
        <v>155</v>
      </c>
      <c r="D115" s="2" t="s">
        <v>84</v>
      </c>
      <c r="E115" s="23">
        <v>11</v>
      </c>
      <c r="F115" s="23">
        <v>11</v>
      </c>
      <c r="G115" s="13">
        <v>11</v>
      </c>
      <c r="H115" s="23">
        <v>11</v>
      </c>
      <c r="I115" s="13">
        <v>11</v>
      </c>
      <c r="J115" s="13">
        <v>11</v>
      </c>
      <c r="K115" s="13" t="s">
        <v>10</v>
      </c>
      <c r="L115" s="23">
        <v>11</v>
      </c>
      <c r="M115" s="23">
        <v>11</v>
      </c>
      <c r="N115" s="13">
        <v>11</v>
      </c>
      <c r="O115" s="23">
        <v>11</v>
      </c>
      <c r="P115" s="13">
        <v>11</v>
      </c>
      <c r="Q115" s="13">
        <v>11</v>
      </c>
      <c r="R115" s="13" t="s">
        <v>10</v>
      </c>
      <c r="S115" s="23">
        <v>11</v>
      </c>
      <c r="T115" s="23">
        <v>11</v>
      </c>
      <c r="U115" s="13">
        <v>11</v>
      </c>
      <c r="V115" s="23">
        <v>11</v>
      </c>
      <c r="W115" s="13">
        <v>11</v>
      </c>
      <c r="X115" s="13">
        <v>11</v>
      </c>
      <c r="Y115" s="13">
        <v>11</v>
      </c>
      <c r="Z115" s="23">
        <v>11</v>
      </c>
      <c r="AA115" s="23">
        <v>11</v>
      </c>
      <c r="AB115" s="23">
        <v>11</v>
      </c>
      <c r="AC115" s="23">
        <v>11</v>
      </c>
      <c r="AD115" s="13">
        <v>11</v>
      </c>
      <c r="AE115" s="23">
        <v>11</v>
      </c>
      <c r="AF115" s="23">
        <v>11</v>
      </c>
      <c r="AG115" s="23">
        <v>11</v>
      </c>
      <c r="AH115" s="23">
        <v>11</v>
      </c>
      <c r="AI115" s="22">
        <f t="shared" si="16"/>
        <v>308</v>
      </c>
      <c r="AJ115" s="21"/>
      <c r="AK115" s="14">
        <f t="shared" si="23"/>
        <v>0</v>
      </c>
      <c r="AL115" s="2" t="s">
        <v>344</v>
      </c>
    </row>
    <row r="116" spans="1:38" ht="19.899999999999999" customHeight="1" x14ac:dyDescent="0.25">
      <c r="A116" s="2">
        <v>114</v>
      </c>
      <c r="B116" s="7" t="s">
        <v>120</v>
      </c>
      <c r="C116" s="4" t="s">
        <v>121</v>
      </c>
      <c r="D116" s="2" t="s">
        <v>84</v>
      </c>
      <c r="E116" s="23">
        <v>11</v>
      </c>
      <c r="F116" s="23">
        <v>11</v>
      </c>
      <c r="G116" s="13">
        <v>11</v>
      </c>
      <c r="H116" s="23">
        <v>11</v>
      </c>
      <c r="I116" s="13">
        <v>11</v>
      </c>
      <c r="J116" s="13">
        <v>11</v>
      </c>
      <c r="K116" s="13" t="s">
        <v>10</v>
      </c>
      <c r="L116" s="23">
        <v>11</v>
      </c>
      <c r="M116" s="23">
        <v>11</v>
      </c>
      <c r="N116" s="13"/>
      <c r="O116" s="23"/>
      <c r="P116" s="13"/>
      <c r="Q116" s="13"/>
      <c r="R116" s="13"/>
      <c r="S116" s="23"/>
      <c r="T116" s="23"/>
      <c r="U116" s="13"/>
      <c r="V116" s="23"/>
      <c r="W116" s="13"/>
      <c r="X116" s="13"/>
      <c r="Y116" s="13"/>
      <c r="Z116" s="23"/>
      <c r="AA116" s="23"/>
      <c r="AB116" s="23"/>
      <c r="AC116" s="23"/>
      <c r="AD116" s="13"/>
      <c r="AE116" s="23"/>
      <c r="AF116" s="23"/>
      <c r="AG116" s="23"/>
      <c r="AH116" s="23"/>
      <c r="AI116" s="22">
        <f t="shared" si="16"/>
        <v>88</v>
      </c>
      <c r="AJ116" s="21"/>
      <c r="AK116" s="14">
        <f t="shared" si="23"/>
        <v>0</v>
      </c>
      <c r="AL116" s="2" t="s">
        <v>344</v>
      </c>
    </row>
    <row r="117" spans="1:38" ht="19.899999999999999" customHeight="1" x14ac:dyDescent="0.25">
      <c r="A117" s="2">
        <v>115</v>
      </c>
      <c r="B117" s="7">
        <v>294</v>
      </c>
      <c r="C117" s="4" t="s">
        <v>159</v>
      </c>
      <c r="D117" s="2" t="s">
        <v>84</v>
      </c>
      <c r="E117" s="23">
        <v>11</v>
      </c>
      <c r="F117" s="23">
        <v>11</v>
      </c>
      <c r="G117" s="13">
        <v>11</v>
      </c>
      <c r="H117" s="23">
        <v>11</v>
      </c>
      <c r="I117" s="13">
        <v>11</v>
      </c>
      <c r="J117" s="13" t="s">
        <v>32</v>
      </c>
      <c r="K117" s="13" t="s">
        <v>10</v>
      </c>
      <c r="L117" s="23">
        <v>11</v>
      </c>
      <c r="M117" s="23">
        <v>11</v>
      </c>
      <c r="N117" s="13">
        <v>11</v>
      </c>
      <c r="O117" s="23">
        <v>11</v>
      </c>
      <c r="P117" s="13">
        <v>11</v>
      </c>
      <c r="Q117" s="13">
        <v>11</v>
      </c>
      <c r="R117" s="13" t="s">
        <v>10</v>
      </c>
      <c r="S117" s="23">
        <v>11</v>
      </c>
      <c r="T117" s="23">
        <v>11</v>
      </c>
      <c r="U117" s="13">
        <v>11</v>
      </c>
      <c r="V117" s="23">
        <v>11</v>
      </c>
      <c r="W117" s="13">
        <v>11</v>
      </c>
      <c r="X117" s="13">
        <v>11</v>
      </c>
      <c r="Y117" s="13" t="s">
        <v>10</v>
      </c>
      <c r="Z117" s="23">
        <v>11</v>
      </c>
      <c r="AA117" s="23">
        <v>11</v>
      </c>
      <c r="AB117" s="23">
        <v>11</v>
      </c>
      <c r="AC117" s="23">
        <v>11</v>
      </c>
      <c r="AD117" s="13">
        <v>11</v>
      </c>
      <c r="AE117" s="23">
        <v>11</v>
      </c>
      <c r="AF117" s="23" t="s">
        <v>10</v>
      </c>
      <c r="AG117" s="23">
        <v>11</v>
      </c>
      <c r="AH117" s="23">
        <v>11</v>
      </c>
      <c r="AI117" s="22">
        <f t="shared" si="16"/>
        <v>275</v>
      </c>
      <c r="AJ117" s="21"/>
      <c r="AK117" s="14">
        <f t="shared" si="23"/>
        <v>0</v>
      </c>
      <c r="AL117" s="2" t="s">
        <v>344</v>
      </c>
    </row>
    <row r="118" spans="1:38" ht="19.899999999999999" customHeight="1" x14ac:dyDescent="0.25">
      <c r="A118" s="2">
        <v>116</v>
      </c>
      <c r="B118" s="7">
        <v>353</v>
      </c>
      <c r="C118" s="4" t="s">
        <v>433</v>
      </c>
      <c r="D118" s="2" t="s">
        <v>84</v>
      </c>
      <c r="E118" s="23" t="s">
        <v>32</v>
      </c>
      <c r="F118" s="23">
        <v>11</v>
      </c>
      <c r="G118" s="13">
        <v>11</v>
      </c>
      <c r="H118" s="23">
        <v>8</v>
      </c>
      <c r="I118" s="13">
        <v>11</v>
      </c>
      <c r="J118" s="13">
        <v>11</v>
      </c>
      <c r="K118" s="13" t="s">
        <v>10</v>
      </c>
      <c r="L118" s="23">
        <v>11</v>
      </c>
      <c r="M118" s="23">
        <v>11</v>
      </c>
      <c r="N118" s="13">
        <v>11</v>
      </c>
      <c r="O118" s="23">
        <v>11</v>
      </c>
      <c r="P118" s="13">
        <v>11</v>
      </c>
      <c r="Q118" s="13">
        <v>11</v>
      </c>
      <c r="R118" s="13" t="s">
        <v>10</v>
      </c>
      <c r="S118" s="23">
        <v>11</v>
      </c>
      <c r="T118" s="23">
        <v>11</v>
      </c>
      <c r="U118" s="13">
        <v>11</v>
      </c>
      <c r="V118" s="23">
        <v>11</v>
      </c>
      <c r="W118" s="13">
        <v>11</v>
      </c>
      <c r="X118" s="13">
        <v>11</v>
      </c>
      <c r="Y118" s="13">
        <v>11</v>
      </c>
      <c r="Z118" s="23">
        <v>11</v>
      </c>
      <c r="AA118" s="23">
        <v>11</v>
      </c>
      <c r="AB118" s="23">
        <v>11</v>
      </c>
      <c r="AC118" s="23">
        <v>11</v>
      </c>
      <c r="AD118" s="13">
        <v>11</v>
      </c>
      <c r="AE118" s="23">
        <v>11</v>
      </c>
      <c r="AF118" s="23">
        <v>11</v>
      </c>
      <c r="AG118" s="23">
        <v>11</v>
      </c>
      <c r="AH118" s="23">
        <v>11</v>
      </c>
      <c r="AI118" s="22">
        <f t="shared" si="16"/>
        <v>294</v>
      </c>
      <c r="AJ118" s="21"/>
      <c r="AK118" s="14">
        <f>AI118*AJ118</f>
        <v>0</v>
      </c>
      <c r="AL118" s="2" t="s">
        <v>344</v>
      </c>
    </row>
    <row r="119" spans="1:38" ht="19.899999999999999" customHeight="1" x14ac:dyDescent="0.25">
      <c r="A119" s="2"/>
      <c r="B119" s="2"/>
      <c r="C119" s="4"/>
      <c r="D119" s="2"/>
      <c r="E119" s="23"/>
      <c r="F119" s="23"/>
      <c r="G119" s="13"/>
      <c r="H119" s="23"/>
      <c r="I119" s="13"/>
      <c r="J119" s="13"/>
      <c r="K119" s="13"/>
      <c r="L119" s="23"/>
      <c r="M119" s="23"/>
      <c r="N119" s="13"/>
      <c r="O119" s="23"/>
      <c r="P119" s="13"/>
      <c r="Q119" s="13"/>
      <c r="R119" s="13"/>
      <c r="S119" s="23"/>
      <c r="T119" s="23"/>
      <c r="U119" s="13"/>
      <c r="V119" s="23"/>
      <c r="W119" s="13"/>
      <c r="X119" s="13"/>
      <c r="Y119" s="13"/>
      <c r="Z119" s="23"/>
      <c r="AA119" s="23"/>
      <c r="AB119" s="23"/>
      <c r="AC119" s="23"/>
      <c r="AD119" s="13"/>
      <c r="AE119" s="23"/>
      <c r="AF119" s="13"/>
      <c r="AG119" s="13"/>
      <c r="AH119" s="23"/>
      <c r="AI119" s="5"/>
      <c r="AJ119" s="2"/>
      <c r="AK119" s="2"/>
      <c r="AL119" s="2"/>
    </row>
    <row r="120" spans="1:38" ht="18" customHeight="1" x14ac:dyDescent="0.25">
      <c r="AI120" s="10">
        <f>SUM(AI3:AI119)</f>
        <v>24713</v>
      </c>
      <c r="AK120" s="12">
        <f>SUM(AK3:AK119)</f>
        <v>0</v>
      </c>
    </row>
    <row r="121" spans="1:38" ht="18" customHeight="1" thickBot="1" x14ac:dyDescent="0.3">
      <c r="AK121" s="16"/>
    </row>
    <row r="122" spans="1:38" ht="18" customHeight="1" thickTop="1" thickBot="1" x14ac:dyDescent="0.3">
      <c r="AK122" s="19">
        <f>SUM(AK120:AK121)</f>
        <v>0</v>
      </c>
    </row>
    <row r="123" spans="1:38" ht="18" customHeight="1" thickTop="1" x14ac:dyDescent="0.25">
      <c r="C123" s="6"/>
    </row>
    <row r="124" spans="1:38" ht="18" customHeight="1" x14ac:dyDescent="0.25">
      <c r="C124" s="6"/>
      <c r="AK124" s="15"/>
    </row>
    <row r="125" spans="1:38" ht="18" customHeight="1" x14ac:dyDescent="0.25">
      <c r="C125" s="6"/>
    </row>
    <row r="126" spans="1:38" ht="18" customHeight="1" x14ac:dyDescent="0.25">
      <c r="C126" s="6"/>
    </row>
    <row r="127" spans="1:38" ht="18" customHeight="1" x14ac:dyDescent="0.25">
      <c r="C127" s="6"/>
    </row>
    <row r="128" spans="1:38" ht="18" customHeight="1" x14ac:dyDescent="0.25">
      <c r="C128" s="6"/>
    </row>
    <row r="129" spans="3:3" ht="18" customHeight="1" x14ac:dyDescent="0.25">
      <c r="C129" s="6"/>
    </row>
    <row r="130" spans="3:3" ht="18" customHeight="1" x14ac:dyDescent="0.25">
      <c r="C130" s="6"/>
    </row>
    <row r="131" spans="3:3" ht="18" customHeight="1" x14ac:dyDescent="0.25">
      <c r="C131" s="6"/>
    </row>
    <row r="132" spans="3:3" ht="18" customHeight="1" x14ac:dyDescent="0.25">
      <c r="C132" s="6"/>
    </row>
    <row r="133" spans="3:3" ht="18" customHeight="1" x14ac:dyDescent="0.25">
      <c r="C133" s="6"/>
    </row>
    <row r="134" spans="3:3" ht="18" customHeight="1" x14ac:dyDescent="0.25">
      <c r="C134" s="6"/>
    </row>
    <row r="135" spans="3:3" ht="18" customHeight="1" x14ac:dyDescent="0.25">
      <c r="C135" s="6"/>
    </row>
    <row r="136" spans="3:3" ht="18" customHeight="1" x14ac:dyDescent="0.25">
      <c r="C136" s="6"/>
    </row>
    <row r="137" spans="3:3" ht="18" customHeight="1" x14ac:dyDescent="0.25">
      <c r="C137" s="6"/>
    </row>
    <row r="138" spans="3:3" ht="18" customHeight="1" x14ac:dyDescent="0.25">
      <c r="C138" s="6"/>
    </row>
    <row r="139" spans="3:3" ht="18" customHeight="1" x14ac:dyDescent="0.25">
      <c r="C139" s="6"/>
    </row>
    <row r="140" spans="3:3" ht="18" customHeight="1" x14ac:dyDescent="0.25">
      <c r="C140" s="6"/>
    </row>
    <row r="141" spans="3:3" ht="18" customHeight="1" x14ac:dyDescent="0.25">
      <c r="C141" s="6"/>
    </row>
    <row r="142" spans="3:3" ht="18" customHeight="1" x14ac:dyDescent="0.25">
      <c r="C142" s="6"/>
    </row>
    <row r="143" spans="3:3" ht="18" customHeight="1" x14ac:dyDescent="0.25">
      <c r="C143" s="6"/>
    </row>
    <row r="144" spans="3:3" ht="18" customHeight="1" x14ac:dyDescent="0.25">
      <c r="C144" s="6"/>
    </row>
    <row r="145" spans="3:3" ht="18" customHeight="1" x14ac:dyDescent="0.25">
      <c r="C145" s="6"/>
    </row>
    <row r="146" spans="3:3" ht="18" customHeight="1" x14ac:dyDescent="0.25">
      <c r="C146" s="6"/>
    </row>
    <row r="147" spans="3:3" ht="18" customHeight="1" x14ac:dyDescent="0.25">
      <c r="C147" s="6"/>
    </row>
    <row r="148" spans="3:3" ht="18" customHeight="1" x14ac:dyDescent="0.25">
      <c r="C148" s="6"/>
    </row>
    <row r="149" spans="3:3" ht="18" customHeight="1" x14ac:dyDescent="0.25">
      <c r="C149" s="6"/>
    </row>
    <row r="150" spans="3:3" ht="18" customHeight="1" x14ac:dyDescent="0.25">
      <c r="C150" s="6"/>
    </row>
    <row r="151" spans="3:3" ht="18" customHeight="1" x14ac:dyDescent="0.25">
      <c r="C151" s="6"/>
    </row>
    <row r="152" spans="3:3" ht="18" customHeight="1" x14ac:dyDescent="0.25">
      <c r="C152" s="6"/>
    </row>
    <row r="153" spans="3:3" ht="18" customHeight="1" x14ac:dyDescent="0.25">
      <c r="C153" s="6"/>
    </row>
    <row r="154" spans="3:3" ht="18" customHeight="1" x14ac:dyDescent="0.25">
      <c r="C154" s="6"/>
    </row>
    <row r="155" spans="3:3" ht="18" customHeight="1" x14ac:dyDescent="0.25">
      <c r="C155" s="6"/>
    </row>
    <row r="156" spans="3:3" ht="18" customHeight="1" x14ac:dyDescent="0.25">
      <c r="C156" s="6"/>
    </row>
    <row r="157" spans="3:3" ht="18" customHeight="1" x14ac:dyDescent="0.25">
      <c r="C157" s="6"/>
    </row>
    <row r="158" spans="3:3" ht="18" customHeight="1" x14ac:dyDescent="0.25">
      <c r="C158" s="6"/>
    </row>
    <row r="159" spans="3:3" ht="18" customHeight="1" x14ac:dyDescent="0.25">
      <c r="C159" s="6"/>
    </row>
    <row r="160" spans="3:3" ht="18" customHeight="1" x14ac:dyDescent="0.25">
      <c r="C160" s="6"/>
    </row>
    <row r="161" spans="3:3" ht="18" customHeight="1" x14ac:dyDescent="0.25">
      <c r="C161" s="6"/>
    </row>
    <row r="162" spans="3:3" ht="18" customHeight="1" x14ac:dyDescent="0.25">
      <c r="C162" s="6"/>
    </row>
    <row r="163" spans="3:3" ht="18" customHeight="1" x14ac:dyDescent="0.25">
      <c r="C163" s="6"/>
    </row>
    <row r="164" spans="3:3" ht="18" customHeight="1" x14ac:dyDescent="0.25">
      <c r="C164" s="6"/>
    </row>
    <row r="165" spans="3:3" ht="18" customHeight="1" x14ac:dyDescent="0.25">
      <c r="C165" s="6"/>
    </row>
    <row r="166" spans="3:3" ht="18" customHeight="1" x14ac:dyDescent="0.25">
      <c r="C166" s="6"/>
    </row>
    <row r="167" spans="3:3" ht="18" customHeight="1" x14ac:dyDescent="0.25">
      <c r="C167" s="6"/>
    </row>
    <row r="168" spans="3:3" ht="18" customHeight="1" x14ac:dyDescent="0.25">
      <c r="C168" s="6"/>
    </row>
    <row r="169" spans="3:3" ht="18" customHeight="1" x14ac:dyDescent="0.25">
      <c r="C169" s="6"/>
    </row>
    <row r="170" spans="3:3" ht="18" customHeight="1" x14ac:dyDescent="0.25">
      <c r="C170" s="6"/>
    </row>
    <row r="171" spans="3:3" ht="18" customHeight="1" x14ac:dyDescent="0.25">
      <c r="C171" s="6"/>
    </row>
    <row r="172" spans="3:3" ht="18" customHeight="1" x14ac:dyDescent="0.25">
      <c r="C172" s="6"/>
    </row>
    <row r="173" spans="3:3" ht="18" customHeight="1" x14ac:dyDescent="0.25">
      <c r="C173" s="6"/>
    </row>
    <row r="174" spans="3:3" ht="18" customHeight="1" x14ac:dyDescent="0.25">
      <c r="C174" s="6"/>
    </row>
    <row r="175" spans="3:3" ht="18" customHeight="1" x14ac:dyDescent="0.25">
      <c r="C175" s="6"/>
    </row>
    <row r="176" spans="3:3" ht="18" customHeight="1" x14ac:dyDescent="0.25">
      <c r="C176" s="6"/>
    </row>
    <row r="177" spans="3:3" ht="18" customHeight="1" x14ac:dyDescent="0.25">
      <c r="C177" s="6"/>
    </row>
    <row r="178" spans="3:3" ht="18" customHeight="1" x14ac:dyDescent="0.25">
      <c r="C178" s="6"/>
    </row>
    <row r="179" spans="3:3" ht="18" customHeight="1" x14ac:dyDescent="0.25">
      <c r="C179" s="6"/>
    </row>
    <row r="180" spans="3:3" ht="18" customHeight="1" x14ac:dyDescent="0.25">
      <c r="C180" s="6"/>
    </row>
    <row r="181" spans="3:3" ht="18" customHeight="1" x14ac:dyDescent="0.25">
      <c r="C181" s="6"/>
    </row>
  </sheetData>
  <mergeCells count="1">
    <mergeCell ref="A1:AL1"/>
  </mergeCells>
  <conditionalFormatting sqref="B1:B2">
    <cfRule type="duplicateValues" dxfId="688" priority="58"/>
  </conditionalFormatting>
  <conditionalFormatting sqref="B2">
    <cfRule type="duplicateValues" dxfId="687" priority="63"/>
    <cfRule type="duplicateValues" dxfId="686" priority="65"/>
    <cfRule type="duplicateValues" dxfId="685" priority="64"/>
    <cfRule type="duplicateValues" dxfId="684" priority="62"/>
    <cfRule type="duplicateValues" dxfId="683" priority="61"/>
    <cfRule type="duplicateValues" dxfId="682" priority="60"/>
    <cfRule type="duplicateValues" dxfId="681" priority="59"/>
    <cfRule type="duplicateValues" dxfId="680" priority="70"/>
    <cfRule type="duplicateValues" dxfId="679" priority="68"/>
    <cfRule type="duplicateValues" dxfId="678" priority="67"/>
    <cfRule type="duplicateValues" dxfId="677" priority="66"/>
    <cfRule type="duplicateValues" dxfId="676" priority="69"/>
    <cfRule type="duplicateValues" dxfId="675" priority="71"/>
  </conditionalFormatting>
  <conditionalFormatting sqref="B3">
    <cfRule type="duplicateValues" dxfId="674" priority="13988"/>
    <cfRule type="duplicateValues" dxfId="673" priority="13989"/>
    <cfRule type="duplicateValues" dxfId="672" priority="13990"/>
    <cfRule type="duplicateValues" dxfId="671" priority="13991"/>
  </conditionalFormatting>
  <conditionalFormatting sqref="B3:B1048576">
    <cfRule type="duplicateValues" dxfId="670" priority="315"/>
  </conditionalFormatting>
  <conditionalFormatting sqref="B21">
    <cfRule type="duplicateValues" dxfId="669" priority="11452"/>
  </conditionalFormatting>
  <conditionalFormatting sqref="B30:B31">
    <cfRule type="duplicateValues" dxfId="668" priority="11"/>
    <cfRule type="duplicateValues" dxfId="667" priority="12"/>
    <cfRule type="duplicateValues" dxfId="666" priority="13"/>
    <cfRule type="duplicateValues" dxfId="665" priority="14"/>
    <cfRule type="duplicateValues" dxfId="664" priority="15"/>
    <cfRule type="duplicateValues" dxfId="663" priority="16"/>
    <cfRule type="duplicateValues" dxfId="662" priority="17"/>
    <cfRule type="duplicateValues" dxfId="661" priority="18"/>
    <cfRule type="duplicateValues" dxfId="660" priority="19"/>
    <cfRule type="duplicateValues" dxfId="659" priority="8"/>
    <cfRule type="duplicateValues" dxfId="658" priority="1"/>
    <cfRule type="duplicateValues" dxfId="657" priority="2"/>
    <cfRule type="duplicateValues" dxfId="656" priority="3"/>
    <cfRule type="duplicateValues" dxfId="655" priority="4"/>
    <cfRule type="duplicateValues" dxfId="654" priority="5"/>
    <cfRule type="duplicateValues" dxfId="653" priority="6"/>
    <cfRule type="duplicateValues" dxfId="652" priority="7"/>
    <cfRule type="duplicateValues" dxfId="651" priority="9"/>
    <cfRule type="duplicateValues" dxfId="650" priority="10"/>
  </conditionalFormatting>
  <conditionalFormatting sqref="B35:B36">
    <cfRule type="duplicateValues" dxfId="649" priority="29"/>
    <cfRule type="duplicateValues" dxfId="648" priority="28"/>
    <cfRule type="duplicateValues" dxfId="647" priority="27"/>
    <cfRule type="duplicateValues" dxfId="646" priority="26"/>
    <cfRule type="duplicateValues" dxfId="645" priority="25"/>
    <cfRule type="duplicateValues" dxfId="644" priority="24"/>
    <cfRule type="duplicateValues" dxfId="643" priority="23"/>
    <cfRule type="duplicateValues" dxfId="642" priority="22"/>
    <cfRule type="duplicateValues" dxfId="641" priority="21"/>
    <cfRule type="duplicateValues" dxfId="640" priority="20"/>
    <cfRule type="duplicateValues" dxfId="639" priority="31"/>
    <cfRule type="duplicateValues" dxfId="638" priority="30"/>
    <cfRule type="duplicateValues" dxfId="637" priority="33"/>
    <cfRule type="duplicateValues" dxfId="636" priority="34"/>
    <cfRule type="duplicateValues" dxfId="635" priority="35"/>
    <cfRule type="duplicateValues" dxfId="634" priority="36"/>
    <cfRule type="duplicateValues" dxfId="633" priority="37"/>
    <cfRule type="duplicateValues" dxfId="632" priority="38"/>
    <cfRule type="duplicateValues" dxfId="631" priority="32"/>
  </conditionalFormatting>
  <conditionalFormatting sqref="B40:B41">
    <cfRule type="duplicateValues" dxfId="630" priority="41"/>
    <cfRule type="duplicateValues" dxfId="629" priority="42"/>
    <cfRule type="duplicateValues" dxfId="628" priority="43"/>
    <cfRule type="duplicateValues" dxfId="627" priority="44"/>
    <cfRule type="duplicateValues" dxfId="626" priority="51"/>
    <cfRule type="duplicateValues" dxfId="625" priority="45"/>
    <cfRule type="duplicateValues" dxfId="624" priority="46"/>
    <cfRule type="duplicateValues" dxfId="623" priority="47"/>
    <cfRule type="duplicateValues" dxfId="622" priority="48"/>
    <cfRule type="duplicateValues" dxfId="621" priority="49"/>
    <cfRule type="duplicateValues" dxfId="620" priority="50"/>
    <cfRule type="duplicateValues" dxfId="619" priority="39"/>
    <cfRule type="duplicateValues" dxfId="618" priority="52"/>
    <cfRule type="duplicateValues" dxfId="617" priority="53"/>
    <cfRule type="duplicateValues" dxfId="616" priority="54"/>
    <cfRule type="duplicateValues" dxfId="615" priority="55"/>
    <cfRule type="duplicateValues" dxfId="614" priority="56"/>
    <cfRule type="duplicateValues" dxfId="613" priority="57"/>
    <cfRule type="duplicateValues" dxfId="612" priority="40"/>
  </conditionalFormatting>
  <conditionalFormatting sqref="B45:B46">
    <cfRule type="duplicateValues" dxfId="611" priority="157"/>
    <cfRule type="duplicateValues" dxfId="610" priority="156"/>
    <cfRule type="duplicateValues" dxfId="609" priority="146"/>
    <cfRule type="duplicateValues" dxfId="608" priority="147"/>
    <cfRule type="duplicateValues" dxfId="607" priority="148"/>
    <cfRule type="duplicateValues" dxfId="606" priority="149"/>
    <cfRule type="duplicateValues" dxfId="605" priority="150"/>
    <cfRule type="duplicateValues" dxfId="604" priority="151"/>
    <cfRule type="duplicateValues" dxfId="603" priority="152"/>
    <cfRule type="duplicateValues" dxfId="602" priority="153"/>
    <cfRule type="duplicateValues" dxfId="601" priority="154"/>
    <cfRule type="duplicateValues" dxfId="600" priority="163"/>
    <cfRule type="duplicateValues" dxfId="599" priority="164"/>
    <cfRule type="duplicateValues" dxfId="598" priority="155"/>
    <cfRule type="duplicateValues" dxfId="597" priority="162"/>
    <cfRule type="duplicateValues" dxfId="596" priority="161"/>
    <cfRule type="duplicateValues" dxfId="595" priority="160"/>
    <cfRule type="duplicateValues" dxfId="594" priority="159"/>
    <cfRule type="duplicateValues" dxfId="593" priority="158"/>
  </conditionalFormatting>
  <conditionalFormatting sqref="B52 B4:B16 B25:B26">
    <cfRule type="duplicateValues" dxfId="592" priority="23800"/>
    <cfRule type="duplicateValues" dxfId="591" priority="23796"/>
    <cfRule type="duplicateValues" dxfId="590" priority="23797"/>
    <cfRule type="duplicateValues" dxfId="589" priority="23798"/>
    <cfRule type="duplicateValues" dxfId="588" priority="23799"/>
  </conditionalFormatting>
  <conditionalFormatting sqref="B53:B54">
    <cfRule type="duplicateValues" dxfId="587" priority="498"/>
    <cfRule type="duplicateValues" dxfId="586" priority="497"/>
    <cfRule type="duplicateValues" dxfId="585" priority="495"/>
    <cfRule type="duplicateValues" dxfId="584" priority="496"/>
    <cfRule type="duplicateValues" dxfId="583" priority="490"/>
  </conditionalFormatting>
  <conditionalFormatting sqref="B55:B56 B21">
    <cfRule type="duplicateValues" dxfId="582" priority="510"/>
    <cfRule type="duplicateValues" dxfId="581" priority="509"/>
    <cfRule type="duplicateValues" dxfId="580" priority="507"/>
    <cfRule type="duplicateValues" dxfId="579" priority="508"/>
  </conditionalFormatting>
  <conditionalFormatting sqref="B91:B96">
    <cfRule type="duplicateValues" dxfId="578" priority="19201"/>
    <cfRule type="duplicateValues" dxfId="577" priority="19199"/>
    <cfRule type="duplicateValues" dxfId="576" priority="19198"/>
    <cfRule type="duplicateValues" dxfId="575" priority="19197"/>
    <cfRule type="duplicateValues" dxfId="574" priority="19212"/>
    <cfRule type="duplicateValues" dxfId="573" priority="19200"/>
    <cfRule type="duplicateValues" dxfId="572" priority="19205"/>
    <cfRule type="duplicateValues" dxfId="571" priority="19196"/>
    <cfRule type="duplicateValues" dxfId="570" priority="19195"/>
    <cfRule type="duplicateValues" dxfId="569" priority="19194"/>
    <cfRule type="duplicateValues" dxfId="568" priority="19211"/>
    <cfRule type="duplicateValues" dxfId="567" priority="19210"/>
    <cfRule type="duplicateValues" dxfId="566" priority="19209"/>
    <cfRule type="duplicateValues" dxfId="565" priority="19208"/>
    <cfRule type="duplicateValues" dxfId="564" priority="19207"/>
    <cfRule type="duplicateValues" dxfId="563" priority="19206"/>
    <cfRule type="duplicateValues" dxfId="562" priority="19204"/>
    <cfRule type="duplicateValues" dxfId="561" priority="19203"/>
    <cfRule type="duplicateValues" dxfId="560" priority="19202"/>
  </conditionalFormatting>
  <conditionalFormatting sqref="B97 B65:B70">
    <cfRule type="duplicateValues" dxfId="559" priority="20393"/>
    <cfRule type="duplicateValues" dxfId="558" priority="20394"/>
    <cfRule type="duplicateValues" dxfId="557" priority="20395"/>
    <cfRule type="duplicateValues" dxfId="556" priority="20396"/>
    <cfRule type="duplicateValues" dxfId="555" priority="20397"/>
    <cfRule type="duplicateValues" dxfId="554" priority="20398"/>
    <cfRule type="duplicateValues" dxfId="553" priority="20400"/>
    <cfRule type="duplicateValues" dxfId="552" priority="20401"/>
    <cfRule type="duplicateValues" dxfId="551" priority="20402"/>
    <cfRule type="duplicateValues" dxfId="550" priority="20399"/>
  </conditionalFormatting>
  <conditionalFormatting sqref="B98">
    <cfRule type="duplicateValues" dxfId="549" priority="134"/>
    <cfRule type="duplicateValues" dxfId="548" priority="135"/>
    <cfRule type="duplicateValues" dxfId="547" priority="130"/>
    <cfRule type="duplicateValues" dxfId="546" priority="117"/>
    <cfRule type="duplicateValues" dxfId="545" priority="126"/>
    <cfRule type="duplicateValues" dxfId="544" priority="122"/>
    <cfRule type="duplicateValues" dxfId="543" priority="123"/>
    <cfRule type="duplicateValues" dxfId="542" priority="124"/>
    <cfRule type="duplicateValues" dxfId="541" priority="125"/>
    <cfRule type="duplicateValues" dxfId="540" priority="127"/>
    <cfRule type="duplicateValues" dxfId="539" priority="128"/>
    <cfRule type="duplicateValues" dxfId="538" priority="129"/>
    <cfRule type="duplicateValues" dxfId="537" priority="131"/>
    <cfRule type="duplicateValues" dxfId="536" priority="132"/>
    <cfRule type="duplicateValues" dxfId="535" priority="118"/>
    <cfRule type="duplicateValues" dxfId="534" priority="119"/>
    <cfRule type="duplicateValues" dxfId="533" priority="120"/>
    <cfRule type="duplicateValues" dxfId="532" priority="121"/>
    <cfRule type="duplicateValues" dxfId="531" priority="133"/>
  </conditionalFormatting>
  <conditionalFormatting sqref="B105:B106">
    <cfRule type="duplicateValues" dxfId="530" priority="92"/>
    <cfRule type="duplicateValues" dxfId="529" priority="93"/>
    <cfRule type="duplicateValues" dxfId="528" priority="94"/>
    <cfRule type="duplicateValues" dxfId="527" priority="104"/>
    <cfRule type="duplicateValues" dxfId="526" priority="97"/>
    <cfRule type="duplicateValues" dxfId="525" priority="98"/>
    <cfRule type="duplicateValues" dxfId="524" priority="100"/>
    <cfRule type="duplicateValues" dxfId="523" priority="101"/>
    <cfRule type="duplicateValues" dxfId="522" priority="105"/>
    <cfRule type="duplicateValues" dxfId="521" priority="95"/>
    <cfRule type="duplicateValues" dxfId="520" priority="99"/>
    <cfRule type="duplicateValues" dxfId="519" priority="102"/>
    <cfRule type="duplicateValues" dxfId="518" priority="103"/>
    <cfRule type="duplicateValues" dxfId="517" priority="106"/>
    <cfRule type="duplicateValues" dxfId="516" priority="88"/>
    <cfRule type="duplicateValues" dxfId="515" priority="96"/>
    <cfRule type="duplicateValues" dxfId="514" priority="89"/>
    <cfRule type="duplicateValues" dxfId="513" priority="90"/>
    <cfRule type="duplicateValues" dxfId="512" priority="91"/>
  </conditionalFormatting>
  <conditionalFormatting sqref="B107:B111 B113 B99:B104">
    <cfRule type="duplicateValues" dxfId="511" priority="143"/>
    <cfRule type="duplicateValues" dxfId="510" priority="144"/>
    <cfRule type="duplicateValues" dxfId="509" priority="145"/>
    <cfRule type="duplicateValues" dxfId="508" priority="136"/>
    <cfRule type="duplicateValues" dxfId="507" priority="137"/>
    <cfRule type="duplicateValues" dxfId="506" priority="138"/>
    <cfRule type="duplicateValues" dxfId="505" priority="139"/>
    <cfRule type="duplicateValues" dxfId="504" priority="140"/>
    <cfRule type="duplicateValues" dxfId="503" priority="141"/>
    <cfRule type="duplicateValues" dxfId="502" priority="142"/>
  </conditionalFormatting>
  <conditionalFormatting sqref="B112">
    <cfRule type="duplicateValues" dxfId="501" priority="114"/>
    <cfRule type="duplicateValues" dxfId="500" priority="113"/>
    <cfRule type="duplicateValues" dxfId="499" priority="112"/>
    <cfRule type="duplicateValues" dxfId="498" priority="111"/>
    <cfRule type="duplicateValues" dxfId="497" priority="110"/>
    <cfRule type="duplicateValues" dxfId="496" priority="108"/>
    <cfRule type="duplicateValues" dxfId="495" priority="115"/>
    <cfRule type="duplicateValues" dxfId="494" priority="116"/>
    <cfRule type="duplicateValues" dxfId="493" priority="107"/>
    <cfRule type="duplicateValues" dxfId="492" priority="109"/>
  </conditionalFormatting>
  <conditionalFormatting sqref="B114 B71">
    <cfRule type="duplicateValues" dxfId="491" priority="20408"/>
    <cfRule type="duplicateValues" dxfId="490" priority="20410"/>
    <cfRule type="duplicateValues" dxfId="489" priority="20409"/>
    <cfRule type="duplicateValues" dxfId="488" priority="20421"/>
    <cfRule type="duplicateValues" dxfId="487" priority="20420"/>
    <cfRule type="duplicateValues" dxfId="486" priority="20419"/>
    <cfRule type="duplicateValues" dxfId="485" priority="20418"/>
    <cfRule type="duplicateValues" dxfId="484" priority="20417"/>
    <cfRule type="duplicateValues" dxfId="483" priority="20416"/>
    <cfRule type="duplicateValues" dxfId="482" priority="20415"/>
    <cfRule type="duplicateValues" dxfId="481" priority="20414"/>
    <cfRule type="duplicateValues" dxfId="480" priority="20413"/>
    <cfRule type="duplicateValues" dxfId="479" priority="20412"/>
    <cfRule type="duplicateValues" dxfId="478" priority="20411"/>
    <cfRule type="duplicateValues" dxfId="477" priority="20403"/>
    <cfRule type="duplicateValues" dxfId="476" priority="20404"/>
    <cfRule type="duplicateValues" dxfId="475" priority="20405"/>
    <cfRule type="duplicateValues" dxfId="474" priority="20406"/>
    <cfRule type="duplicateValues" dxfId="473" priority="20407"/>
  </conditionalFormatting>
  <conditionalFormatting sqref="B115:B118 B47 B42:B44 B37:B39 B32:B34 B27:B29">
    <cfRule type="duplicateValues" dxfId="472" priority="26705"/>
    <cfRule type="duplicateValues" dxfId="471" priority="26706"/>
    <cfRule type="duplicateValues" dxfId="470" priority="26699"/>
    <cfRule type="duplicateValues" dxfId="469" priority="26697"/>
    <cfRule type="duplicateValues" dxfId="468" priority="26698"/>
    <cfRule type="duplicateValues" dxfId="467" priority="26700"/>
    <cfRule type="duplicateValues" dxfId="466" priority="26701"/>
    <cfRule type="duplicateValues" dxfId="465" priority="26702"/>
    <cfRule type="duplicateValues" dxfId="464" priority="26703"/>
    <cfRule type="duplicateValues" dxfId="463" priority="26704"/>
  </conditionalFormatting>
  <conditionalFormatting sqref="B119 B23:B24 B48:B51 B61:B64 B72:B90">
    <cfRule type="duplicateValues" dxfId="462" priority="19175"/>
    <cfRule type="duplicateValues" dxfId="461" priority="19174"/>
    <cfRule type="duplicateValues" dxfId="460" priority="19173"/>
    <cfRule type="duplicateValues" dxfId="459" priority="19172"/>
    <cfRule type="duplicateValues" dxfId="458" priority="19171"/>
    <cfRule type="duplicateValues" dxfId="457" priority="19170"/>
  </conditionalFormatting>
  <conditionalFormatting sqref="B119:B1048576 B3:B26 B48:B64 B72:B90">
    <cfRule type="duplicateValues" dxfId="456" priority="23878"/>
    <cfRule type="duplicateValues" dxfId="455" priority="23879"/>
    <cfRule type="duplicateValues" dxfId="454" priority="23880"/>
    <cfRule type="duplicateValues" dxfId="453" priority="23881"/>
  </conditionalFormatting>
  <conditionalFormatting sqref="B120:B1048576 B22 B17:B20 B57:B60">
    <cfRule type="duplicateValues" dxfId="452" priority="649"/>
    <cfRule type="duplicateValues" dxfId="451" priority="651"/>
    <cfRule type="duplicateValues" dxfId="450" priority="650"/>
    <cfRule type="duplicateValues" dxfId="449" priority="644"/>
  </conditionalFormatting>
  <conditionalFormatting sqref="B120:B1048576 B22 B52 B57:B60 B3:B20 B25:B26">
    <cfRule type="duplicateValues" dxfId="448" priority="519"/>
  </conditionalFormatting>
  <conditionalFormatting sqref="B120:B1048576 B52:B60 B3:B22 B25:B26">
    <cfRule type="duplicateValues" dxfId="447" priority="18769"/>
    <cfRule type="duplicateValues" dxfId="446" priority="18768"/>
  </conditionalFormatting>
  <conditionalFormatting sqref="E3:AH119">
    <cfRule type="containsText" dxfId="445" priority="297" operator="containsText" text="S">
      <formula>NOT(ISERROR(SEARCH("S",E3)))</formula>
    </cfRule>
    <cfRule type="containsText" dxfId="444" priority="296" operator="containsText" text="PH">
      <formula>NOT(ISERROR(SEARCH("PH",E3)))</formula>
    </cfRule>
    <cfRule type="containsText" dxfId="443" priority="299" operator="containsText" text="A">
      <formula>NOT(ISERROR(SEARCH("A",E3)))</formula>
    </cfRule>
    <cfRule type="containsText" dxfId="442" priority="295" operator="containsText" text="OT">
      <formula>NOT(ISERROR(SEARCH("OT",E3)))</formula>
    </cfRule>
    <cfRule type="containsText" dxfId="441" priority="298" operator="containsText" text="S">
      <formula>NOT(ISERROR(SEARCH("S",E3)))</formula>
    </cfRule>
  </conditionalFormatting>
  <conditionalFormatting sqref="Y25:AD47 AF25:AH47">
    <cfRule type="containsText" dxfId="440" priority="87" operator="containsText" text="FAR">
      <formula>NOT(ISERROR(SEARCH("FAR",Y25)))</formula>
    </cfRule>
  </conditionalFormatting>
  <pageMargins left="0.7" right="0.7" top="0.75" bottom="0.75" header="0.3" footer="0.3"/>
  <pageSetup paperSize="9" scale="5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A7FF-178E-4A88-9C57-7F6CF5D8E518}">
  <sheetPr>
    <pageSetUpPr fitToPage="1"/>
  </sheetPr>
  <dimension ref="A1:AL99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:A37"/>
    </sheetView>
  </sheetViews>
  <sheetFormatPr defaultColWidth="6.7109375" defaultRowHeight="18" customHeight="1" x14ac:dyDescent="0.25"/>
  <cols>
    <col min="1" max="2" width="6.28515625" style="6" customWidth="1"/>
    <col min="3" max="3" width="24.5703125" style="9" bestFit="1" customWidth="1"/>
    <col min="4" max="4" width="17" style="6" customWidth="1"/>
    <col min="5" max="34" width="5.28515625" style="6" customWidth="1"/>
    <col min="35" max="35" width="10.85546875" style="6" customWidth="1"/>
    <col min="36" max="36" width="8.7109375" style="6" customWidth="1"/>
    <col min="37" max="37" width="12.7109375" style="6" customWidth="1"/>
    <col min="38" max="38" width="31" style="6" bestFit="1" customWidth="1"/>
    <col min="39" max="16384" width="6.7109375" style="6"/>
  </cols>
  <sheetData>
    <row r="1" spans="1:38" ht="39.75" customHeight="1" x14ac:dyDescent="0.25">
      <c r="A1" s="40" t="s">
        <v>514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pans="1:38" ht="40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1</v>
      </c>
      <c r="F2" s="1">
        <v>2</v>
      </c>
      <c r="G2" s="1">
        <v>3</v>
      </c>
      <c r="H2" s="1">
        <v>4</v>
      </c>
      <c r="I2" s="34">
        <v>5</v>
      </c>
      <c r="J2" s="1">
        <v>6</v>
      </c>
      <c r="K2" s="29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29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29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29">
        <v>28</v>
      </c>
      <c r="AG2" s="1">
        <v>29</v>
      </c>
      <c r="AH2" s="1">
        <v>30</v>
      </c>
      <c r="AI2" s="20" t="s">
        <v>5</v>
      </c>
      <c r="AJ2" s="20" t="s">
        <v>81</v>
      </c>
      <c r="AK2" s="1" t="s">
        <v>6</v>
      </c>
      <c r="AL2" s="1" t="s">
        <v>4</v>
      </c>
    </row>
    <row r="3" spans="1:38" ht="19.899999999999999" customHeight="1" x14ac:dyDescent="0.25">
      <c r="A3" s="2">
        <v>1</v>
      </c>
      <c r="B3" s="7" t="s">
        <v>74</v>
      </c>
      <c r="C3" s="4" t="s">
        <v>75</v>
      </c>
      <c r="D3" s="2" t="s">
        <v>9</v>
      </c>
      <c r="E3" s="23" t="s">
        <v>11</v>
      </c>
      <c r="F3" s="23" t="s">
        <v>11</v>
      </c>
      <c r="G3" s="13" t="s">
        <v>11</v>
      </c>
      <c r="H3" s="23" t="s">
        <v>11</v>
      </c>
      <c r="I3" s="13" t="s">
        <v>515</v>
      </c>
      <c r="J3" s="23" t="s">
        <v>11</v>
      </c>
      <c r="K3" s="23" t="s">
        <v>10</v>
      </c>
      <c r="L3" s="23" t="s">
        <v>11</v>
      </c>
      <c r="M3" s="23" t="s">
        <v>11</v>
      </c>
      <c r="N3" s="13" t="s">
        <v>11</v>
      </c>
      <c r="O3" s="23" t="s">
        <v>11</v>
      </c>
      <c r="P3" s="23" t="s">
        <v>11</v>
      </c>
      <c r="Q3" s="23" t="s">
        <v>11</v>
      </c>
      <c r="R3" s="23" t="s">
        <v>10</v>
      </c>
      <c r="S3" s="23" t="s">
        <v>11</v>
      </c>
      <c r="T3" s="23" t="s">
        <v>11</v>
      </c>
      <c r="U3" s="13" t="s">
        <v>11</v>
      </c>
      <c r="V3" s="23" t="s">
        <v>11</v>
      </c>
      <c r="W3" s="23" t="s">
        <v>11</v>
      </c>
      <c r="X3" s="23" t="s">
        <v>11</v>
      </c>
      <c r="Y3" s="23" t="s">
        <v>10</v>
      </c>
      <c r="Z3" s="23" t="s">
        <v>11</v>
      </c>
      <c r="AA3" s="23" t="s">
        <v>11</v>
      </c>
      <c r="AB3" s="13" t="s">
        <v>11</v>
      </c>
      <c r="AC3" s="23" t="s">
        <v>11</v>
      </c>
      <c r="AD3" s="23" t="s">
        <v>11</v>
      </c>
      <c r="AE3" s="23" t="s">
        <v>11</v>
      </c>
      <c r="AF3" s="13" t="s">
        <v>10</v>
      </c>
      <c r="AG3" s="13" t="s">
        <v>11</v>
      </c>
      <c r="AH3" s="13" t="s">
        <v>11</v>
      </c>
      <c r="AI3" s="5">
        <f t="shared" ref="AI3:AI38" si="0">COUNTIF(E3:AH3, "P")+COUNTIF(E3:AH3, "OT")</f>
        <v>25</v>
      </c>
      <c r="AJ3" s="21"/>
      <c r="AK3" s="14">
        <f t="shared" ref="AK3:AK38" si="1">AI3*AJ3</f>
        <v>0</v>
      </c>
      <c r="AL3" s="2" t="s">
        <v>76</v>
      </c>
    </row>
    <row r="4" spans="1:38" ht="19.899999999999999" customHeight="1" x14ac:dyDescent="0.25">
      <c r="A4" s="2">
        <v>2</v>
      </c>
      <c r="B4" s="2" t="s">
        <v>16</v>
      </c>
      <c r="C4" s="4" t="s">
        <v>17</v>
      </c>
      <c r="D4" s="2" t="s">
        <v>9</v>
      </c>
      <c r="E4" s="23" t="s">
        <v>11</v>
      </c>
      <c r="F4" s="23" t="s">
        <v>11</v>
      </c>
      <c r="G4" s="13" t="s">
        <v>11</v>
      </c>
      <c r="H4" s="23" t="s">
        <v>11</v>
      </c>
      <c r="I4" s="13" t="s">
        <v>515</v>
      </c>
      <c r="J4" s="23" t="s">
        <v>11</v>
      </c>
      <c r="K4" s="23" t="s">
        <v>10</v>
      </c>
      <c r="L4" s="23" t="s">
        <v>11</v>
      </c>
      <c r="M4" s="23" t="s">
        <v>11</v>
      </c>
      <c r="N4" s="13" t="s">
        <v>11</v>
      </c>
      <c r="O4" s="23" t="s">
        <v>11</v>
      </c>
      <c r="P4" s="23" t="s">
        <v>11</v>
      </c>
      <c r="Q4" s="23" t="s">
        <v>11</v>
      </c>
      <c r="R4" s="23" t="s">
        <v>10</v>
      </c>
      <c r="S4" s="23" t="s">
        <v>11</v>
      </c>
      <c r="T4" s="23" t="s">
        <v>11</v>
      </c>
      <c r="U4" s="13" t="s">
        <v>11</v>
      </c>
      <c r="V4" s="23" t="s">
        <v>11</v>
      </c>
      <c r="W4" s="23" t="s">
        <v>11</v>
      </c>
      <c r="X4" s="23" t="s">
        <v>11</v>
      </c>
      <c r="Y4" s="23" t="s">
        <v>10</v>
      </c>
      <c r="Z4" s="23" t="s">
        <v>11</v>
      </c>
      <c r="AA4" s="23" t="s">
        <v>11</v>
      </c>
      <c r="AB4" s="13" t="s">
        <v>11</v>
      </c>
      <c r="AC4" s="23" t="s">
        <v>11</v>
      </c>
      <c r="AD4" s="23" t="s">
        <v>11</v>
      </c>
      <c r="AE4" s="23" t="s">
        <v>11</v>
      </c>
      <c r="AF4" s="13" t="s">
        <v>10</v>
      </c>
      <c r="AG4" s="13" t="s">
        <v>11</v>
      </c>
      <c r="AH4" s="13" t="s">
        <v>11</v>
      </c>
      <c r="AI4" s="5">
        <f t="shared" si="0"/>
        <v>25</v>
      </c>
      <c r="AJ4" s="21"/>
      <c r="AK4" s="14">
        <f t="shared" si="1"/>
        <v>0</v>
      </c>
      <c r="AL4" s="2" t="s">
        <v>78</v>
      </c>
    </row>
    <row r="5" spans="1:38" ht="19.899999999999999" customHeight="1" x14ac:dyDescent="0.25">
      <c r="A5" s="2">
        <v>3</v>
      </c>
      <c r="B5" s="2" t="s">
        <v>30</v>
      </c>
      <c r="C5" s="4" t="s">
        <v>31</v>
      </c>
      <c r="D5" s="2" t="s">
        <v>9</v>
      </c>
      <c r="E5" s="23" t="s">
        <v>11</v>
      </c>
      <c r="F5" s="23" t="s">
        <v>11</v>
      </c>
      <c r="G5" s="13" t="s">
        <v>11</v>
      </c>
      <c r="H5" s="23" t="s">
        <v>11</v>
      </c>
      <c r="I5" s="13" t="s">
        <v>515</v>
      </c>
      <c r="J5" s="23" t="s">
        <v>11</v>
      </c>
      <c r="K5" s="23" t="s">
        <v>10</v>
      </c>
      <c r="L5" s="23" t="s">
        <v>11</v>
      </c>
      <c r="M5" s="23" t="s">
        <v>11</v>
      </c>
      <c r="N5" s="13" t="s">
        <v>11</v>
      </c>
      <c r="O5" s="23" t="s">
        <v>11</v>
      </c>
      <c r="P5" s="23" t="s">
        <v>11</v>
      </c>
      <c r="Q5" s="23" t="s">
        <v>11</v>
      </c>
      <c r="R5" s="23" t="s">
        <v>10</v>
      </c>
      <c r="S5" s="23" t="s">
        <v>11</v>
      </c>
      <c r="T5" s="23" t="s">
        <v>11</v>
      </c>
      <c r="U5" s="13" t="s">
        <v>11</v>
      </c>
      <c r="V5" s="23" t="s">
        <v>11</v>
      </c>
      <c r="W5" s="23" t="s">
        <v>11</v>
      </c>
      <c r="X5" s="23" t="s">
        <v>11</v>
      </c>
      <c r="Y5" s="23" t="s">
        <v>10</v>
      </c>
      <c r="Z5" s="23" t="s">
        <v>11</v>
      </c>
      <c r="AA5" s="23" t="s">
        <v>11</v>
      </c>
      <c r="AB5" s="13" t="s">
        <v>11</v>
      </c>
      <c r="AC5" s="23" t="s">
        <v>11</v>
      </c>
      <c r="AD5" s="23" t="s">
        <v>11</v>
      </c>
      <c r="AE5" s="23" t="s">
        <v>11</v>
      </c>
      <c r="AF5" s="13" t="s">
        <v>10</v>
      </c>
      <c r="AG5" s="13" t="s">
        <v>11</v>
      </c>
      <c r="AH5" s="13" t="s">
        <v>11</v>
      </c>
      <c r="AI5" s="5">
        <f t="shared" ref="AI5:AI12" si="2">COUNTIF(E5:AH5, "P")+COUNTIF(E5:AH5, "OT")</f>
        <v>25</v>
      </c>
      <c r="AJ5" s="21"/>
      <c r="AK5" s="14">
        <f t="shared" ref="AK5:AK12" si="3">AI5*AJ5</f>
        <v>0</v>
      </c>
      <c r="AL5" s="2" t="s">
        <v>78</v>
      </c>
    </row>
    <row r="6" spans="1:38" ht="19.899999999999999" customHeight="1" x14ac:dyDescent="0.25">
      <c r="A6" s="2">
        <v>4</v>
      </c>
      <c r="B6" s="7" t="s">
        <v>12</v>
      </c>
      <c r="C6" s="4" t="s">
        <v>13</v>
      </c>
      <c r="D6" s="2" t="s">
        <v>9</v>
      </c>
      <c r="E6" s="23" t="s">
        <v>11</v>
      </c>
      <c r="F6" s="23" t="s">
        <v>11</v>
      </c>
      <c r="G6" s="13" t="s">
        <v>11</v>
      </c>
      <c r="H6" s="23" t="s">
        <v>11</v>
      </c>
      <c r="I6" s="13" t="s">
        <v>515</v>
      </c>
      <c r="J6" s="23" t="s">
        <v>11</v>
      </c>
      <c r="K6" s="23" t="s">
        <v>10</v>
      </c>
      <c r="L6" s="23" t="s">
        <v>11</v>
      </c>
      <c r="M6" s="23" t="s">
        <v>11</v>
      </c>
      <c r="N6" s="13" t="s">
        <v>11</v>
      </c>
      <c r="O6" s="23" t="s">
        <v>11</v>
      </c>
      <c r="P6" s="23" t="s">
        <v>11</v>
      </c>
      <c r="Q6" s="23" t="s">
        <v>11</v>
      </c>
      <c r="R6" s="23" t="s">
        <v>10</v>
      </c>
      <c r="S6" s="23" t="s">
        <v>11</v>
      </c>
      <c r="T6" s="23" t="s">
        <v>11</v>
      </c>
      <c r="U6" s="13" t="s">
        <v>11</v>
      </c>
      <c r="V6" s="23" t="s">
        <v>11</v>
      </c>
      <c r="W6" s="23" t="s">
        <v>11</v>
      </c>
      <c r="X6" s="23" t="s">
        <v>11</v>
      </c>
      <c r="Y6" s="23" t="s">
        <v>10</v>
      </c>
      <c r="Z6" s="23" t="s">
        <v>11</v>
      </c>
      <c r="AA6" s="23" t="s">
        <v>11</v>
      </c>
      <c r="AB6" s="13" t="s">
        <v>11</v>
      </c>
      <c r="AC6" s="23" t="s">
        <v>11</v>
      </c>
      <c r="AD6" s="23" t="s">
        <v>11</v>
      </c>
      <c r="AE6" s="23" t="s">
        <v>11</v>
      </c>
      <c r="AF6" s="13" t="s">
        <v>10</v>
      </c>
      <c r="AG6" s="13" t="s">
        <v>11</v>
      </c>
      <c r="AH6" s="13" t="s">
        <v>11</v>
      </c>
      <c r="AI6" s="5">
        <f t="shared" si="2"/>
        <v>25</v>
      </c>
      <c r="AJ6" s="21"/>
      <c r="AK6" s="14">
        <f t="shared" si="3"/>
        <v>0</v>
      </c>
      <c r="AL6" s="2" t="s">
        <v>77</v>
      </c>
    </row>
    <row r="7" spans="1:38" ht="19.899999999999999" customHeight="1" x14ac:dyDescent="0.25">
      <c r="A7" s="2">
        <v>5</v>
      </c>
      <c r="B7" s="7" t="s">
        <v>14</v>
      </c>
      <c r="C7" s="4" t="s">
        <v>15</v>
      </c>
      <c r="D7" s="2" t="s">
        <v>9</v>
      </c>
      <c r="E7" s="23" t="s">
        <v>11</v>
      </c>
      <c r="F7" s="23" t="s">
        <v>11</v>
      </c>
      <c r="G7" s="13" t="s">
        <v>11</v>
      </c>
      <c r="H7" s="23" t="s">
        <v>11</v>
      </c>
      <c r="I7" s="13" t="s">
        <v>515</v>
      </c>
      <c r="J7" s="23" t="s">
        <v>11</v>
      </c>
      <c r="K7" s="23" t="s">
        <v>10</v>
      </c>
      <c r="L7" s="23" t="s">
        <v>11</v>
      </c>
      <c r="M7" s="23" t="s">
        <v>11</v>
      </c>
      <c r="N7" s="13" t="s">
        <v>11</v>
      </c>
      <c r="O7" s="23" t="s">
        <v>11</v>
      </c>
      <c r="P7" s="23" t="s">
        <v>11</v>
      </c>
      <c r="Q7" s="23" t="s">
        <v>11</v>
      </c>
      <c r="R7" s="23" t="s">
        <v>10</v>
      </c>
      <c r="S7" s="23" t="s">
        <v>11</v>
      </c>
      <c r="T7" s="23" t="s">
        <v>11</v>
      </c>
      <c r="U7" s="13" t="s">
        <v>11</v>
      </c>
      <c r="V7" s="23" t="s">
        <v>11</v>
      </c>
      <c r="W7" s="23" t="s">
        <v>11</v>
      </c>
      <c r="X7" s="23" t="s">
        <v>11</v>
      </c>
      <c r="Y7" s="23" t="s">
        <v>10</v>
      </c>
      <c r="Z7" s="23" t="s">
        <v>11</v>
      </c>
      <c r="AA7" s="23" t="s">
        <v>11</v>
      </c>
      <c r="AB7" s="13" t="s">
        <v>11</v>
      </c>
      <c r="AC7" s="23" t="s">
        <v>11</v>
      </c>
      <c r="AD7" s="23" t="s">
        <v>11</v>
      </c>
      <c r="AE7" s="23" t="s">
        <v>11</v>
      </c>
      <c r="AF7" s="13" t="s">
        <v>10</v>
      </c>
      <c r="AG7" s="13" t="s">
        <v>11</v>
      </c>
      <c r="AH7" s="13" t="s">
        <v>11</v>
      </c>
      <c r="AI7" s="5">
        <f t="shared" si="2"/>
        <v>25</v>
      </c>
      <c r="AJ7" s="21"/>
      <c r="AK7" s="14">
        <f t="shared" si="3"/>
        <v>0</v>
      </c>
      <c r="AL7" s="2" t="s">
        <v>77</v>
      </c>
    </row>
    <row r="8" spans="1:38" ht="19.899999999999999" customHeight="1" x14ac:dyDescent="0.25">
      <c r="A8" s="2">
        <v>6</v>
      </c>
      <c r="B8" s="7" t="s">
        <v>43</v>
      </c>
      <c r="C8" s="4" t="s">
        <v>44</v>
      </c>
      <c r="D8" s="2" t="s">
        <v>9</v>
      </c>
      <c r="E8" s="23" t="s">
        <v>11</v>
      </c>
      <c r="F8" s="23" t="s">
        <v>11</v>
      </c>
      <c r="G8" s="13" t="s">
        <v>11</v>
      </c>
      <c r="H8" s="23" t="s">
        <v>11</v>
      </c>
      <c r="I8" s="13" t="s">
        <v>515</v>
      </c>
      <c r="J8" s="23" t="s">
        <v>11</v>
      </c>
      <c r="K8" s="23" t="s">
        <v>10</v>
      </c>
      <c r="L8" s="23" t="s">
        <v>11</v>
      </c>
      <c r="M8" s="23" t="s">
        <v>11</v>
      </c>
      <c r="N8" s="13" t="s">
        <v>11</v>
      </c>
      <c r="O8" s="23" t="s">
        <v>11</v>
      </c>
      <c r="P8" s="23" t="s">
        <v>11</v>
      </c>
      <c r="Q8" s="23" t="s">
        <v>11</v>
      </c>
      <c r="R8" s="23" t="s">
        <v>10</v>
      </c>
      <c r="S8" s="23" t="s">
        <v>11</v>
      </c>
      <c r="T8" s="23" t="s">
        <v>11</v>
      </c>
      <c r="U8" s="13" t="s">
        <v>11</v>
      </c>
      <c r="V8" s="23" t="s">
        <v>11</v>
      </c>
      <c r="W8" s="23" t="s">
        <v>11</v>
      </c>
      <c r="X8" s="23" t="s">
        <v>11</v>
      </c>
      <c r="Y8" s="23" t="s">
        <v>10</v>
      </c>
      <c r="Z8" s="23" t="s">
        <v>11</v>
      </c>
      <c r="AA8" s="23" t="s">
        <v>11</v>
      </c>
      <c r="AB8" s="13" t="s">
        <v>11</v>
      </c>
      <c r="AC8" s="23" t="s">
        <v>11</v>
      </c>
      <c r="AD8" s="23" t="s">
        <v>11</v>
      </c>
      <c r="AE8" s="23" t="s">
        <v>11</v>
      </c>
      <c r="AF8" s="13" t="s">
        <v>10</v>
      </c>
      <c r="AG8" s="13" t="s">
        <v>11</v>
      </c>
      <c r="AH8" s="13" t="s">
        <v>11</v>
      </c>
      <c r="AI8" s="5">
        <f t="shared" si="2"/>
        <v>25</v>
      </c>
      <c r="AJ8" s="21"/>
      <c r="AK8" s="14">
        <f t="shared" si="3"/>
        <v>0</v>
      </c>
      <c r="AL8" s="2" t="s">
        <v>77</v>
      </c>
    </row>
    <row r="9" spans="1:38" ht="19.899999999999999" customHeight="1" x14ac:dyDescent="0.25">
      <c r="A9" s="2">
        <v>7</v>
      </c>
      <c r="B9" s="7" t="s">
        <v>47</v>
      </c>
      <c r="C9" s="4" t="s">
        <v>48</v>
      </c>
      <c r="D9" s="2" t="s">
        <v>9</v>
      </c>
      <c r="E9" s="23" t="s">
        <v>11</v>
      </c>
      <c r="F9" s="23" t="s">
        <v>11</v>
      </c>
      <c r="G9" s="13" t="s">
        <v>11</v>
      </c>
      <c r="H9" s="23" t="s">
        <v>11</v>
      </c>
      <c r="I9" s="13" t="s">
        <v>515</v>
      </c>
      <c r="J9" s="23" t="s">
        <v>11</v>
      </c>
      <c r="K9" s="23" t="s">
        <v>10</v>
      </c>
      <c r="L9" s="23" t="s">
        <v>11</v>
      </c>
      <c r="M9" s="23" t="s">
        <v>11</v>
      </c>
      <c r="N9" s="13" t="s">
        <v>11</v>
      </c>
      <c r="O9" s="23" t="s">
        <v>11</v>
      </c>
      <c r="P9" s="23" t="s">
        <v>11</v>
      </c>
      <c r="Q9" s="23" t="s">
        <v>11</v>
      </c>
      <c r="R9" s="23" t="s">
        <v>10</v>
      </c>
      <c r="S9" s="23" t="s">
        <v>11</v>
      </c>
      <c r="T9" s="23" t="s">
        <v>11</v>
      </c>
      <c r="U9" s="13" t="s">
        <v>11</v>
      </c>
      <c r="V9" s="23" t="s">
        <v>11</v>
      </c>
      <c r="W9" s="23" t="s">
        <v>11</v>
      </c>
      <c r="X9" s="23" t="s">
        <v>11</v>
      </c>
      <c r="Y9" s="23" t="s">
        <v>10</v>
      </c>
      <c r="Z9" s="23" t="s">
        <v>11</v>
      </c>
      <c r="AA9" s="23" t="s">
        <v>11</v>
      </c>
      <c r="AB9" s="13" t="s">
        <v>11</v>
      </c>
      <c r="AC9" s="23" t="s">
        <v>11</v>
      </c>
      <c r="AD9" s="23" t="s">
        <v>11</v>
      </c>
      <c r="AE9" s="23" t="s">
        <v>11</v>
      </c>
      <c r="AF9" s="13" t="s">
        <v>10</v>
      </c>
      <c r="AG9" s="13" t="s">
        <v>11</v>
      </c>
      <c r="AH9" s="13" t="s">
        <v>11</v>
      </c>
      <c r="AI9" s="5">
        <f t="shared" si="2"/>
        <v>25</v>
      </c>
      <c r="AJ9" s="21"/>
      <c r="AK9" s="14">
        <f t="shared" si="3"/>
        <v>0</v>
      </c>
      <c r="AL9" s="2" t="s">
        <v>516</v>
      </c>
    </row>
    <row r="10" spans="1:38" ht="19.899999999999999" customHeight="1" x14ac:dyDescent="0.25">
      <c r="A10" s="2">
        <v>8</v>
      </c>
      <c r="B10" s="7" t="s">
        <v>38</v>
      </c>
      <c r="C10" s="4" t="s">
        <v>39</v>
      </c>
      <c r="D10" s="2" t="s">
        <v>9</v>
      </c>
      <c r="E10" s="23" t="s">
        <v>11</v>
      </c>
      <c r="F10" s="23" t="s">
        <v>11</v>
      </c>
      <c r="G10" s="13" t="s">
        <v>11</v>
      </c>
      <c r="H10" s="23" t="s">
        <v>11</v>
      </c>
      <c r="I10" s="13" t="s">
        <v>515</v>
      </c>
      <c r="J10" s="23" t="s">
        <v>11</v>
      </c>
      <c r="K10" s="23" t="s">
        <v>10</v>
      </c>
      <c r="L10" s="23" t="s">
        <v>11</v>
      </c>
      <c r="M10" s="23" t="s">
        <v>11</v>
      </c>
      <c r="N10" s="13" t="s">
        <v>11</v>
      </c>
      <c r="O10" s="23" t="s">
        <v>11</v>
      </c>
      <c r="P10" s="23" t="s">
        <v>11</v>
      </c>
      <c r="Q10" s="23" t="s">
        <v>11</v>
      </c>
      <c r="R10" s="23" t="s">
        <v>10</v>
      </c>
      <c r="S10" s="23" t="s">
        <v>11</v>
      </c>
      <c r="T10" s="23" t="s">
        <v>11</v>
      </c>
      <c r="U10" s="13" t="s">
        <v>11</v>
      </c>
      <c r="V10" s="23" t="s">
        <v>11</v>
      </c>
      <c r="W10" s="23" t="s">
        <v>11</v>
      </c>
      <c r="X10" s="23" t="s">
        <v>11</v>
      </c>
      <c r="Y10" s="23" t="s">
        <v>10</v>
      </c>
      <c r="Z10" s="23" t="s">
        <v>11</v>
      </c>
      <c r="AA10" s="23" t="s">
        <v>11</v>
      </c>
      <c r="AB10" s="13" t="s">
        <v>11</v>
      </c>
      <c r="AC10" s="23" t="s">
        <v>11</v>
      </c>
      <c r="AD10" s="23" t="s">
        <v>11</v>
      </c>
      <c r="AE10" s="23" t="s">
        <v>11</v>
      </c>
      <c r="AF10" s="13" t="s">
        <v>10</v>
      </c>
      <c r="AG10" s="13" t="s">
        <v>11</v>
      </c>
      <c r="AH10" s="13" t="s">
        <v>11</v>
      </c>
      <c r="AI10" s="5">
        <f t="shared" si="2"/>
        <v>25</v>
      </c>
      <c r="AJ10" s="21"/>
      <c r="AK10" s="14">
        <f t="shared" si="3"/>
        <v>0</v>
      </c>
      <c r="AL10" s="2" t="s">
        <v>517</v>
      </c>
    </row>
    <row r="11" spans="1:38" ht="19.899999999999999" customHeight="1" x14ac:dyDescent="0.25">
      <c r="A11" s="2">
        <v>9</v>
      </c>
      <c r="B11" s="3" t="s">
        <v>50</v>
      </c>
      <c r="C11" s="4" t="s">
        <v>51</v>
      </c>
      <c r="D11" s="2" t="s">
        <v>9</v>
      </c>
      <c r="E11" s="23" t="s">
        <v>32</v>
      </c>
      <c r="F11" s="23" t="s">
        <v>11</v>
      </c>
      <c r="G11" s="13" t="s">
        <v>11</v>
      </c>
      <c r="H11" s="23" t="s">
        <v>11</v>
      </c>
      <c r="I11" s="13" t="s">
        <v>515</v>
      </c>
      <c r="J11" s="23" t="s">
        <v>11</v>
      </c>
      <c r="K11" s="23" t="s">
        <v>10</v>
      </c>
      <c r="L11" s="23" t="s">
        <v>11</v>
      </c>
      <c r="M11" s="23" t="s">
        <v>11</v>
      </c>
      <c r="N11" s="13" t="s">
        <v>11</v>
      </c>
      <c r="O11" s="23" t="s">
        <v>11</v>
      </c>
      <c r="P11" s="23" t="s">
        <v>11</v>
      </c>
      <c r="Q11" s="23" t="s">
        <v>11</v>
      </c>
      <c r="R11" s="23" t="s">
        <v>10</v>
      </c>
      <c r="S11" s="23" t="s">
        <v>32</v>
      </c>
      <c r="T11" s="23" t="s">
        <v>32</v>
      </c>
      <c r="U11" s="13" t="s">
        <v>32</v>
      </c>
      <c r="V11" s="23" t="s">
        <v>32</v>
      </c>
      <c r="W11" s="23" t="s">
        <v>11</v>
      </c>
      <c r="X11" s="23" t="s">
        <v>32</v>
      </c>
      <c r="Y11" s="23" t="s">
        <v>10</v>
      </c>
      <c r="Z11" s="23" t="s">
        <v>11</v>
      </c>
      <c r="AA11" s="23" t="s">
        <v>11</v>
      </c>
      <c r="AB11" s="13" t="s">
        <v>11</v>
      </c>
      <c r="AC11" s="23" t="s">
        <v>11</v>
      </c>
      <c r="AD11" s="23" t="s">
        <v>11</v>
      </c>
      <c r="AE11" s="23" t="s">
        <v>11</v>
      </c>
      <c r="AF11" s="13" t="s">
        <v>10</v>
      </c>
      <c r="AG11" s="13" t="s">
        <v>11</v>
      </c>
      <c r="AH11" s="13" t="s">
        <v>11</v>
      </c>
      <c r="AI11" s="5">
        <f t="shared" si="2"/>
        <v>19</v>
      </c>
      <c r="AJ11" s="21"/>
      <c r="AK11" s="14">
        <f t="shared" si="3"/>
        <v>0</v>
      </c>
      <c r="AL11" s="2" t="s">
        <v>475</v>
      </c>
    </row>
    <row r="12" spans="1:38" ht="19.899999999999999" customHeight="1" x14ac:dyDescent="0.25">
      <c r="A12" s="2">
        <v>10</v>
      </c>
      <c r="B12" s="2" t="s">
        <v>20</v>
      </c>
      <c r="C12" s="4" t="s">
        <v>21</v>
      </c>
      <c r="D12" s="2" t="s">
        <v>9</v>
      </c>
      <c r="E12" s="23" t="s">
        <v>11</v>
      </c>
      <c r="F12" s="23" t="s">
        <v>11</v>
      </c>
      <c r="G12" s="13" t="s">
        <v>11</v>
      </c>
      <c r="H12" s="23" t="s">
        <v>11</v>
      </c>
      <c r="I12" s="13" t="s">
        <v>515</v>
      </c>
      <c r="J12" s="23" t="s">
        <v>11</v>
      </c>
      <c r="K12" s="23" t="s">
        <v>10</v>
      </c>
      <c r="L12" s="23" t="s">
        <v>11</v>
      </c>
      <c r="M12" s="23" t="s">
        <v>11</v>
      </c>
      <c r="N12" s="13" t="s">
        <v>11</v>
      </c>
      <c r="O12" s="23" t="s">
        <v>11</v>
      </c>
      <c r="P12" s="23" t="s">
        <v>11</v>
      </c>
      <c r="Q12" s="23" t="s">
        <v>11</v>
      </c>
      <c r="R12" s="23" t="s">
        <v>10</v>
      </c>
      <c r="S12" s="23" t="s">
        <v>11</v>
      </c>
      <c r="T12" s="23" t="s">
        <v>11</v>
      </c>
      <c r="U12" s="13" t="s">
        <v>11</v>
      </c>
      <c r="V12" s="23" t="s">
        <v>11</v>
      </c>
      <c r="W12" s="23" t="s">
        <v>11</v>
      </c>
      <c r="X12" s="23" t="s">
        <v>11</v>
      </c>
      <c r="Y12" s="23" t="s">
        <v>10</v>
      </c>
      <c r="Z12" s="23" t="s">
        <v>11</v>
      </c>
      <c r="AA12" s="23" t="s">
        <v>11</v>
      </c>
      <c r="AB12" s="13" t="s">
        <v>11</v>
      </c>
      <c r="AC12" s="23" t="s">
        <v>11</v>
      </c>
      <c r="AD12" s="23" t="s">
        <v>11</v>
      </c>
      <c r="AE12" s="23" t="s">
        <v>11</v>
      </c>
      <c r="AF12" s="13" t="s">
        <v>10</v>
      </c>
      <c r="AG12" s="13" t="s">
        <v>11</v>
      </c>
      <c r="AH12" s="13" t="s">
        <v>11</v>
      </c>
      <c r="AI12" s="5">
        <f t="shared" si="2"/>
        <v>25</v>
      </c>
      <c r="AJ12" s="21"/>
      <c r="AK12" s="14">
        <f t="shared" si="3"/>
        <v>0</v>
      </c>
      <c r="AL12" s="2" t="s">
        <v>79</v>
      </c>
    </row>
    <row r="13" spans="1:38" ht="19.899999999999999" customHeight="1" x14ac:dyDescent="0.25">
      <c r="A13" s="2">
        <v>11</v>
      </c>
      <c r="B13" s="2" t="s">
        <v>34</v>
      </c>
      <c r="C13" s="4" t="s">
        <v>35</v>
      </c>
      <c r="D13" s="2" t="s">
        <v>9</v>
      </c>
      <c r="E13" s="23" t="s">
        <v>11</v>
      </c>
      <c r="F13" s="23" t="s">
        <v>11</v>
      </c>
      <c r="G13" s="13" t="s">
        <v>11</v>
      </c>
      <c r="H13" s="23" t="s">
        <v>11</v>
      </c>
      <c r="I13" s="13" t="s">
        <v>515</v>
      </c>
      <c r="J13" s="23" t="s">
        <v>11</v>
      </c>
      <c r="K13" s="23" t="s">
        <v>10</v>
      </c>
      <c r="L13" s="23" t="s">
        <v>11</v>
      </c>
      <c r="M13" s="23" t="s">
        <v>11</v>
      </c>
      <c r="N13" s="13" t="s">
        <v>11</v>
      </c>
      <c r="O13" s="23" t="s">
        <v>11</v>
      </c>
      <c r="P13" s="23" t="s">
        <v>11</v>
      </c>
      <c r="Q13" s="23" t="s">
        <v>11</v>
      </c>
      <c r="R13" s="23" t="s">
        <v>10</v>
      </c>
      <c r="S13" s="23" t="s">
        <v>11</v>
      </c>
      <c r="T13" s="23" t="s">
        <v>11</v>
      </c>
      <c r="U13" s="13" t="s">
        <v>11</v>
      </c>
      <c r="V13" s="23" t="s">
        <v>11</v>
      </c>
      <c r="W13" s="23" t="s">
        <v>11</v>
      </c>
      <c r="X13" s="23" t="s">
        <v>11</v>
      </c>
      <c r="Y13" s="23" t="s">
        <v>10</v>
      </c>
      <c r="Z13" s="23" t="s">
        <v>11</v>
      </c>
      <c r="AA13" s="23" t="s">
        <v>11</v>
      </c>
      <c r="AB13" s="13" t="s">
        <v>11</v>
      </c>
      <c r="AC13" s="23" t="s">
        <v>11</v>
      </c>
      <c r="AD13" s="23" t="s">
        <v>11</v>
      </c>
      <c r="AE13" s="23" t="s">
        <v>11</v>
      </c>
      <c r="AF13" s="13" t="s">
        <v>10</v>
      </c>
      <c r="AG13" s="13" t="s">
        <v>11</v>
      </c>
      <c r="AH13" s="13" t="s">
        <v>11</v>
      </c>
      <c r="AI13" s="5">
        <f t="shared" si="0"/>
        <v>25</v>
      </c>
      <c r="AJ13" s="21"/>
      <c r="AK13" s="14">
        <f t="shared" ref="AK13" si="4">AI13*AJ13</f>
        <v>0</v>
      </c>
      <c r="AL13" s="2" t="s">
        <v>423</v>
      </c>
    </row>
    <row r="14" spans="1:38" ht="19.899999999999999" customHeight="1" x14ac:dyDescent="0.25">
      <c r="A14" s="2">
        <v>12</v>
      </c>
      <c r="B14" s="2" t="s">
        <v>24</v>
      </c>
      <c r="C14" s="4" t="s">
        <v>25</v>
      </c>
      <c r="D14" s="2" t="s">
        <v>9</v>
      </c>
      <c r="E14" s="23" t="s">
        <v>11</v>
      </c>
      <c r="F14" s="23" t="s">
        <v>11</v>
      </c>
      <c r="G14" s="13" t="s">
        <v>11</v>
      </c>
      <c r="H14" s="23" t="s">
        <v>11</v>
      </c>
      <c r="I14" s="13" t="s">
        <v>515</v>
      </c>
      <c r="J14" s="23" t="s">
        <v>11</v>
      </c>
      <c r="K14" s="23" t="s">
        <v>10</v>
      </c>
      <c r="L14" s="23" t="s">
        <v>11</v>
      </c>
      <c r="M14" s="23" t="s">
        <v>11</v>
      </c>
      <c r="N14" s="13" t="s">
        <v>11</v>
      </c>
      <c r="O14" s="23" t="s">
        <v>11</v>
      </c>
      <c r="P14" s="23" t="s">
        <v>11</v>
      </c>
      <c r="Q14" s="23" t="s">
        <v>11</v>
      </c>
      <c r="R14" s="23" t="s">
        <v>10</v>
      </c>
      <c r="S14" s="23" t="s">
        <v>11</v>
      </c>
      <c r="T14" s="23" t="s">
        <v>11</v>
      </c>
      <c r="U14" s="13" t="s">
        <v>11</v>
      </c>
      <c r="V14" s="23" t="s">
        <v>11</v>
      </c>
      <c r="W14" s="23" t="s">
        <v>11</v>
      </c>
      <c r="X14" s="23" t="s">
        <v>11</v>
      </c>
      <c r="Y14" s="23" t="s">
        <v>10</v>
      </c>
      <c r="Z14" s="23" t="s">
        <v>11</v>
      </c>
      <c r="AA14" s="23" t="s">
        <v>11</v>
      </c>
      <c r="AB14" s="13" t="s">
        <v>11</v>
      </c>
      <c r="AC14" s="23" t="s">
        <v>11</v>
      </c>
      <c r="AD14" s="23" t="s">
        <v>11</v>
      </c>
      <c r="AE14" s="23" t="s">
        <v>11</v>
      </c>
      <c r="AF14" s="13" t="s">
        <v>10</v>
      </c>
      <c r="AG14" s="13" t="s">
        <v>11</v>
      </c>
      <c r="AH14" s="13" t="s">
        <v>11</v>
      </c>
      <c r="AI14" s="5">
        <f>COUNTIF(E14:AH14, "P")+COUNTIF(E14:AH14, "OT")</f>
        <v>25</v>
      </c>
      <c r="AJ14" s="21"/>
      <c r="AK14" s="14">
        <f>AI14*AJ14</f>
        <v>0</v>
      </c>
      <c r="AL14" s="2" t="s">
        <v>424</v>
      </c>
    </row>
    <row r="15" spans="1:38" ht="19.899999999999999" customHeight="1" x14ac:dyDescent="0.25">
      <c r="A15" s="2">
        <v>13</v>
      </c>
      <c r="B15" s="7" t="s">
        <v>57</v>
      </c>
      <c r="C15" s="4" t="s">
        <v>58</v>
      </c>
      <c r="D15" s="2" t="s">
        <v>9</v>
      </c>
      <c r="E15" s="23" t="s">
        <v>11</v>
      </c>
      <c r="F15" s="23" t="s">
        <v>11</v>
      </c>
      <c r="G15" s="13" t="s">
        <v>11</v>
      </c>
      <c r="H15" s="23" t="s">
        <v>11</v>
      </c>
      <c r="I15" s="13" t="s">
        <v>515</v>
      </c>
      <c r="J15" s="23" t="s">
        <v>11</v>
      </c>
      <c r="K15" s="23" t="s">
        <v>10</v>
      </c>
      <c r="L15" s="23" t="s">
        <v>11</v>
      </c>
      <c r="M15" s="23" t="s">
        <v>11</v>
      </c>
      <c r="N15" s="13" t="s">
        <v>11</v>
      </c>
      <c r="O15" s="23" t="s">
        <v>11</v>
      </c>
      <c r="P15" s="23" t="s">
        <v>11</v>
      </c>
      <c r="Q15" s="23" t="s">
        <v>11</v>
      </c>
      <c r="R15" s="23" t="s">
        <v>10</v>
      </c>
      <c r="S15" s="23" t="s">
        <v>11</v>
      </c>
      <c r="T15" s="23" t="s">
        <v>11</v>
      </c>
      <c r="U15" s="13" t="s">
        <v>11</v>
      </c>
      <c r="V15" s="23" t="s">
        <v>11</v>
      </c>
      <c r="W15" s="23" t="s">
        <v>11</v>
      </c>
      <c r="X15" s="23" t="s">
        <v>11</v>
      </c>
      <c r="Y15" s="23" t="s">
        <v>10</v>
      </c>
      <c r="Z15" s="23" t="s">
        <v>11</v>
      </c>
      <c r="AA15" s="23" t="s">
        <v>11</v>
      </c>
      <c r="AB15" s="13" t="s">
        <v>11</v>
      </c>
      <c r="AC15" s="23" t="s">
        <v>11</v>
      </c>
      <c r="AD15" s="23" t="s">
        <v>11</v>
      </c>
      <c r="AE15" s="23" t="s">
        <v>11</v>
      </c>
      <c r="AF15" s="13" t="s">
        <v>10</v>
      </c>
      <c r="AG15" s="13" t="s">
        <v>11</v>
      </c>
      <c r="AH15" s="13" t="s">
        <v>11</v>
      </c>
      <c r="AI15" s="5">
        <f>COUNTIF(E15:AH15, "P")+COUNTIF(E15:AH15, "OT")</f>
        <v>25</v>
      </c>
      <c r="AJ15" s="21"/>
      <c r="AK15" s="14">
        <f t="shared" ref="AK15" si="5">AI15*AJ15</f>
        <v>0</v>
      </c>
      <c r="AL15" s="2" t="s">
        <v>476</v>
      </c>
    </row>
    <row r="16" spans="1:38" ht="19.899999999999999" customHeight="1" x14ac:dyDescent="0.25">
      <c r="A16" s="2">
        <v>14</v>
      </c>
      <c r="B16" s="7" t="s">
        <v>68</v>
      </c>
      <c r="C16" s="4" t="s">
        <v>69</v>
      </c>
      <c r="D16" s="2" t="s">
        <v>9</v>
      </c>
      <c r="E16" s="23" t="s">
        <v>11</v>
      </c>
      <c r="F16" s="23" t="s">
        <v>11</v>
      </c>
      <c r="G16" s="13" t="s">
        <v>11</v>
      </c>
      <c r="H16" s="23" t="s">
        <v>11</v>
      </c>
      <c r="I16" s="13" t="s">
        <v>515</v>
      </c>
      <c r="J16" s="23" t="s">
        <v>11</v>
      </c>
      <c r="K16" s="23" t="s">
        <v>10</v>
      </c>
      <c r="L16" s="23" t="s">
        <v>11</v>
      </c>
      <c r="M16" s="23" t="s">
        <v>11</v>
      </c>
      <c r="N16" s="13" t="s">
        <v>11</v>
      </c>
      <c r="O16" s="23" t="s">
        <v>11</v>
      </c>
      <c r="P16" s="23" t="s">
        <v>11</v>
      </c>
      <c r="Q16" s="23" t="s">
        <v>11</v>
      </c>
      <c r="R16" s="23" t="s">
        <v>10</v>
      </c>
      <c r="S16" s="23" t="s">
        <v>11</v>
      </c>
      <c r="T16" s="23" t="s">
        <v>11</v>
      </c>
      <c r="U16" s="13" t="s">
        <v>11</v>
      </c>
      <c r="V16" s="23" t="s">
        <v>11</v>
      </c>
      <c r="W16" s="23" t="s">
        <v>11</v>
      </c>
      <c r="X16" s="23" t="s">
        <v>11</v>
      </c>
      <c r="Y16" s="23" t="s">
        <v>10</v>
      </c>
      <c r="Z16" s="23" t="s">
        <v>11</v>
      </c>
      <c r="AA16" s="23" t="s">
        <v>11</v>
      </c>
      <c r="AB16" s="13" t="s">
        <v>11</v>
      </c>
      <c r="AC16" s="23" t="s">
        <v>11</v>
      </c>
      <c r="AD16" s="23" t="s">
        <v>11</v>
      </c>
      <c r="AE16" s="23" t="s">
        <v>11</v>
      </c>
      <c r="AF16" s="13" t="s">
        <v>10</v>
      </c>
      <c r="AG16" s="13" t="s">
        <v>11</v>
      </c>
      <c r="AH16" s="13" t="s">
        <v>11</v>
      </c>
      <c r="AI16" s="5">
        <f>COUNTIF(E16:AH16, "P")+COUNTIF(E16:AH16, "OT")</f>
        <v>25</v>
      </c>
      <c r="AJ16" s="21"/>
      <c r="AK16" s="14">
        <f>AI16*AJ16</f>
        <v>0</v>
      </c>
      <c r="AL16" s="2" t="s">
        <v>425</v>
      </c>
    </row>
    <row r="17" spans="1:38" ht="19.899999999999999" customHeight="1" x14ac:dyDescent="0.25">
      <c r="A17" s="2">
        <v>15</v>
      </c>
      <c r="B17" s="7" t="s">
        <v>55</v>
      </c>
      <c r="C17" s="4" t="s">
        <v>56</v>
      </c>
      <c r="D17" s="2" t="s">
        <v>9</v>
      </c>
      <c r="E17" s="23" t="s">
        <v>11</v>
      </c>
      <c r="F17" s="23" t="s">
        <v>11</v>
      </c>
      <c r="G17" s="13" t="s">
        <v>11</v>
      </c>
      <c r="H17" s="23" t="s">
        <v>11</v>
      </c>
      <c r="I17" s="13" t="s">
        <v>515</v>
      </c>
      <c r="J17" s="23" t="s">
        <v>11</v>
      </c>
      <c r="K17" s="23" t="s">
        <v>10</v>
      </c>
      <c r="L17" s="23" t="s">
        <v>11</v>
      </c>
      <c r="M17" s="23" t="s">
        <v>11</v>
      </c>
      <c r="N17" s="13" t="s">
        <v>11</v>
      </c>
      <c r="O17" s="23" t="s">
        <v>11</v>
      </c>
      <c r="P17" s="23" t="s">
        <v>11</v>
      </c>
      <c r="Q17" s="23" t="s">
        <v>11</v>
      </c>
      <c r="R17" s="23" t="s">
        <v>10</v>
      </c>
      <c r="S17" s="23" t="s">
        <v>11</v>
      </c>
      <c r="T17" s="23" t="s">
        <v>11</v>
      </c>
      <c r="U17" s="13" t="s">
        <v>11</v>
      </c>
      <c r="V17" s="23" t="s">
        <v>11</v>
      </c>
      <c r="W17" s="23" t="s">
        <v>11</v>
      </c>
      <c r="X17" s="23" t="s">
        <v>11</v>
      </c>
      <c r="Y17" s="23" t="s">
        <v>10</v>
      </c>
      <c r="Z17" s="23" t="s">
        <v>11</v>
      </c>
      <c r="AA17" s="23" t="s">
        <v>11</v>
      </c>
      <c r="AB17" s="13" t="s">
        <v>11</v>
      </c>
      <c r="AC17" s="23" t="s">
        <v>11</v>
      </c>
      <c r="AD17" s="23" t="s">
        <v>11</v>
      </c>
      <c r="AE17" s="23" t="s">
        <v>11</v>
      </c>
      <c r="AF17" s="13" t="s">
        <v>10</v>
      </c>
      <c r="AG17" s="13" t="s">
        <v>11</v>
      </c>
      <c r="AH17" s="13" t="s">
        <v>11</v>
      </c>
      <c r="AI17" s="5">
        <f>COUNTIF(E17:AH17, "P")+COUNTIF(E17:AH17, "OT")</f>
        <v>25</v>
      </c>
      <c r="AJ17" s="21"/>
      <c r="AK17" s="14">
        <f>AI17*AJ17</f>
        <v>0</v>
      </c>
      <c r="AL17" s="2" t="s">
        <v>518</v>
      </c>
    </row>
    <row r="18" spans="1:38" ht="19.899999999999999" customHeight="1" x14ac:dyDescent="0.25">
      <c r="A18" s="2">
        <v>16</v>
      </c>
      <c r="B18" s="7" t="s">
        <v>22</v>
      </c>
      <c r="C18" s="4" t="s">
        <v>23</v>
      </c>
      <c r="D18" s="2" t="s">
        <v>9</v>
      </c>
      <c r="E18" s="23" t="s">
        <v>11</v>
      </c>
      <c r="F18" s="23" t="s">
        <v>11</v>
      </c>
      <c r="G18" s="13" t="s">
        <v>11</v>
      </c>
      <c r="H18" s="23" t="s">
        <v>11</v>
      </c>
      <c r="I18" s="13" t="s">
        <v>515</v>
      </c>
      <c r="J18" s="23" t="s">
        <v>11</v>
      </c>
      <c r="K18" s="23" t="s">
        <v>10</v>
      </c>
      <c r="L18" s="23" t="s">
        <v>11</v>
      </c>
      <c r="M18" s="23" t="s">
        <v>11</v>
      </c>
      <c r="N18" s="13" t="s">
        <v>11</v>
      </c>
      <c r="O18" s="23" t="s">
        <v>11</v>
      </c>
      <c r="P18" s="23" t="s">
        <v>11</v>
      </c>
      <c r="Q18" s="23" t="s">
        <v>11</v>
      </c>
      <c r="R18" s="23" t="s">
        <v>10</v>
      </c>
      <c r="S18" s="23" t="s">
        <v>11</v>
      </c>
      <c r="T18" s="23" t="s">
        <v>11</v>
      </c>
      <c r="U18" s="13" t="s">
        <v>11</v>
      </c>
      <c r="V18" s="23" t="s">
        <v>11</v>
      </c>
      <c r="W18" s="23" t="s">
        <v>11</v>
      </c>
      <c r="X18" s="23" t="s">
        <v>11</v>
      </c>
      <c r="Y18" s="23" t="s">
        <v>10</v>
      </c>
      <c r="Z18" s="23" t="s">
        <v>11</v>
      </c>
      <c r="AA18" s="23" t="s">
        <v>11</v>
      </c>
      <c r="AB18" s="13" t="s">
        <v>11</v>
      </c>
      <c r="AC18" s="23" t="s">
        <v>11</v>
      </c>
      <c r="AD18" s="23" t="s">
        <v>11</v>
      </c>
      <c r="AE18" s="23" t="s">
        <v>11</v>
      </c>
      <c r="AF18" s="13" t="s">
        <v>10</v>
      </c>
      <c r="AG18" s="13" t="s">
        <v>11</v>
      </c>
      <c r="AH18" s="13" t="s">
        <v>11</v>
      </c>
      <c r="AI18" s="5">
        <f t="shared" si="0"/>
        <v>25</v>
      </c>
      <c r="AJ18" s="21"/>
      <c r="AK18" s="14">
        <f>AI18*AJ18</f>
        <v>0</v>
      </c>
      <c r="AL18" s="2" t="s">
        <v>519</v>
      </c>
    </row>
    <row r="19" spans="1:38" ht="19.899999999999999" customHeight="1" x14ac:dyDescent="0.25">
      <c r="A19" s="2">
        <v>17</v>
      </c>
      <c r="B19" s="2" t="s">
        <v>42</v>
      </c>
      <c r="C19" s="4" t="s">
        <v>477</v>
      </c>
      <c r="D19" s="2" t="s">
        <v>9</v>
      </c>
      <c r="E19" s="23" t="s">
        <v>11</v>
      </c>
      <c r="F19" s="23" t="s">
        <v>11</v>
      </c>
      <c r="G19" s="13" t="s">
        <v>11</v>
      </c>
      <c r="H19" s="23" t="s">
        <v>11</v>
      </c>
      <c r="I19" s="13" t="s">
        <v>515</v>
      </c>
      <c r="J19" s="23" t="s">
        <v>11</v>
      </c>
      <c r="K19" s="23" t="s">
        <v>10</v>
      </c>
      <c r="L19" s="23" t="s">
        <v>11</v>
      </c>
      <c r="M19" s="23" t="s">
        <v>11</v>
      </c>
      <c r="N19" s="13" t="s">
        <v>11</v>
      </c>
      <c r="O19" s="23" t="s">
        <v>11</v>
      </c>
      <c r="P19" s="23" t="s">
        <v>11</v>
      </c>
      <c r="Q19" s="23" t="s">
        <v>11</v>
      </c>
      <c r="R19" s="23" t="s">
        <v>10</v>
      </c>
      <c r="S19" s="23" t="s">
        <v>11</v>
      </c>
      <c r="T19" s="23" t="s">
        <v>11</v>
      </c>
      <c r="U19" s="13" t="s">
        <v>11</v>
      </c>
      <c r="V19" s="23" t="s">
        <v>11</v>
      </c>
      <c r="W19" s="23" t="s">
        <v>11</v>
      </c>
      <c r="X19" s="23" t="s">
        <v>11</v>
      </c>
      <c r="Y19" s="23" t="s">
        <v>10</v>
      </c>
      <c r="Z19" s="23" t="s">
        <v>11</v>
      </c>
      <c r="AA19" s="23" t="s">
        <v>11</v>
      </c>
      <c r="AB19" s="13" t="s">
        <v>11</v>
      </c>
      <c r="AC19" s="23" t="s">
        <v>11</v>
      </c>
      <c r="AD19" s="23" t="s">
        <v>11</v>
      </c>
      <c r="AE19" s="23" t="s">
        <v>11</v>
      </c>
      <c r="AF19" s="13" t="s">
        <v>10</v>
      </c>
      <c r="AG19" s="13" t="s">
        <v>11</v>
      </c>
      <c r="AH19" s="13" t="s">
        <v>11</v>
      </c>
      <c r="AI19" s="5">
        <f t="shared" si="0"/>
        <v>25</v>
      </c>
      <c r="AJ19" s="21"/>
      <c r="AK19" s="14">
        <f t="shared" ref="AK19:AK24" si="6">AI19*AJ19</f>
        <v>0</v>
      </c>
      <c r="AL19" s="2" t="s">
        <v>80</v>
      </c>
    </row>
    <row r="20" spans="1:38" ht="19.899999999999999" customHeight="1" x14ac:dyDescent="0.25">
      <c r="A20" s="2">
        <v>18</v>
      </c>
      <c r="B20" s="7" t="s">
        <v>36</v>
      </c>
      <c r="C20" s="4" t="s">
        <v>37</v>
      </c>
      <c r="D20" s="2" t="s">
        <v>9</v>
      </c>
      <c r="E20" s="23" t="s">
        <v>11</v>
      </c>
      <c r="F20" s="23" t="s">
        <v>11</v>
      </c>
      <c r="G20" s="13" t="s">
        <v>11</v>
      </c>
      <c r="H20" s="23" t="s">
        <v>11</v>
      </c>
      <c r="I20" s="13" t="s">
        <v>515</v>
      </c>
      <c r="J20" s="23" t="s">
        <v>11</v>
      </c>
      <c r="K20" s="23" t="s">
        <v>10</v>
      </c>
      <c r="L20" s="23" t="s">
        <v>11</v>
      </c>
      <c r="M20" s="23" t="s">
        <v>11</v>
      </c>
      <c r="N20" s="13" t="s">
        <v>11</v>
      </c>
      <c r="O20" s="23" t="s">
        <v>11</v>
      </c>
      <c r="P20" s="23" t="s">
        <v>11</v>
      </c>
      <c r="Q20" s="23" t="s">
        <v>11</v>
      </c>
      <c r="R20" s="23" t="s">
        <v>10</v>
      </c>
      <c r="S20" s="23" t="s">
        <v>11</v>
      </c>
      <c r="T20" s="23" t="s">
        <v>11</v>
      </c>
      <c r="U20" s="13" t="s">
        <v>11</v>
      </c>
      <c r="V20" s="23" t="s">
        <v>11</v>
      </c>
      <c r="W20" s="23" t="s">
        <v>11</v>
      </c>
      <c r="X20" s="23" t="s">
        <v>11</v>
      </c>
      <c r="Y20" s="23" t="s">
        <v>10</v>
      </c>
      <c r="Z20" s="23" t="s">
        <v>11</v>
      </c>
      <c r="AA20" s="23" t="s">
        <v>11</v>
      </c>
      <c r="AB20" s="13" t="s">
        <v>11</v>
      </c>
      <c r="AC20" s="23" t="s">
        <v>11</v>
      </c>
      <c r="AD20" s="23" t="s">
        <v>11</v>
      </c>
      <c r="AE20" s="23" t="s">
        <v>11</v>
      </c>
      <c r="AF20" s="13" t="s">
        <v>10</v>
      </c>
      <c r="AG20" s="13" t="s">
        <v>11</v>
      </c>
      <c r="AH20" s="13" t="s">
        <v>11</v>
      </c>
      <c r="AI20" s="5">
        <f t="shared" si="0"/>
        <v>25</v>
      </c>
      <c r="AJ20" s="21"/>
      <c r="AK20" s="14">
        <f t="shared" si="6"/>
        <v>0</v>
      </c>
      <c r="AL20" s="2" t="s">
        <v>80</v>
      </c>
    </row>
    <row r="21" spans="1:38" ht="19.899999999999999" customHeight="1" x14ac:dyDescent="0.25">
      <c r="A21" s="2">
        <v>19</v>
      </c>
      <c r="B21" s="7" t="s">
        <v>66</v>
      </c>
      <c r="C21" s="4" t="s">
        <v>67</v>
      </c>
      <c r="D21" s="2" t="s">
        <v>9</v>
      </c>
      <c r="E21" s="23" t="s">
        <v>11</v>
      </c>
      <c r="F21" s="23" t="s">
        <v>11</v>
      </c>
      <c r="G21" s="13" t="s">
        <v>11</v>
      </c>
      <c r="H21" s="23" t="s">
        <v>11</v>
      </c>
      <c r="I21" s="13" t="s">
        <v>515</v>
      </c>
      <c r="J21" s="23" t="s">
        <v>11</v>
      </c>
      <c r="K21" s="23" t="s">
        <v>10</v>
      </c>
      <c r="L21" s="23" t="s">
        <v>11</v>
      </c>
      <c r="M21" s="23" t="s">
        <v>11</v>
      </c>
      <c r="N21" s="13" t="s">
        <v>11</v>
      </c>
      <c r="O21" s="23" t="s">
        <v>11</v>
      </c>
      <c r="P21" s="23" t="s">
        <v>11</v>
      </c>
      <c r="Q21" s="23" t="s">
        <v>11</v>
      </c>
      <c r="R21" s="23" t="s">
        <v>10</v>
      </c>
      <c r="S21" s="23" t="s">
        <v>11</v>
      </c>
      <c r="T21" s="23" t="s">
        <v>11</v>
      </c>
      <c r="U21" s="13" t="s">
        <v>11</v>
      </c>
      <c r="V21" s="23" t="s">
        <v>11</v>
      </c>
      <c r="W21" s="23" t="s">
        <v>11</v>
      </c>
      <c r="X21" s="23" t="s">
        <v>11</v>
      </c>
      <c r="Y21" s="23" t="s">
        <v>10</v>
      </c>
      <c r="Z21" s="23" t="s">
        <v>11</v>
      </c>
      <c r="AA21" s="23" t="s">
        <v>11</v>
      </c>
      <c r="AB21" s="13" t="s">
        <v>11</v>
      </c>
      <c r="AC21" s="23" t="s">
        <v>11</v>
      </c>
      <c r="AD21" s="23" t="s">
        <v>11</v>
      </c>
      <c r="AE21" s="23" t="s">
        <v>11</v>
      </c>
      <c r="AF21" s="13" t="s">
        <v>10</v>
      </c>
      <c r="AG21" s="13" t="s">
        <v>11</v>
      </c>
      <c r="AH21" s="13" t="s">
        <v>11</v>
      </c>
      <c r="AI21" s="5">
        <f>COUNTIF(E21:AH21, "P")+COUNTIF(E21:AH21, "OT")</f>
        <v>25</v>
      </c>
      <c r="AJ21" s="21"/>
      <c r="AK21" s="14">
        <f>AI21*AJ21</f>
        <v>0</v>
      </c>
      <c r="AL21" s="2" t="s">
        <v>520</v>
      </c>
    </row>
    <row r="22" spans="1:38" ht="19.899999999999999" customHeight="1" x14ac:dyDescent="0.25">
      <c r="A22" s="2">
        <v>20</v>
      </c>
      <c r="B22" s="2" t="s">
        <v>52</v>
      </c>
      <c r="C22" s="4" t="s">
        <v>53</v>
      </c>
      <c r="D22" s="24" t="s">
        <v>9</v>
      </c>
      <c r="E22" s="23" t="s">
        <v>11</v>
      </c>
      <c r="F22" s="23" t="s">
        <v>11</v>
      </c>
      <c r="G22" s="13" t="s">
        <v>11</v>
      </c>
      <c r="H22" s="23" t="s">
        <v>11</v>
      </c>
      <c r="I22" s="13" t="s">
        <v>515</v>
      </c>
      <c r="J22" s="23" t="s">
        <v>11</v>
      </c>
      <c r="K22" s="23" t="s">
        <v>10</v>
      </c>
      <c r="L22" s="23" t="s">
        <v>11</v>
      </c>
      <c r="M22" s="23" t="s">
        <v>11</v>
      </c>
      <c r="N22" s="13" t="s">
        <v>11</v>
      </c>
      <c r="O22" s="23" t="s">
        <v>11</v>
      </c>
      <c r="P22" s="23" t="s">
        <v>11</v>
      </c>
      <c r="Q22" s="23" t="s">
        <v>11</v>
      </c>
      <c r="R22" s="23" t="s">
        <v>10</v>
      </c>
      <c r="S22" s="23" t="s">
        <v>11</v>
      </c>
      <c r="T22" s="23" t="s">
        <v>11</v>
      </c>
      <c r="U22" s="13" t="s">
        <v>11</v>
      </c>
      <c r="V22" s="23" t="s">
        <v>11</v>
      </c>
      <c r="W22" s="23" t="s">
        <v>11</v>
      </c>
      <c r="X22" s="23" t="s">
        <v>11</v>
      </c>
      <c r="Y22" s="23" t="s">
        <v>10</v>
      </c>
      <c r="Z22" s="23" t="s">
        <v>11</v>
      </c>
      <c r="AA22" s="23" t="s">
        <v>11</v>
      </c>
      <c r="AB22" s="13" t="s">
        <v>11</v>
      </c>
      <c r="AC22" s="23" t="s">
        <v>11</v>
      </c>
      <c r="AD22" s="23" t="s">
        <v>11</v>
      </c>
      <c r="AE22" s="23" t="s">
        <v>11</v>
      </c>
      <c r="AF22" s="13" t="s">
        <v>10</v>
      </c>
      <c r="AG22" s="13" t="s">
        <v>11</v>
      </c>
      <c r="AH22" s="13" t="s">
        <v>11</v>
      </c>
      <c r="AI22" s="5">
        <f>COUNTIF(E22:AH22, "P")+COUNTIF(E22:AH22, "OT")</f>
        <v>25</v>
      </c>
      <c r="AJ22" s="21"/>
      <c r="AK22" s="14">
        <f>AI22*AJ22</f>
        <v>0</v>
      </c>
      <c r="AL22" s="2" t="s">
        <v>478</v>
      </c>
    </row>
    <row r="23" spans="1:38" ht="19.899999999999999" customHeight="1" x14ac:dyDescent="0.25">
      <c r="A23" s="2">
        <v>21</v>
      </c>
      <c r="B23" s="7" t="s">
        <v>40</v>
      </c>
      <c r="C23" s="4" t="s">
        <v>41</v>
      </c>
      <c r="D23" s="2" t="s">
        <v>9</v>
      </c>
      <c r="E23" s="23" t="s">
        <v>11</v>
      </c>
      <c r="F23" s="23" t="s">
        <v>11</v>
      </c>
      <c r="G23" s="13" t="s">
        <v>11</v>
      </c>
      <c r="H23" s="23" t="s">
        <v>11</v>
      </c>
      <c r="I23" s="13" t="s">
        <v>515</v>
      </c>
      <c r="J23" s="23" t="s">
        <v>11</v>
      </c>
      <c r="K23" s="23" t="s">
        <v>10</v>
      </c>
      <c r="L23" s="23" t="s">
        <v>11</v>
      </c>
      <c r="M23" s="23" t="s">
        <v>11</v>
      </c>
      <c r="N23" s="13" t="s">
        <v>11</v>
      </c>
      <c r="O23" s="23" t="s">
        <v>11</v>
      </c>
      <c r="P23" s="23" t="s">
        <v>11</v>
      </c>
      <c r="Q23" s="23" t="s">
        <v>11</v>
      </c>
      <c r="R23" s="23" t="s">
        <v>10</v>
      </c>
      <c r="S23" s="23" t="s">
        <v>11</v>
      </c>
      <c r="T23" s="23" t="s">
        <v>11</v>
      </c>
      <c r="U23" s="13" t="s">
        <v>11</v>
      </c>
      <c r="V23" s="23" t="s">
        <v>11</v>
      </c>
      <c r="W23" s="23" t="s">
        <v>11</v>
      </c>
      <c r="X23" s="23" t="s">
        <v>11</v>
      </c>
      <c r="Y23" s="23" t="s">
        <v>10</v>
      </c>
      <c r="Z23" s="23" t="s">
        <v>11</v>
      </c>
      <c r="AA23" s="23" t="s">
        <v>11</v>
      </c>
      <c r="AB23" s="13" t="s">
        <v>11</v>
      </c>
      <c r="AC23" s="23" t="s">
        <v>11</v>
      </c>
      <c r="AD23" s="23" t="s">
        <v>11</v>
      </c>
      <c r="AE23" s="23" t="s">
        <v>11</v>
      </c>
      <c r="AF23" s="13" t="s">
        <v>10</v>
      </c>
      <c r="AG23" s="13" t="s">
        <v>11</v>
      </c>
      <c r="AH23" s="13" t="s">
        <v>11</v>
      </c>
      <c r="AI23" s="5">
        <f t="shared" si="0"/>
        <v>25</v>
      </c>
      <c r="AJ23" s="21"/>
      <c r="AK23" s="14">
        <f t="shared" si="6"/>
        <v>0</v>
      </c>
      <c r="AL23" s="2" t="s">
        <v>83</v>
      </c>
    </row>
    <row r="24" spans="1:38" ht="19.899999999999999" customHeight="1" x14ac:dyDescent="0.25">
      <c r="A24" s="2">
        <v>22</v>
      </c>
      <c r="B24" s="7" t="s">
        <v>33</v>
      </c>
      <c r="C24" s="4" t="s">
        <v>378</v>
      </c>
      <c r="D24" s="2" t="s">
        <v>9</v>
      </c>
      <c r="E24" s="23" t="s">
        <v>11</v>
      </c>
      <c r="F24" s="23" t="s">
        <v>11</v>
      </c>
      <c r="G24" s="13" t="s">
        <v>11</v>
      </c>
      <c r="H24" s="23" t="s">
        <v>11</v>
      </c>
      <c r="I24" s="13" t="s">
        <v>515</v>
      </c>
      <c r="J24" s="23" t="s">
        <v>11</v>
      </c>
      <c r="K24" s="23" t="s">
        <v>10</v>
      </c>
      <c r="L24" s="23" t="s">
        <v>11</v>
      </c>
      <c r="M24" s="23" t="s">
        <v>11</v>
      </c>
      <c r="N24" s="13" t="s">
        <v>11</v>
      </c>
      <c r="O24" s="23" t="s">
        <v>11</v>
      </c>
      <c r="P24" s="23" t="s">
        <v>11</v>
      </c>
      <c r="Q24" s="23" t="s">
        <v>11</v>
      </c>
      <c r="R24" s="23" t="s">
        <v>10</v>
      </c>
      <c r="S24" s="23" t="s">
        <v>11</v>
      </c>
      <c r="T24" s="23" t="s">
        <v>11</v>
      </c>
      <c r="U24" s="13" t="s">
        <v>11</v>
      </c>
      <c r="V24" s="23" t="s">
        <v>11</v>
      </c>
      <c r="W24" s="23" t="s">
        <v>11</v>
      </c>
      <c r="X24" s="23" t="s">
        <v>11</v>
      </c>
      <c r="Y24" s="23" t="s">
        <v>10</v>
      </c>
      <c r="Z24" s="23" t="s">
        <v>11</v>
      </c>
      <c r="AA24" s="23" t="s">
        <v>11</v>
      </c>
      <c r="AB24" s="13" t="s">
        <v>11</v>
      </c>
      <c r="AC24" s="23" t="s">
        <v>11</v>
      </c>
      <c r="AD24" s="23" t="s">
        <v>11</v>
      </c>
      <c r="AE24" s="23" t="s">
        <v>11</v>
      </c>
      <c r="AF24" s="13" t="s">
        <v>10</v>
      </c>
      <c r="AG24" s="13" t="s">
        <v>11</v>
      </c>
      <c r="AH24" s="13" t="s">
        <v>11</v>
      </c>
      <c r="AI24" s="5">
        <f t="shared" si="0"/>
        <v>25</v>
      </c>
      <c r="AJ24" s="21"/>
      <c r="AK24" s="14">
        <f t="shared" si="6"/>
        <v>0</v>
      </c>
      <c r="AL24" s="2" t="s">
        <v>83</v>
      </c>
    </row>
    <row r="25" spans="1:38" ht="19.899999999999999" customHeight="1" x14ac:dyDescent="0.25">
      <c r="A25" s="2">
        <v>23</v>
      </c>
      <c r="B25" s="32" t="s">
        <v>64</v>
      </c>
      <c r="C25" s="27" t="s">
        <v>65</v>
      </c>
      <c r="D25" s="26" t="s">
        <v>9</v>
      </c>
      <c r="E25" s="33" t="s">
        <v>379</v>
      </c>
      <c r="F25" s="33" t="s">
        <v>379</v>
      </c>
      <c r="G25" s="33" t="s">
        <v>379</v>
      </c>
      <c r="H25" s="33" t="s">
        <v>379</v>
      </c>
      <c r="I25" s="33" t="s">
        <v>379</v>
      </c>
      <c r="J25" s="33" t="s">
        <v>379</v>
      </c>
      <c r="K25" s="33" t="s">
        <v>379</v>
      </c>
      <c r="L25" s="33" t="s">
        <v>379</v>
      </c>
      <c r="M25" s="33" t="s">
        <v>379</v>
      </c>
      <c r="N25" s="33" t="s">
        <v>379</v>
      </c>
      <c r="O25" s="33" t="s">
        <v>379</v>
      </c>
      <c r="P25" s="33" t="s">
        <v>379</v>
      </c>
      <c r="Q25" s="33" t="s">
        <v>379</v>
      </c>
      <c r="R25" s="33" t="s">
        <v>379</v>
      </c>
      <c r="S25" s="33" t="s">
        <v>379</v>
      </c>
      <c r="T25" s="33" t="s">
        <v>379</v>
      </c>
      <c r="U25" s="33" t="s">
        <v>379</v>
      </c>
      <c r="V25" s="33" t="s">
        <v>379</v>
      </c>
      <c r="W25" s="33" t="s">
        <v>379</v>
      </c>
      <c r="X25" s="33" t="s">
        <v>379</v>
      </c>
      <c r="Y25" s="33" t="s">
        <v>379</v>
      </c>
      <c r="Z25" s="33" t="s">
        <v>379</v>
      </c>
      <c r="AA25" s="33" t="s">
        <v>379</v>
      </c>
      <c r="AB25" s="33" t="s">
        <v>379</v>
      </c>
      <c r="AC25" s="33" t="s">
        <v>379</v>
      </c>
      <c r="AD25" s="33" t="s">
        <v>379</v>
      </c>
      <c r="AE25" s="33" t="s">
        <v>379</v>
      </c>
      <c r="AF25" s="33" t="s">
        <v>379</v>
      </c>
      <c r="AG25" s="33" t="s">
        <v>379</v>
      </c>
      <c r="AH25" s="33" t="s">
        <v>379</v>
      </c>
      <c r="AI25" s="5">
        <f>COUNTIF(E25:AH25, "P")+COUNTIF(E25:AH25, "OT")</f>
        <v>0</v>
      </c>
      <c r="AJ25" s="21"/>
      <c r="AK25" s="14">
        <f>AI25*AJ25</f>
        <v>0</v>
      </c>
      <c r="AL25" s="2" t="s">
        <v>376</v>
      </c>
    </row>
    <row r="26" spans="1:38" ht="19.899999999999999" customHeight="1" x14ac:dyDescent="0.25">
      <c r="A26" s="2">
        <v>24</v>
      </c>
      <c r="B26" s="32" t="s">
        <v>62</v>
      </c>
      <c r="C26" s="27" t="s">
        <v>63</v>
      </c>
      <c r="D26" s="26" t="s">
        <v>9</v>
      </c>
      <c r="E26" s="33" t="s">
        <v>379</v>
      </c>
      <c r="F26" s="33" t="s">
        <v>379</v>
      </c>
      <c r="G26" s="33" t="s">
        <v>379</v>
      </c>
      <c r="H26" s="33" t="s">
        <v>379</v>
      </c>
      <c r="I26" s="33" t="s">
        <v>379</v>
      </c>
      <c r="J26" s="33" t="s">
        <v>379</v>
      </c>
      <c r="K26" s="33" t="s">
        <v>379</v>
      </c>
      <c r="L26" s="33" t="s">
        <v>379</v>
      </c>
      <c r="M26" s="33" t="s">
        <v>379</v>
      </c>
      <c r="N26" s="33" t="s">
        <v>379</v>
      </c>
      <c r="O26" s="33" t="s">
        <v>379</v>
      </c>
      <c r="P26" s="33" t="s">
        <v>379</v>
      </c>
      <c r="Q26" s="33" t="s">
        <v>379</v>
      </c>
      <c r="R26" s="33" t="s">
        <v>379</v>
      </c>
      <c r="S26" s="33" t="s">
        <v>379</v>
      </c>
      <c r="T26" s="33" t="s">
        <v>379</v>
      </c>
      <c r="U26" s="33" t="s">
        <v>379</v>
      </c>
      <c r="V26" s="33" t="s">
        <v>379</v>
      </c>
      <c r="W26" s="33" t="s">
        <v>379</v>
      </c>
      <c r="X26" s="33" t="s">
        <v>379</v>
      </c>
      <c r="Y26" s="33" t="s">
        <v>379</v>
      </c>
      <c r="Z26" s="33" t="s">
        <v>379</v>
      </c>
      <c r="AA26" s="33" t="s">
        <v>379</v>
      </c>
      <c r="AB26" s="33" t="s">
        <v>379</v>
      </c>
      <c r="AC26" s="33" t="s">
        <v>379</v>
      </c>
      <c r="AD26" s="33" t="s">
        <v>379</v>
      </c>
      <c r="AE26" s="33" t="s">
        <v>379</v>
      </c>
      <c r="AF26" s="33" t="s">
        <v>379</v>
      </c>
      <c r="AG26" s="33" t="s">
        <v>379</v>
      </c>
      <c r="AH26" s="33" t="s">
        <v>379</v>
      </c>
      <c r="AI26" s="5">
        <f t="shared" si="0"/>
        <v>0</v>
      </c>
      <c r="AJ26" s="21"/>
      <c r="AK26" s="14">
        <f t="shared" ref="AK26:AK36" si="7">AI26*AJ26</f>
        <v>0</v>
      </c>
      <c r="AL26" s="2" t="s">
        <v>376</v>
      </c>
    </row>
    <row r="27" spans="1:38" ht="19.899999999999999" customHeight="1" x14ac:dyDescent="0.25">
      <c r="A27" s="2">
        <v>25</v>
      </c>
      <c r="B27" s="32" t="s">
        <v>72</v>
      </c>
      <c r="C27" s="27" t="s">
        <v>73</v>
      </c>
      <c r="D27" s="26" t="s">
        <v>9</v>
      </c>
      <c r="E27" s="33" t="s">
        <v>379</v>
      </c>
      <c r="F27" s="33" t="s">
        <v>379</v>
      </c>
      <c r="G27" s="33" t="s">
        <v>379</v>
      </c>
      <c r="H27" s="33" t="s">
        <v>379</v>
      </c>
      <c r="I27" s="33" t="s">
        <v>379</v>
      </c>
      <c r="J27" s="33" t="s">
        <v>379</v>
      </c>
      <c r="K27" s="33" t="s">
        <v>379</v>
      </c>
      <c r="L27" s="33" t="s">
        <v>379</v>
      </c>
      <c r="M27" s="33" t="s">
        <v>379</v>
      </c>
      <c r="N27" s="33" t="s">
        <v>379</v>
      </c>
      <c r="O27" s="33" t="s">
        <v>379</v>
      </c>
      <c r="P27" s="33" t="s">
        <v>379</v>
      </c>
      <c r="Q27" s="33" t="s">
        <v>379</v>
      </c>
      <c r="R27" s="33" t="s">
        <v>379</v>
      </c>
      <c r="S27" s="33" t="s">
        <v>379</v>
      </c>
      <c r="T27" s="33" t="s">
        <v>379</v>
      </c>
      <c r="U27" s="33" t="s">
        <v>379</v>
      </c>
      <c r="V27" s="33" t="s">
        <v>379</v>
      </c>
      <c r="W27" s="33" t="s">
        <v>379</v>
      </c>
      <c r="X27" s="33" t="s">
        <v>379</v>
      </c>
      <c r="Y27" s="33" t="s">
        <v>379</v>
      </c>
      <c r="Z27" s="33" t="s">
        <v>379</v>
      </c>
      <c r="AA27" s="33" t="s">
        <v>379</v>
      </c>
      <c r="AB27" s="33" t="s">
        <v>379</v>
      </c>
      <c r="AC27" s="33" t="s">
        <v>379</v>
      </c>
      <c r="AD27" s="33" t="s">
        <v>379</v>
      </c>
      <c r="AE27" s="33" t="s">
        <v>379</v>
      </c>
      <c r="AF27" s="33" t="s">
        <v>379</v>
      </c>
      <c r="AG27" s="33" t="s">
        <v>379</v>
      </c>
      <c r="AH27" s="33" t="s">
        <v>379</v>
      </c>
      <c r="AI27" s="5">
        <f t="shared" si="0"/>
        <v>0</v>
      </c>
      <c r="AJ27" s="21"/>
      <c r="AK27" s="14">
        <f t="shared" si="7"/>
        <v>0</v>
      </c>
      <c r="AL27" s="2" t="s">
        <v>376</v>
      </c>
    </row>
    <row r="28" spans="1:38" ht="19.899999999999999" customHeight="1" x14ac:dyDescent="0.25">
      <c r="A28" s="2">
        <v>26</v>
      </c>
      <c r="B28" s="32" t="s">
        <v>7</v>
      </c>
      <c r="C28" s="27" t="s">
        <v>8</v>
      </c>
      <c r="D28" s="26" t="s">
        <v>9</v>
      </c>
      <c r="E28" s="33" t="s">
        <v>379</v>
      </c>
      <c r="F28" s="33" t="s">
        <v>379</v>
      </c>
      <c r="G28" s="33" t="s">
        <v>379</v>
      </c>
      <c r="H28" s="33" t="s">
        <v>379</v>
      </c>
      <c r="I28" s="33" t="s">
        <v>379</v>
      </c>
      <c r="J28" s="33" t="s">
        <v>379</v>
      </c>
      <c r="K28" s="33" t="s">
        <v>379</v>
      </c>
      <c r="L28" s="33" t="s">
        <v>379</v>
      </c>
      <c r="M28" s="33" t="s">
        <v>379</v>
      </c>
      <c r="N28" s="33" t="s">
        <v>379</v>
      </c>
      <c r="O28" s="33" t="s">
        <v>379</v>
      </c>
      <c r="P28" s="33" t="s">
        <v>379</v>
      </c>
      <c r="Q28" s="33" t="s">
        <v>379</v>
      </c>
      <c r="R28" s="33" t="s">
        <v>379</v>
      </c>
      <c r="S28" s="33" t="s">
        <v>379</v>
      </c>
      <c r="T28" s="33" t="s">
        <v>379</v>
      </c>
      <c r="U28" s="33" t="s">
        <v>379</v>
      </c>
      <c r="V28" s="33" t="s">
        <v>379</v>
      </c>
      <c r="W28" s="33" t="s">
        <v>379</v>
      </c>
      <c r="X28" s="33" t="s">
        <v>379</v>
      </c>
      <c r="Y28" s="33" t="s">
        <v>379</v>
      </c>
      <c r="Z28" s="33" t="s">
        <v>379</v>
      </c>
      <c r="AA28" s="33" t="s">
        <v>379</v>
      </c>
      <c r="AB28" s="33" t="s">
        <v>379</v>
      </c>
      <c r="AC28" s="33" t="s">
        <v>379</v>
      </c>
      <c r="AD28" s="33" t="s">
        <v>379</v>
      </c>
      <c r="AE28" s="33" t="s">
        <v>379</v>
      </c>
      <c r="AF28" s="33" t="s">
        <v>379</v>
      </c>
      <c r="AG28" s="33" t="s">
        <v>379</v>
      </c>
      <c r="AH28" s="33" t="s">
        <v>379</v>
      </c>
      <c r="AI28" s="5">
        <f t="shared" si="0"/>
        <v>0</v>
      </c>
      <c r="AJ28" s="21"/>
      <c r="AK28" s="14">
        <f t="shared" si="7"/>
        <v>0</v>
      </c>
      <c r="AL28" s="2" t="s">
        <v>376</v>
      </c>
    </row>
    <row r="29" spans="1:38" ht="19.899999999999999" customHeight="1" x14ac:dyDescent="0.25">
      <c r="A29" s="2">
        <v>27</v>
      </c>
      <c r="B29" s="26" t="s">
        <v>26</v>
      </c>
      <c r="C29" s="27" t="s">
        <v>27</v>
      </c>
      <c r="D29" s="26" t="s">
        <v>9</v>
      </c>
      <c r="E29" s="23" t="s">
        <v>11</v>
      </c>
      <c r="F29" s="23" t="s">
        <v>11</v>
      </c>
      <c r="G29" s="23" t="s">
        <v>32</v>
      </c>
      <c r="H29" s="23" t="s">
        <v>11</v>
      </c>
      <c r="I29" s="23" t="s">
        <v>515</v>
      </c>
      <c r="J29" s="23" t="s">
        <v>11</v>
      </c>
      <c r="K29" s="23" t="s">
        <v>10</v>
      </c>
      <c r="L29" s="23" t="s">
        <v>11</v>
      </c>
      <c r="M29" s="23" t="s">
        <v>32</v>
      </c>
      <c r="N29" s="23" t="s">
        <v>11</v>
      </c>
      <c r="O29" s="23" t="s">
        <v>11</v>
      </c>
      <c r="P29" s="23" t="s">
        <v>11</v>
      </c>
      <c r="Q29" s="23" t="s">
        <v>11</v>
      </c>
      <c r="R29" s="23" t="s">
        <v>10</v>
      </c>
      <c r="S29" s="23" t="s">
        <v>11</v>
      </c>
      <c r="T29" s="23" t="s">
        <v>11</v>
      </c>
      <c r="U29" s="23" t="s">
        <v>11</v>
      </c>
      <c r="V29" s="23" t="s">
        <v>11</v>
      </c>
      <c r="W29" s="23" t="s">
        <v>11</v>
      </c>
      <c r="X29" s="23" t="s">
        <v>11</v>
      </c>
      <c r="Y29" s="23" t="s">
        <v>10</v>
      </c>
      <c r="Z29" s="23" t="s">
        <v>11</v>
      </c>
      <c r="AA29" s="23" t="s">
        <v>11</v>
      </c>
      <c r="AB29" s="23" t="s">
        <v>11</v>
      </c>
      <c r="AC29" s="23" t="s">
        <v>11</v>
      </c>
      <c r="AD29" s="23" t="s">
        <v>11</v>
      </c>
      <c r="AE29" s="23" t="s">
        <v>11</v>
      </c>
      <c r="AF29" s="23" t="s">
        <v>10</v>
      </c>
      <c r="AG29" s="23" t="s">
        <v>11</v>
      </c>
      <c r="AH29" s="23" t="s">
        <v>11</v>
      </c>
      <c r="AI29" s="5">
        <f>COUNTIF(E29:AH29, "P")+COUNTIF(E29:AH29, "OT")</f>
        <v>23</v>
      </c>
      <c r="AJ29" s="21"/>
      <c r="AK29" s="14">
        <f>AI29*AJ29</f>
        <v>0</v>
      </c>
      <c r="AL29" s="2" t="s">
        <v>381</v>
      </c>
    </row>
    <row r="30" spans="1:38" ht="19.899999999999999" customHeight="1" x14ac:dyDescent="0.25">
      <c r="A30" s="2">
        <v>28</v>
      </c>
      <c r="B30" s="26" t="s">
        <v>45</v>
      </c>
      <c r="C30" s="27" t="s">
        <v>46</v>
      </c>
      <c r="D30" s="26" t="s">
        <v>9</v>
      </c>
      <c r="E30" s="23" t="s">
        <v>11</v>
      </c>
      <c r="F30" s="23" t="s">
        <v>11</v>
      </c>
      <c r="G30" s="13" t="s">
        <v>11</v>
      </c>
      <c r="H30" s="23" t="s">
        <v>11</v>
      </c>
      <c r="I30" s="13" t="s">
        <v>515</v>
      </c>
      <c r="J30" s="23" t="s">
        <v>11</v>
      </c>
      <c r="K30" s="23" t="s">
        <v>10</v>
      </c>
      <c r="L30" s="23" t="s">
        <v>11</v>
      </c>
      <c r="M30" s="23" t="s">
        <v>11</v>
      </c>
      <c r="N30" s="13" t="s">
        <v>11</v>
      </c>
      <c r="O30" s="23" t="s">
        <v>11</v>
      </c>
      <c r="P30" s="23" t="s">
        <v>11</v>
      </c>
      <c r="Q30" s="23" t="s">
        <v>11</v>
      </c>
      <c r="R30" s="23" t="s">
        <v>10</v>
      </c>
      <c r="S30" s="23" t="s">
        <v>11</v>
      </c>
      <c r="T30" s="23" t="s">
        <v>11</v>
      </c>
      <c r="U30" s="13" t="s">
        <v>11</v>
      </c>
      <c r="V30" s="23" t="s">
        <v>11</v>
      </c>
      <c r="W30" s="23" t="s">
        <v>11</v>
      </c>
      <c r="X30" s="23" t="s">
        <v>380</v>
      </c>
      <c r="Y30" s="23" t="s">
        <v>380</v>
      </c>
      <c r="Z30" s="23" t="s">
        <v>380</v>
      </c>
      <c r="AA30" s="23" t="s">
        <v>380</v>
      </c>
      <c r="AB30" s="23" t="s">
        <v>380</v>
      </c>
      <c r="AC30" s="23" t="s">
        <v>380</v>
      </c>
      <c r="AD30" s="23" t="s">
        <v>380</v>
      </c>
      <c r="AE30" s="23" t="s">
        <v>380</v>
      </c>
      <c r="AF30" s="23" t="s">
        <v>380</v>
      </c>
      <c r="AG30" s="23" t="s">
        <v>380</v>
      </c>
      <c r="AH30" s="23" t="s">
        <v>380</v>
      </c>
      <c r="AI30" s="5">
        <f>COUNTIF(E30:AH30, "P")+COUNTIF(E30:AH30, "OT")</f>
        <v>16</v>
      </c>
      <c r="AJ30" s="21"/>
      <c r="AK30" s="14">
        <f>AI30*AJ30</f>
        <v>0</v>
      </c>
      <c r="AL30" s="2" t="s">
        <v>381</v>
      </c>
    </row>
    <row r="31" spans="1:38" ht="19.899999999999999" customHeight="1" x14ac:dyDescent="0.25">
      <c r="A31" s="2">
        <v>29</v>
      </c>
      <c r="B31" s="26" t="s">
        <v>18</v>
      </c>
      <c r="C31" s="27" t="s">
        <v>19</v>
      </c>
      <c r="D31" s="26" t="s">
        <v>9</v>
      </c>
      <c r="E31" s="23" t="s">
        <v>11</v>
      </c>
      <c r="F31" s="23" t="s">
        <v>11</v>
      </c>
      <c r="G31" s="13" t="s">
        <v>11</v>
      </c>
      <c r="H31" s="23" t="s">
        <v>11</v>
      </c>
      <c r="I31" s="13" t="s">
        <v>515</v>
      </c>
      <c r="J31" s="23" t="s">
        <v>11</v>
      </c>
      <c r="K31" s="23" t="s">
        <v>10</v>
      </c>
      <c r="L31" s="23" t="s">
        <v>11</v>
      </c>
      <c r="M31" s="23" t="s">
        <v>11</v>
      </c>
      <c r="N31" s="13" t="s">
        <v>11</v>
      </c>
      <c r="O31" s="23" t="s">
        <v>11</v>
      </c>
      <c r="P31" s="23" t="s">
        <v>11</v>
      </c>
      <c r="Q31" s="23" t="s">
        <v>11</v>
      </c>
      <c r="R31" s="23" t="s">
        <v>10</v>
      </c>
      <c r="S31" s="23" t="s">
        <v>11</v>
      </c>
      <c r="T31" s="23" t="s">
        <v>11</v>
      </c>
      <c r="U31" s="13" t="s">
        <v>11</v>
      </c>
      <c r="V31" s="23" t="s">
        <v>11</v>
      </c>
      <c r="W31" s="23" t="s">
        <v>11</v>
      </c>
      <c r="X31" s="23" t="s">
        <v>380</v>
      </c>
      <c r="Y31" s="23" t="s">
        <v>380</v>
      </c>
      <c r="Z31" s="23" t="s">
        <v>380</v>
      </c>
      <c r="AA31" s="23" t="s">
        <v>380</v>
      </c>
      <c r="AB31" s="23" t="s">
        <v>380</v>
      </c>
      <c r="AC31" s="23" t="s">
        <v>380</v>
      </c>
      <c r="AD31" s="23" t="s">
        <v>380</v>
      </c>
      <c r="AE31" s="23" t="s">
        <v>380</v>
      </c>
      <c r="AF31" s="23" t="s">
        <v>380</v>
      </c>
      <c r="AG31" s="23" t="s">
        <v>380</v>
      </c>
      <c r="AH31" s="23" t="s">
        <v>380</v>
      </c>
      <c r="AI31" s="5">
        <f>COUNTIF(E31:AH31, "P")+COUNTIF(E31:AH31, "OT")</f>
        <v>16</v>
      </c>
      <c r="AJ31" s="21"/>
      <c r="AK31" s="14">
        <f>AI31*AJ31</f>
        <v>0</v>
      </c>
      <c r="AL31" s="2" t="s">
        <v>381</v>
      </c>
    </row>
    <row r="32" spans="1:38" ht="19.899999999999999" customHeight="1" x14ac:dyDescent="0.25">
      <c r="A32" s="2">
        <v>30</v>
      </c>
      <c r="B32" s="26" t="s">
        <v>61</v>
      </c>
      <c r="C32" s="27" t="s">
        <v>377</v>
      </c>
      <c r="D32" s="26" t="s">
        <v>9</v>
      </c>
      <c r="E32" s="23" t="s">
        <v>11</v>
      </c>
      <c r="F32" s="23" t="s">
        <v>11</v>
      </c>
      <c r="G32" s="23" t="s">
        <v>32</v>
      </c>
      <c r="H32" s="23" t="s">
        <v>11</v>
      </c>
      <c r="I32" s="23" t="s">
        <v>515</v>
      </c>
      <c r="J32" s="23" t="s">
        <v>32</v>
      </c>
      <c r="K32" s="23" t="s">
        <v>10</v>
      </c>
      <c r="L32" s="23" t="s">
        <v>11</v>
      </c>
      <c r="M32" s="23" t="s">
        <v>11</v>
      </c>
      <c r="N32" s="23" t="s">
        <v>32</v>
      </c>
      <c r="O32" s="23" t="s">
        <v>11</v>
      </c>
      <c r="P32" s="23" t="s">
        <v>32</v>
      </c>
      <c r="Q32" s="23" t="s">
        <v>11</v>
      </c>
      <c r="R32" s="23" t="s">
        <v>10</v>
      </c>
      <c r="S32" s="23" t="s">
        <v>11</v>
      </c>
      <c r="T32" s="23" t="s">
        <v>32</v>
      </c>
      <c r="U32" s="23" t="s">
        <v>11</v>
      </c>
      <c r="V32" s="23" t="s">
        <v>11</v>
      </c>
      <c r="W32" s="23" t="s">
        <v>380</v>
      </c>
      <c r="X32" s="23" t="s">
        <v>380</v>
      </c>
      <c r="Y32" s="23" t="s">
        <v>380</v>
      </c>
      <c r="Z32" s="23" t="s">
        <v>380</v>
      </c>
      <c r="AA32" s="23" t="s">
        <v>380</v>
      </c>
      <c r="AB32" s="23" t="s">
        <v>380</v>
      </c>
      <c r="AC32" s="23" t="s">
        <v>380</v>
      </c>
      <c r="AD32" s="23" t="s">
        <v>380</v>
      </c>
      <c r="AE32" s="23" t="s">
        <v>380</v>
      </c>
      <c r="AF32" s="23" t="s">
        <v>380</v>
      </c>
      <c r="AG32" s="23" t="s">
        <v>380</v>
      </c>
      <c r="AH32" s="23" t="s">
        <v>380</v>
      </c>
      <c r="AI32" s="5">
        <f>COUNTIF(E32:AH32, "P")+COUNTIF(E32:AH32, "OT")</f>
        <v>10</v>
      </c>
      <c r="AJ32" s="21"/>
      <c r="AK32" s="14">
        <f>AI32*AJ32</f>
        <v>0</v>
      </c>
      <c r="AL32" s="2" t="s">
        <v>381</v>
      </c>
    </row>
    <row r="33" spans="1:38" ht="19.899999999999999" customHeight="1" x14ac:dyDescent="0.25">
      <c r="A33" s="2">
        <v>31</v>
      </c>
      <c r="B33" s="32" t="s">
        <v>70</v>
      </c>
      <c r="C33" s="27" t="s">
        <v>71</v>
      </c>
      <c r="D33" s="26" t="s">
        <v>9</v>
      </c>
      <c r="E33" s="23" t="s">
        <v>380</v>
      </c>
      <c r="F33" s="23" t="s">
        <v>380</v>
      </c>
      <c r="G33" s="23" t="s">
        <v>380</v>
      </c>
      <c r="H33" s="23" t="s">
        <v>380</v>
      </c>
      <c r="I33" s="23" t="s">
        <v>380</v>
      </c>
      <c r="J33" s="23" t="s">
        <v>380</v>
      </c>
      <c r="K33" s="23" t="s">
        <v>380</v>
      </c>
      <c r="L33" s="23" t="s">
        <v>380</v>
      </c>
      <c r="M33" s="23" t="s">
        <v>380</v>
      </c>
      <c r="N33" s="23" t="s">
        <v>380</v>
      </c>
      <c r="O33" s="23" t="s">
        <v>380</v>
      </c>
      <c r="P33" s="23" t="s">
        <v>380</v>
      </c>
      <c r="Q33" s="23" t="s">
        <v>380</v>
      </c>
      <c r="R33" s="23" t="s">
        <v>380</v>
      </c>
      <c r="S33" s="23" t="s">
        <v>380</v>
      </c>
      <c r="T33" s="23" t="s">
        <v>380</v>
      </c>
      <c r="U33" s="23" t="s">
        <v>380</v>
      </c>
      <c r="V33" s="23" t="s">
        <v>380</v>
      </c>
      <c r="W33" s="23" t="s">
        <v>380</v>
      </c>
      <c r="X33" s="23" t="s">
        <v>380</v>
      </c>
      <c r="Y33" s="23" t="s">
        <v>380</v>
      </c>
      <c r="Z33" s="23" t="s">
        <v>380</v>
      </c>
      <c r="AA33" s="23" t="s">
        <v>380</v>
      </c>
      <c r="AB33" s="23" t="s">
        <v>380</v>
      </c>
      <c r="AC33" s="23" t="s">
        <v>380</v>
      </c>
      <c r="AD33" s="23" t="s">
        <v>380</v>
      </c>
      <c r="AE33" s="23" t="s">
        <v>380</v>
      </c>
      <c r="AF33" s="23" t="s">
        <v>380</v>
      </c>
      <c r="AG33" s="23" t="s">
        <v>380</v>
      </c>
      <c r="AH33" s="23" t="s">
        <v>380</v>
      </c>
      <c r="AI33" s="5">
        <f t="shared" ref="AI33" si="8">COUNTIF(E33:AH33, "P")+COUNTIF(E33:AH33, "OT")</f>
        <v>0</v>
      </c>
      <c r="AJ33" s="21"/>
      <c r="AK33" s="14">
        <f>AI33*AJ33</f>
        <v>0</v>
      </c>
      <c r="AL33" s="2" t="s">
        <v>381</v>
      </c>
    </row>
    <row r="34" spans="1:38" ht="19.899999999999999" customHeight="1" x14ac:dyDescent="0.25">
      <c r="A34" s="2">
        <v>32</v>
      </c>
      <c r="B34" s="26" t="s">
        <v>28</v>
      </c>
      <c r="C34" s="27" t="s">
        <v>29</v>
      </c>
      <c r="D34" s="26" t="s">
        <v>9</v>
      </c>
      <c r="E34" s="23" t="s">
        <v>380</v>
      </c>
      <c r="F34" s="23" t="s">
        <v>380</v>
      </c>
      <c r="G34" s="23" t="s">
        <v>380</v>
      </c>
      <c r="H34" s="23" t="s">
        <v>380</v>
      </c>
      <c r="I34" s="23" t="s">
        <v>380</v>
      </c>
      <c r="J34" s="23" t="s">
        <v>380</v>
      </c>
      <c r="K34" s="23" t="s">
        <v>380</v>
      </c>
      <c r="L34" s="23" t="s">
        <v>380</v>
      </c>
      <c r="M34" s="23" t="s">
        <v>380</v>
      </c>
      <c r="N34" s="23" t="s">
        <v>380</v>
      </c>
      <c r="O34" s="23" t="s">
        <v>380</v>
      </c>
      <c r="P34" s="23" t="s">
        <v>380</v>
      </c>
      <c r="Q34" s="23" t="s">
        <v>380</v>
      </c>
      <c r="R34" s="23" t="s">
        <v>380</v>
      </c>
      <c r="S34" s="23" t="s">
        <v>380</v>
      </c>
      <c r="T34" s="23" t="s">
        <v>380</v>
      </c>
      <c r="U34" s="23" t="s">
        <v>380</v>
      </c>
      <c r="V34" s="23" t="s">
        <v>380</v>
      </c>
      <c r="W34" s="23" t="s">
        <v>380</v>
      </c>
      <c r="X34" s="23" t="s">
        <v>380</v>
      </c>
      <c r="Y34" s="23" t="s">
        <v>380</v>
      </c>
      <c r="Z34" s="23" t="s">
        <v>380</v>
      </c>
      <c r="AA34" s="23" t="s">
        <v>380</v>
      </c>
      <c r="AB34" s="23" t="s">
        <v>380</v>
      </c>
      <c r="AC34" s="23" t="s">
        <v>380</v>
      </c>
      <c r="AD34" s="23" t="s">
        <v>380</v>
      </c>
      <c r="AE34" s="23" t="s">
        <v>380</v>
      </c>
      <c r="AF34" s="23" t="s">
        <v>380</v>
      </c>
      <c r="AG34" s="23" t="s">
        <v>380</v>
      </c>
      <c r="AH34" s="23" t="s">
        <v>380</v>
      </c>
      <c r="AI34" s="5">
        <f t="shared" si="0"/>
        <v>0</v>
      </c>
      <c r="AJ34" s="21"/>
      <c r="AK34" s="14">
        <f t="shared" si="7"/>
        <v>0</v>
      </c>
      <c r="AL34" s="2" t="s">
        <v>381</v>
      </c>
    </row>
    <row r="35" spans="1:38" ht="19.899999999999999" customHeight="1" x14ac:dyDescent="0.25">
      <c r="A35" s="2">
        <v>33</v>
      </c>
      <c r="B35" s="26" t="s">
        <v>59</v>
      </c>
      <c r="C35" s="27" t="s">
        <v>60</v>
      </c>
      <c r="D35" s="26" t="s">
        <v>9</v>
      </c>
      <c r="E35" s="23" t="s">
        <v>380</v>
      </c>
      <c r="F35" s="23" t="s">
        <v>380</v>
      </c>
      <c r="G35" s="23" t="s">
        <v>380</v>
      </c>
      <c r="H35" s="23" t="s">
        <v>380</v>
      </c>
      <c r="I35" s="23" t="s">
        <v>380</v>
      </c>
      <c r="J35" s="23" t="s">
        <v>380</v>
      </c>
      <c r="K35" s="23" t="s">
        <v>380</v>
      </c>
      <c r="L35" s="23" t="s">
        <v>380</v>
      </c>
      <c r="M35" s="23" t="s">
        <v>380</v>
      </c>
      <c r="N35" s="23" t="s">
        <v>380</v>
      </c>
      <c r="O35" s="23" t="s">
        <v>380</v>
      </c>
      <c r="P35" s="23" t="s">
        <v>380</v>
      </c>
      <c r="Q35" s="23" t="s">
        <v>380</v>
      </c>
      <c r="R35" s="23" t="s">
        <v>380</v>
      </c>
      <c r="S35" s="23" t="s">
        <v>380</v>
      </c>
      <c r="T35" s="23" t="s">
        <v>380</v>
      </c>
      <c r="U35" s="23" t="s">
        <v>380</v>
      </c>
      <c r="V35" s="23" t="s">
        <v>380</v>
      </c>
      <c r="W35" s="23" t="s">
        <v>380</v>
      </c>
      <c r="X35" s="23" t="s">
        <v>380</v>
      </c>
      <c r="Y35" s="23" t="s">
        <v>380</v>
      </c>
      <c r="Z35" s="23" t="s">
        <v>380</v>
      </c>
      <c r="AA35" s="23" t="s">
        <v>380</v>
      </c>
      <c r="AB35" s="23" t="s">
        <v>380</v>
      </c>
      <c r="AC35" s="23" t="s">
        <v>380</v>
      </c>
      <c r="AD35" s="23" t="s">
        <v>380</v>
      </c>
      <c r="AE35" s="23" t="s">
        <v>380</v>
      </c>
      <c r="AF35" s="23" t="s">
        <v>380</v>
      </c>
      <c r="AG35" s="23" t="s">
        <v>380</v>
      </c>
      <c r="AH35" s="23" t="s">
        <v>380</v>
      </c>
      <c r="AI35" s="5">
        <f t="shared" si="0"/>
        <v>0</v>
      </c>
      <c r="AJ35" s="21"/>
      <c r="AK35" s="14">
        <f t="shared" si="7"/>
        <v>0</v>
      </c>
      <c r="AL35" s="2" t="s">
        <v>381</v>
      </c>
    </row>
    <row r="36" spans="1:38" ht="19.899999999999999" customHeight="1" x14ac:dyDescent="0.25">
      <c r="A36" s="2">
        <v>34</v>
      </c>
      <c r="B36" s="31" t="s">
        <v>49</v>
      </c>
      <c r="C36" s="27" t="s">
        <v>308</v>
      </c>
      <c r="D36" s="26" t="s">
        <v>9</v>
      </c>
      <c r="E36" s="23" t="s">
        <v>380</v>
      </c>
      <c r="F36" s="23" t="s">
        <v>380</v>
      </c>
      <c r="G36" s="23" t="s">
        <v>380</v>
      </c>
      <c r="H36" s="23" t="s">
        <v>380</v>
      </c>
      <c r="I36" s="23" t="s">
        <v>380</v>
      </c>
      <c r="J36" s="23" t="s">
        <v>380</v>
      </c>
      <c r="K36" s="23" t="s">
        <v>380</v>
      </c>
      <c r="L36" s="23" t="s">
        <v>380</v>
      </c>
      <c r="M36" s="23" t="s">
        <v>380</v>
      </c>
      <c r="N36" s="23" t="s">
        <v>380</v>
      </c>
      <c r="O36" s="23" t="s">
        <v>380</v>
      </c>
      <c r="P36" s="23" t="s">
        <v>380</v>
      </c>
      <c r="Q36" s="23" t="s">
        <v>380</v>
      </c>
      <c r="R36" s="23" t="s">
        <v>380</v>
      </c>
      <c r="S36" s="23" t="s">
        <v>380</v>
      </c>
      <c r="T36" s="23" t="s">
        <v>380</v>
      </c>
      <c r="U36" s="23" t="s">
        <v>380</v>
      </c>
      <c r="V36" s="23" t="s">
        <v>380</v>
      </c>
      <c r="W36" s="23" t="s">
        <v>380</v>
      </c>
      <c r="X36" s="23" t="s">
        <v>380</v>
      </c>
      <c r="Y36" s="23" t="s">
        <v>380</v>
      </c>
      <c r="Z36" s="23" t="s">
        <v>380</v>
      </c>
      <c r="AA36" s="23" t="s">
        <v>380</v>
      </c>
      <c r="AB36" s="23" t="s">
        <v>380</v>
      </c>
      <c r="AC36" s="23" t="s">
        <v>380</v>
      </c>
      <c r="AD36" s="23" t="s">
        <v>380</v>
      </c>
      <c r="AE36" s="23" t="s">
        <v>380</v>
      </c>
      <c r="AF36" s="23" t="s">
        <v>380</v>
      </c>
      <c r="AG36" s="23" t="s">
        <v>380</v>
      </c>
      <c r="AH36" s="23" t="s">
        <v>380</v>
      </c>
      <c r="AI36" s="5">
        <f t="shared" si="0"/>
        <v>0</v>
      </c>
      <c r="AJ36" s="21"/>
      <c r="AK36" s="14">
        <f t="shared" si="7"/>
        <v>0</v>
      </c>
      <c r="AL36" s="2" t="s">
        <v>381</v>
      </c>
    </row>
    <row r="37" spans="1:38" ht="19.899999999999999" customHeight="1" x14ac:dyDescent="0.25">
      <c r="A37" s="2">
        <v>35</v>
      </c>
      <c r="B37" s="26" t="s">
        <v>54</v>
      </c>
      <c r="C37" s="27" t="s">
        <v>82</v>
      </c>
      <c r="D37" s="26" t="s">
        <v>9</v>
      </c>
      <c r="E37" s="23" t="s">
        <v>380</v>
      </c>
      <c r="F37" s="23" t="s">
        <v>380</v>
      </c>
      <c r="G37" s="23" t="s">
        <v>380</v>
      </c>
      <c r="H37" s="23" t="s">
        <v>380</v>
      </c>
      <c r="I37" s="23" t="s">
        <v>380</v>
      </c>
      <c r="J37" s="23" t="s">
        <v>380</v>
      </c>
      <c r="K37" s="23" t="s">
        <v>380</v>
      </c>
      <c r="L37" s="23" t="s">
        <v>380</v>
      </c>
      <c r="M37" s="23" t="s">
        <v>380</v>
      </c>
      <c r="N37" s="23" t="s">
        <v>380</v>
      </c>
      <c r="O37" s="23" t="s">
        <v>380</v>
      </c>
      <c r="P37" s="23" t="s">
        <v>380</v>
      </c>
      <c r="Q37" s="23" t="s">
        <v>380</v>
      </c>
      <c r="R37" s="23" t="s">
        <v>380</v>
      </c>
      <c r="S37" s="23" t="s">
        <v>380</v>
      </c>
      <c r="T37" s="23" t="s">
        <v>380</v>
      </c>
      <c r="U37" s="23" t="s">
        <v>380</v>
      </c>
      <c r="V37" s="23" t="s">
        <v>380</v>
      </c>
      <c r="W37" s="23" t="s">
        <v>380</v>
      </c>
      <c r="X37" s="23" t="s">
        <v>380</v>
      </c>
      <c r="Y37" s="23" t="s">
        <v>380</v>
      </c>
      <c r="Z37" s="23" t="s">
        <v>380</v>
      </c>
      <c r="AA37" s="23" t="s">
        <v>380</v>
      </c>
      <c r="AB37" s="23" t="s">
        <v>380</v>
      </c>
      <c r="AC37" s="23" t="s">
        <v>380</v>
      </c>
      <c r="AD37" s="23" t="s">
        <v>380</v>
      </c>
      <c r="AE37" s="23" t="s">
        <v>380</v>
      </c>
      <c r="AF37" s="23" t="s">
        <v>380</v>
      </c>
      <c r="AG37" s="23" t="s">
        <v>380</v>
      </c>
      <c r="AH37" s="23" t="s">
        <v>380</v>
      </c>
      <c r="AI37" s="5">
        <f t="shared" si="0"/>
        <v>0</v>
      </c>
      <c r="AJ37" s="21"/>
      <c r="AK37" s="14">
        <f t="shared" ref="AK37" si="9">AI37*AJ37</f>
        <v>0</v>
      </c>
      <c r="AL37" s="2" t="s">
        <v>381</v>
      </c>
    </row>
    <row r="38" spans="1:38" ht="19.899999999999999" customHeight="1" x14ac:dyDescent="0.25">
      <c r="A38" s="2"/>
      <c r="B38" s="7"/>
      <c r="C38" s="4"/>
      <c r="D38" s="2"/>
      <c r="E38" s="23"/>
      <c r="F38" s="23"/>
      <c r="G38" s="13"/>
      <c r="H38" s="23"/>
      <c r="I38" s="13"/>
      <c r="J38" s="13"/>
      <c r="K38" s="13"/>
      <c r="L38" s="23"/>
      <c r="M38" s="23"/>
      <c r="N38" s="13"/>
      <c r="O38" s="23"/>
      <c r="P38" s="13"/>
      <c r="Q38" s="13"/>
      <c r="R38" s="13"/>
      <c r="S38" s="23"/>
      <c r="T38" s="23"/>
      <c r="U38" s="13"/>
      <c r="V38" s="23"/>
      <c r="W38" s="13"/>
      <c r="X38" s="13"/>
      <c r="Y38" s="13"/>
      <c r="Z38" s="23"/>
      <c r="AA38" s="23"/>
      <c r="AB38" s="13"/>
      <c r="AC38" s="23"/>
      <c r="AD38" s="23"/>
      <c r="AE38" s="23"/>
      <c r="AF38" s="13"/>
      <c r="AG38" s="13"/>
      <c r="AH38" s="13"/>
      <c r="AI38" s="5">
        <f t="shared" si="0"/>
        <v>0</v>
      </c>
      <c r="AJ38" s="21"/>
      <c r="AK38" s="14">
        <f t="shared" si="1"/>
        <v>0</v>
      </c>
      <c r="AL38" s="2"/>
    </row>
    <row r="39" spans="1:38" ht="18" customHeight="1" x14ac:dyDescent="0.25">
      <c r="AI39" s="10">
        <f>SUM(AI3:AI38)</f>
        <v>609</v>
      </c>
      <c r="AK39" s="12">
        <f>SUM(AK3:AK38)</f>
        <v>0</v>
      </c>
    </row>
    <row r="40" spans="1:38" ht="18" customHeight="1" thickBot="1" x14ac:dyDescent="0.3">
      <c r="AK40" s="16"/>
      <c r="AL40" s="18"/>
    </row>
    <row r="41" spans="1:38" ht="18" customHeight="1" thickTop="1" thickBot="1" x14ac:dyDescent="0.3">
      <c r="C41" s="6"/>
      <c r="AK41" s="17">
        <f>SUM(AK39:AK40)</f>
        <v>0</v>
      </c>
    </row>
    <row r="42" spans="1:38" ht="18" customHeight="1" thickTop="1" x14ac:dyDescent="0.25">
      <c r="C42" s="6"/>
    </row>
    <row r="43" spans="1:38" ht="18" customHeight="1" x14ac:dyDescent="0.25">
      <c r="C43" s="6"/>
    </row>
    <row r="44" spans="1:38" ht="18" customHeight="1" x14ac:dyDescent="0.25">
      <c r="C44" s="6"/>
    </row>
    <row r="45" spans="1:38" ht="18" customHeight="1" x14ac:dyDescent="0.25">
      <c r="C45" s="6"/>
    </row>
    <row r="46" spans="1:38" ht="18" customHeight="1" x14ac:dyDescent="0.25">
      <c r="C46" s="6"/>
    </row>
    <row r="47" spans="1:38" ht="18" customHeight="1" x14ac:dyDescent="0.25">
      <c r="C47" s="6"/>
    </row>
    <row r="48" spans="1:38" ht="18" customHeight="1" x14ac:dyDescent="0.25">
      <c r="C48" s="6"/>
    </row>
    <row r="49" spans="3:3" ht="18" customHeight="1" x14ac:dyDescent="0.25">
      <c r="C49" s="6"/>
    </row>
    <row r="50" spans="3:3" ht="18" customHeight="1" x14ac:dyDescent="0.25">
      <c r="C50" s="6"/>
    </row>
    <row r="51" spans="3:3" ht="18" customHeight="1" x14ac:dyDescent="0.25">
      <c r="C51" s="6"/>
    </row>
    <row r="52" spans="3:3" ht="18" customHeight="1" x14ac:dyDescent="0.25">
      <c r="C52" s="6"/>
    </row>
    <row r="53" spans="3:3" ht="18" customHeight="1" x14ac:dyDescent="0.25">
      <c r="C53" s="6"/>
    </row>
    <row r="54" spans="3:3" ht="18" customHeight="1" x14ac:dyDescent="0.25">
      <c r="C54" s="6"/>
    </row>
    <row r="55" spans="3:3" ht="18" customHeight="1" x14ac:dyDescent="0.25">
      <c r="C55" s="6"/>
    </row>
    <row r="56" spans="3:3" ht="18" customHeight="1" x14ac:dyDescent="0.25">
      <c r="C56" s="6"/>
    </row>
    <row r="57" spans="3:3" ht="18" customHeight="1" x14ac:dyDescent="0.25">
      <c r="C57" s="6"/>
    </row>
    <row r="58" spans="3:3" ht="18" customHeight="1" x14ac:dyDescent="0.25">
      <c r="C58" s="6"/>
    </row>
    <row r="59" spans="3:3" ht="18" customHeight="1" x14ac:dyDescent="0.25">
      <c r="C59" s="6"/>
    </row>
    <row r="60" spans="3:3" ht="18" customHeight="1" x14ac:dyDescent="0.25">
      <c r="C60" s="6"/>
    </row>
    <row r="61" spans="3:3" ht="18" customHeight="1" x14ac:dyDescent="0.25">
      <c r="C61" s="6"/>
    </row>
    <row r="62" spans="3:3" ht="18" customHeight="1" x14ac:dyDescent="0.25">
      <c r="C62" s="6"/>
    </row>
    <row r="63" spans="3:3" ht="18" customHeight="1" x14ac:dyDescent="0.25">
      <c r="C63" s="6"/>
    </row>
    <row r="64" spans="3:3" ht="18" customHeight="1" x14ac:dyDescent="0.25">
      <c r="C64" s="6"/>
    </row>
    <row r="65" spans="3:3" ht="18" customHeight="1" x14ac:dyDescent="0.25">
      <c r="C65" s="6"/>
    </row>
    <row r="66" spans="3:3" ht="18" customHeight="1" x14ac:dyDescent="0.25">
      <c r="C66" s="6"/>
    </row>
    <row r="67" spans="3:3" ht="18" customHeight="1" x14ac:dyDescent="0.25">
      <c r="C67" s="6"/>
    </row>
    <row r="68" spans="3:3" ht="18" customHeight="1" x14ac:dyDescent="0.25">
      <c r="C68" s="6"/>
    </row>
    <row r="69" spans="3:3" ht="18" customHeight="1" x14ac:dyDescent="0.25">
      <c r="C69" s="6"/>
    </row>
    <row r="70" spans="3:3" ht="18" customHeight="1" x14ac:dyDescent="0.25">
      <c r="C70" s="6"/>
    </row>
    <row r="71" spans="3:3" ht="18" customHeight="1" x14ac:dyDescent="0.25">
      <c r="C71" s="6"/>
    </row>
    <row r="72" spans="3:3" ht="18" customHeight="1" x14ac:dyDescent="0.25">
      <c r="C72" s="6"/>
    </row>
    <row r="73" spans="3:3" ht="18" customHeight="1" x14ac:dyDescent="0.25">
      <c r="C73" s="6"/>
    </row>
    <row r="74" spans="3:3" ht="18" customHeight="1" x14ac:dyDescent="0.25">
      <c r="C74" s="6"/>
    </row>
    <row r="75" spans="3:3" ht="18" customHeight="1" x14ac:dyDescent="0.25">
      <c r="C75" s="6"/>
    </row>
    <row r="76" spans="3:3" ht="18" customHeight="1" x14ac:dyDescent="0.25">
      <c r="C76" s="6"/>
    </row>
    <row r="77" spans="3:3" ht="18" customHeight="1" x14ac:dyDescent="0.25">
      <c r="C77" s="6"/>
    </row>
    <row r="78" spans="3:3" ht="18" customHeight="1" x14ac:dyDescent="0.25">
      <c r="C78" s="6"/>
    </row>
    <row r="79" spans="3:3" ht="18" customHeight="1" x14ac:dyDescent="0.25">
      <c r="C79" s="6"/>
    </row>
    <row r="80" spans="3:3" ht="18" customHeight="1" x14ac:dyDescent="0.25">
      <c r="C80" s="6"/>
    </row>
    <row r="81" spans="3:3" ht="18" customHeight="1" x14ac:dyDescent="0.25">
      <c r="C81" s="6"/>
    </row>
    <row r="82" spans="3:3" ht="18" customHeight="1" x14ac:dyDescent="0.25">
      <c r="C82" s="6"/>
    </row>
    <row r="83" spans="3:3" ht="18" customHeight="1" x14ac:dyDescent="0.25">
      <c r="C83" s="6"/>
    </row>
    <row r="84" spans="3:3" ht="18" customHeight="1" x14ac:dyDescent="0.25">
      <c r="C84" s="6"/>
    </row>
    <row r="85" spans="3:3" ht="18" customHeight="1" x14ac:dyDescent="0.25">
      <c r="C85" s="6"/>
    </row>
    <row r="86" spans="3:3" ht="18" customHeight="1" x14ac:dyDescent="0.25">
      <c r="C86" s="6"/>
    </row>
    <row r="87" spans="3:3" ht="18" customHeight="1" x14ac:dyDescent="0.25">
      <c r="C87" s="6"/>
    </row>
    <row r="88" spans="3:3" ht="18" customHeight="1" x14ac:dyDescent="0.25">
      <c r="C88" s="6"/>
    </row>
    <row r="89" spans="3:3" ht="18" customHeight="1" x14ac:dyDescent="0.25">
      <c r="C89" s="6"/>
    </row>
    <row r="90" spans="3:3" ht="18" customHeight="1" x14ac:dyDescent="0.25">
      <c r="C90" s="6"/>
    </row>
    <row r="91" spans="3:3" ht="18" customHeight="1" x14ac:dyDescent="0.25">
      <c r="C91" s="6"/>
    </row>
    <row r="92" spans="3:3" ht="18" customHeight="1" x14ac:dyDescent="0.25">
      <c r="C92" s="6"/>
    </row>
    <row r="93" spans="3:3" ht="18" customHeight="1" x14ac:dyDescent="0.25">
      <c r="C93" s="6"/>
    </row>
    <row r="94" spans="3:3" ht="18" customHeight="1" x14ac:dyDescent="0.25">
      <c r="C94" s="6"/>
    </row>
    <row r="95" spans="3:3" ht="18" customHeight="1" x14ac:dyDescent="0.25">
      <c r="C95" s="6"/>
    </row>
    <row r="96" spans="3:3" ht="18" customHeight="1" x14ac:dyDescent="0.25">
      <c r="C96" s="6"/>
    </row>
    <row r="97" spans="3:3" ht="18" customHeight="1" x14ac:dyDescent="0.25">
      <c r="C97" s="6"/>
    </row>
    <row r="98" spans="3:3" ht="18" customHeight="1" x14ac:dyDescent="0.25">
      <c r="C98" s="6"/>
    </row>
    <row r="99" spans="3:3" ht="18" customHeight="1" x14ac:dyDescent="0.25">
      <c r="C99" s="6"/>
    </row>
  </sheetData>
  <mergeCells count="1">
    <mergeCell ref="A1:AL1"/>
  </mergeCells>
  <conditionalFormatting sqref="B1:B1048576">
    <cfRule type="duplicateValues" dxfId="439" priority="588"/>
  </conditionalFormatting>
  <conditionalFormatting sqref="B2:B1048576">
    <cfRule type="duplicateValues" dxfId="438" priority="638"/>
    <cfRule type="duplicateValues" dxfId="437" priority="637"/>
    <cfRule type="duplicateValues" dxfId="436" priority="636"/>
    <cfRule type="duplicateValues" dxfId="435" priority="634"/>
    <cfRule type="duplicateValues" dxfId="434" priority="633"/>
    <cfRule type="duplicateValues" dxfId="433" priority="614"/>
  </conditionalFormatting>
  <conditionalFormatting sqref="B10">
    <cfRule type="duplicateValues" dxfId="432" priority="603"/>
    <cfRule type="duplicateValues" dxfId="431" priority="602"/>
    <cfRule type="duplicateValues" dxfId="430" priority="604"/>
    <cfRule type="duplicateValues" dxfId="429" priority="606"/>
    <cfRule type="duplicateValues" dxfId="428" priority="607"/>
    <cfRule type="duplicateValues" dxfId="427" priority="605"/>
  </conditionalFormatting>
  <conditionalFormatting sqref="B13">
    <cfRule type="duplicateValues" dxfId="426" priority="597"/>
    <cfRule type="duplicateValues" dxfId="425" priority="596"/>
    <cfRule type="duplicateValues" dxfId="424" priority="595"/>
    <cfRule type="duplicateValues" dxfId="423" priority="594"/>
  </conditionalFormatting>
  <conditionalFormatting sqref="B14 B3">
    <cfRule type="duplicateValues" dxfId="422" priority="15722"/>
    <cfRule type="duplicateValues" dxfId="421" priority="15723"/>
    <cfRule type="duplicateValues" dxfId="420" priority="15724"/>
    <cfRule type="duplicateValues" dxfId="419" priority="15721"/>
  </conditionalFormatting>
  <conditionalFormatting sqref="B14">
    <cfRule type="duplicateValues" dxfId="418" priority="15737"/>
  </conditionalFormatting>
  <conditionalFormatting sqref="B15">
    <cfRule type="duplicateValues" dxfId="417" priority="566"/>
    <cfRule type="duplicateValues" dxfId="416" priority="568"/>
    <cfRule type="duplicateValues" dxfId="415" priority="569"/>
    <cfRule type="duplicateValues" dxfId="414" priority="567"/>
  </conditionalFormatting>
  <conditionalFormatting sqref="B17">
    <cfRule type="duplicateValues" dxfId="413" priority="571"/>
    <cfRule type="duplicateValues" dxfId="412" priority="575"/>
    <cfRule type="duplicateValues" dxfId="411" priority="570"/>
    <cfRule type="duplicateValues" dxfId="410" priority="572"/>
    <cfRule type="duplicateValues" dxfId="409" priority="573"/>
    <cfRule type="duplicateValues" dxfId="408" priority="574"/>
  </conditionalFormatting>
  <conditionalFormatting sqref="B22 B6:B8 B18">
    <cfRule type="duplicateValues" dxfId="407" priority="26088"/>
    <cfRule type="duplicateValues" dxfId="406" priority="26087"/>
    <cfRule type="duplicateValues" dxfId="405" priority="26085"/>
    <cfRule type="duplicateValues" dxfId="404" priority="26084"/>
    <cfRule type="duplicateValues" dxfId="403" priority="26086"/>
  </conditionalFormatting>
  <conditionalFormatting sqref="B24 B11">
    <cfRule type="duplicateValues" dxfId="402" priority="584"/>
    <cfRule type="duplicateValues" dxfId="401" priority="583"/>
    <cfRule type="duplicateValues" dxfId="400" priority="582"/>
    <cfRule type="duplicateValues" dxfId="399" priority="581"/>
  </conditionalFormatting>
  <conditionalFormatting sqref="B25:B28">
    <cfRule type="duplicateValues" dxfId="398" priority="26110"/>
    <cfRule type="duplicateValues" dxfId="397" priority="26111"/>
    <cfRule type="duplicateValues" dxfId="396" priority="26112"/>
    <cfRule type="duplicateValues" dxfId="395" priority="26113"/>
  </conditionalFormatting>
  <conditionalFormatting sqref="B29:B32 B39:B1048576 B19:B20 B23 B12 B4 B2 B9 B34:B35">
    <cfRule type="duplicateValues" dxfId="394" priority="26695"/>
    <cfRule type="duplicateValues" dxfId="393" priority="26694"/>
    <cfRule type="duplicateValues" dxfId="392" priority="26693"/>
    <cfRule type="duplicateValues" dxfId="391" priority="26692"/>
  </conditionalFormatting>
  <conditionalFormatting sqref="B33 B16 B21">
    <cfRule type="duplicateValues" dxfId="390" priority="15960"/>
    <cfRule type="duplicateValues" dxfId="389" priority="15958"/>
    <cfRule type="duplicateValues" dxfId="388" priority="15957"/>
    <cfRule type="duplicateValues" dxfId="387" priority="15955"/>
    <cfRule type="duplicateValues" dxfId="386" priority="15959"/>
    <cfRule type="duplicateValues" dxfId="385" priority="15956"/>
  </conditionalFormatting>
  <conditionalFormatting sqref="B36 B5">
    <cfRule type="duplicateValues" dxfId="384" priority="15705"/>
    <cfRule type="duplicateValues" dxfId="383" priority="15706"/>
    <cfRule type="duplicateValues" dxfId="382" priority="15704"/>
    <cfRule type="duplicateValues" dxfId="381" priority="15707"/>
    <cfRule type="duplicateValues" dxfId="380" priority="15708"/>
  </conditionalFormatting>
  <conditionalFormatting sqref="B37 B11 B24">
    <cfRule type="duplicateValues" dxfId="379" priority="19428"/>
  </conditionalFormatting>
  <conditionalFormatting sqref="B37 B15 B11 B24">
    <cfRule type="duplicateValues" dxfId="378" priority="19432"/>
    <cfRule type="duplicateValues" dxfId="377" priority="19431"/>
  </conditionalFormatting>
  <conditionalFormatting sqref="B37">
    <cfRule type="duplicateValues" dxfId="376" priority="578"/>
    <cfRule type="duplicateValues" dxfId="375" priority="577"/>
    <cfRule type="duplicateValues" dxfId="374" priority="576"/>
    <cfRule type="duplicateValues" dxfId="373" priority="580"/>
    <cfRule type="duplicateValues" dxfId="372" priority="579"/>
  </conditionalFormatting>
  <conditionalFormatting sqref="B38">
    <cfRule type="duplicateValues" dxfId="371" priority="601"/>
    <cfRule type="duplicateValues" dxfId="370" priority="598"/>
    <cfRule type="duplicateValues" dxfId="369" priority="599"/>
    <cfRule type="duplicateValues" dxfId="368" priority="600"/>
  </conditionalFormatting>
  <conditionalFormatting sqref="B38:B1048576 B2 B4 B25:B32 B34:B35 B6:B9 B12:B13 B18:B20 B22:B23">
    <cfRule type="duplicateValues" dxfId="367" priority="26183"/>
  </conditionalFormatting>
  <conditionalFormatting sqref="B38:B1048576 B25:B32 B34:B36 B2:B9 B12:B14 B18:B20 B22:B23">
    <cfRule type="duplicateValues" dxfId="366" priority="26330"/>
    <cfRule type="duplicateValues" dxfId="365" priority="26331"/>
  </conditionalFormatting>
  <conditionalFormatting sqref="E3:AH25 E29:AH37">
    <cfRule type="containsText" dxfId="364" priority="590" operator="containsText" text="PH">
      <formula>NOT(ISERROR(SEARCH("PH",E3)))</formula>
    </cfRule>
  </conditionalFormatting>
  <conditionalFormatting sqref="E3:AH25 E29:AH38">
    <cfRule type="containsText" dxfId="363" priority="592" operator="containsText" text="S">
      <formula>NOT(ISERROR(SEARCH("S",E3)))</formula>
    </cfRule>
    <cfRule type="containsText" dxfId="362" priority="593" operator="containsText" text="S">
      <formula>NOT(ISERROR(SEARCH("S",E3)))</formula>
    </cfRule>
    <cfRule type="containsText" dxfId="361" priority="630" operator="containsText" text="A">
      <formula>NOT(ISERROR(SEARCH("A",E3)))</formula>
    </cfRule>
  </conditionalFormatting>
  <conditionalFormatting sqref="E3:AH26 E29:AH38">
    <cfRule type="containsText" dxfId="360" priority="460" operator="containsText" text="OT">
      <formula>NOT(ISERROR(SEARCH("OT",E3)))</formula>
    </cfRule>
  </conditionalFormatting>
  <conditionalFormatting sqref="E3:AH37">
    <cfRule type="containsText" dxfId="359" priority="10" operator="containsText" text="S">
      <formula>NOT(ISERROR(SEARCH("S",E3)))</formula>
    </cfRule>
    <cfRule type="containsText" dxfId="358" priority="9" operator="containsText" text="V">
      <formula>NOT(ISERROR(SEARCH("V",E3)))</formula>
    </cfRule>
    <cfRule type="containsText" dxfId="357" priority="8" operator="containsText" text="ABS">
      <formula>NOT(ISERROR(SEARCH("ABS",E3)))</formula>
    </cfRule>
    <cfRule type="containsBlanks" dxfId="356" priority="7">
      <formula>LEN(TRIM(E3))=0</formula>
    </cfRule>
    <cfRule type="containsText" dxfId="355" priority="12" operator="containsText" text="A">
      <formula>NOT(ISERROR(SEARCH("A",E3)))</formula>
    </cfRule>
    <cfRule type="containsText" dxfId="354" priority="11" operator="containsText" text="PH">
      <formula>NOT(ISERROR(SEARCH("PH",E3)))</formula>
    </cfRule>
  </conditionalFormatting>
  <conditionalFormatting sqref="E9:AH12 E17:AH17 E27 E28:AH33">
    <cfRule type="containsText" dxfId="353" priority="338" operator="containsText" text="S">
      <formula>NOT(ISERROR(SEARCH("S",E9)))</formula>
    </cfRule>
    <cfRule type="containsText" dxfId="352" priority="337" operator="containsText" text="ID">
      <formula>NOT(ISERROR(SEARCH("ID",E9)))</formula>
    </cfRule>
    <cfRule type="containsBlanks" dxfId="351" priority="336">
      <formula>LEN(TRIM(E9))=0</formula>
    </cfRule>
    <cfRule type="containsText" dxfId="350" priority="335" operator="containsText" text="A">
      <formula>NOT(ISERROR(SEARCH("A",E9)))</formula>
    </cfRule>
    <cfRule type="containsText" dxfId="349" priority="334" operator="containsText" text="PH">
      <formula>NOT(ISERROR(SEARCH("PH",E9)))</formula>
    </cfRule>
    <cfRule type="containsBlanks" dxfId="348" priority="333">
      <formula>LEN(TRIM(E9))=0</formula>
    </cfRule>
    <cfRule type="containsText" dxfId="347" priority="332" operator="containsText" text="A">
      <formula>NOT(ISERROR(SEARCH("A",E9)))</formula>
    </cfRule>
    <cfRule type="containsText" dxfId="346" priority="331" operator="containsText" text="PH">
      <formula>NOT(ISERROR(SEARCH("PH",E9)))</formula>
    </cfRule>
    <cfRule type="containsText" dxfId="345" priority="330" operator="containsText" text="S">
      <formula>NOT(ISERROR(SEARCH("S",E9)))</formula>
    </cfRule>
    <cfRule type="containsText" dxfId="344" priority="329" operator="containsText" text="S">
      <formula>NOT(ISERROR(SEARCH("S",E9)))</formula>
    </cfRule>
    <cfRule type="containsText" dxfId="343" priority="328" operator="containsText" text="ID">
      <formula>NOT(ISERROR(SEARCH("ID",E9)))</formula>
    </cfRule>
    <cfRule type="containsBlanks" dxfId="342" priority="327">
      <formula>LEN(TRIM(E9))=0</formula>
    </cfRule>
    <cfRule type="containsText" dxfId="341" priority="326" operator="containsText" text="A">
      <formula>NOT(ISERROR(SEARCH("A",E9)))</formula>
    </cfRule>
    <cfRule type="containsText" dxfId="340" priority="325" operator="containsText" text="PH">
      <formula>NOT(ISERROR(SEARCH("PH",E9)))</formula>
    </cfRule>
    <cfRule type="containsText" dxfId="339" priority="324" operator="containsText" text="S">
      <formula>NOT(ISERROR(SEARCH("S",E9)))</formula>
    </cfRule>
    <cfRule type="containsText" dxfId="338" priority="323" operator="containsText" text="S">
      <formula>NOT(ISERROR(SEARCH("S",E9)))</formula>
    </cfRule>
    <cfRule type="containsText" dxfId="337" priority="292" operator="containsText" text="ID">
      <formula>NOT(ISERROR(SEARCH("ID",E9)))</formula>
    </cfRule>
    <cfRule type="containsText" dxfId="336" priority="293" operator="containsText" text="S">
      <formula>NOT(ISERROR(SEARCH("S",E9)))</formula>
    </cfRule>
    <cfRule type="containsText" dxfId="335" priority="294" operator="containsText" text="ID">
      <formula>NOT(ISERROR(SEARCH("ID",E9)))</formula>
    </cfRule>
    <cfRule type="containsText" dxfId="334" priority="295" operator="containsText" text="ID">
      <formula>NOT(ISERROR(SEARCH("ID",E9)))</formula>
    </cfRule>
    <cfRule type="containsText" dxfId="333" priority="296" operator="containsText" text="S">
      <formula>NOT(ISERROR(SEARCH("S",E9)))</formula>
    </cfRule>
    <cfRule type="containsText" dxfId="332" priority="297" operator="containsText" text="PH">
      <formula>NOT(ISERROR(SEARCH("PH",E9)))</formula>
    </cfRule>
    <cfRule type="containsText" dxfId="331" priority="298" operator="containsText" text="A">
      <formula>NOT(ISERROR(SEARCH("A",E9)))</formula>
    </cfRule>
    <cfRule type="containsBlanks" dxfId="330" priority="299">
      <formula>LEN(TRIM(E9))=0</formula>
    </cfRule>
    <cfRule type="containsText" dxfId="329" priority="301" operator="containsText" text="ID">
      <formula>NOT(ISERROR(SEARCH("ID",E9)))</formula>
    </cfRule>
    <cfRule type="containsText" dxfId="328" priority="302" operator="containsText" text="ID">
      <formula>NOT(ISERROR(SEARCH("ID",E9)))</formula>
    </cfRule>
    <cfRule type="containsText" dxfId="327" priority="303" operator="containsText" text="ID">
      <formula>NOT(ISERROR(SEARCH("ID",E9)))</formula>
    </cfRule>
    <cfRule type="containsText" dxfId="326" priority="304" operator="containsText" text="S">
      <formula>NOT(ISERROR(SEARCH("S",E9)))</formula>
    </cfRule>
    <cfRule type="containsText" dxfId="325" priority="305" operator="containsText" text="S">
      <formula>NOT(ISERROR(SEARCH("S",E9)))</formula>
    </cfRule>
    <cfRule type="containsText" dxfId="324" priority="306" operator="containsText" text="PH">
      <formula>NOT(ISERROR(SEARCH("PH",E9)))</formula>
    </cfRule>
    <cfRule type="containsText" dxfId="323" priority="307" operator="containsText" text="A">
      <formula>NOT(ISERROR(SEARCH("A",E9)))</formula>
    </cfRule>
    <cfRule type="containsBlanks" dxfId="322" priority="308">
      <formula>LEN(TRIM(E9))=0</formula>
    </cfRule>
    <cfRule type="containsText" dxfId="321" priority="309" operator="containsText" text="PH">
      <formula>NOT(ISERROR(SEARCH("PH",E9)))</formula>
    </cfRule>
    <cfRule type="containsText" dxfId="320" priority="310" operator="containsText" text="A">
      <formula>NOT(ISERROR(SEARCH("A",E9)))</formula>
    </cfRule>
    <cfRule type="containsBlanks" dxfId="319" priority="311">
      <formula>LEN(TRIM(E9))=0</formula>
    </cfRule>
    <cfRule type="containsText" dxfId="318" priority="312" operator="containsText" text="ID">
      <formula>NOT(ISERROR(SEARCH("ID",E9)))</formula>
    </cfRule>
    <cfRule type="containsText" dxfId="317" priority="313" operator="containsText" text="ML">
      <formula>NOT(ISERROR(SEARCH("ML",E9)))</formula>
    </cfRule>
    <cfRule type="containsText" dxfId="316" priority="314" operator="containsText" text="S">
      <formula>NOT(ISERROR(SEARCH("S",E9)))</formula>
    </cfRule>
    <cfRule type="containsText" dxfId="315" priority="315" operator="containsText" text="CL">
      <formula>NOT(ISERROR(SEARCH("CL",E9)))</formula>
    </cfRule>
    <cfRule type="containsText" dxfId="314" priority="316" operator="containsText" text="EL">
      <formula>NOT(ISERROR(SEARCH("EL",E9)))</formula>
    </cfRule>
    <cfRule type="containsText" dxfId="313" priority="317" operator="containsText" text="S">
      <formula>NOT(ISERROR(SEARCH("S",E9)))</formula>
    </cfRule>
    <cfRule type="containsText" dxfId="312" priority="318" operator="containsText" text="PH">
      <formula>NOT(ISERROR(SEARCH("PH",E9)))</formula>
    </cfRule>
    <cfRule type="containsText" dxfId="311" priority="319" operator="containsText" text="A">
      <formula>NOT(ISERROR(SEARCH("A",E9)))</formula>
    </cfRule>
    <cfRule type="containsBlanks" dxfId="310" priority="320">
      <formula>LEN(TRIM(E9))=0</formula>
    </cfRule>
    <cfRule type="containsText" dxfId="309" priority="321" operator="containsText" text="ML">
      <formula>NOT(ISERROR(SEARCH("ML",E9)))</formula>
    </cfRule>
    <cfRule type="containsText" dxfId="308" priority="300" operator="containsText" text="S">
      <formula>NOT(ISERROR(SEARCH("S",E9)))</formula>
    </cfRule>
    <cfRule type="containsText" dxfId="307" priority="322" operator="containsText" text="ID">
      <formula>NOT(ISERROR(SEARCH("ID",E9)))</formula>
    </cfRule>
    <cfRule type="containsText" dxfId="306" priority="376" operator="containsText" text="A">
      <formula>NOT(ISERROR(SEARCH("A",E9)))</formula>
    </cfRule>
    <cfRule type="containsText" dxfId="305" priority="375" operator="containsText" text="PH">
      <formula>NOT(ISERROR(SEARCH("PH",E9)))</formula>
    </cfRule>
    <cfRule type="containsText" dxfId="304" priority="374" operator="containsText" text="ID">
      <formula>NOT(ISERROR(SEARCH("ID",E9)))</formula>
    </cfRule>
    <cfRule type="containsText" dxfId="303" priority="373" operator="containsText" text="S">
      <formula>NOT(ISERROR(SEARCH("S",E9)))</formula>
    </cfRule>
    <cfRule type="containsText" dxfId="302" priority="372" operator="containsText" text="OT">
      <formula>NOT(ISERROR(SEARCH("OT",E9)))</formula>
    </cfRule>
    <cfRule type="containsBlanks" dxfId="301" priority="371">
      <formula>LEN(TRIM(E9))=0</formula>
    </cfRule>
    <cfRule type="containsText" dxfId="300" priority="370" operator="containsText" text="ML">
      <formula>NOT(ISERROR(SEARCH("ML",E9)))</formula>
    </cfRule>
    <cfRule type="containsText" dxfId="299" priority="369" operator="containsText" text="ABS">
      <formula>NOT(ISERROR(SEARCH("ABS",E9)))</formula>
    </cfRule>
    <cfRule type="containsText" dxfId="298" priority="368" operator="containsText" text="ID">
      <formula>NOT(ISERROR(SEARCH("ID",E9)))</formula>
    </cfRule>
    <cfRule type="containsText" dxfId="297" priority="367" operator="containsText" text="S">
      <formula>NOT(ISERROR(SEARCH("S",E9)))</formula>
    </cfRule>
    <cfRule type="containsText" dxfId="296" priority="366" operator="containsText" text="ID">
      <formula>NOT(ISERROR(SEARCH("ID",E9)))</formula>
    </cfRule>
    <cfRule type="containsBlanks" dxfId="295" priority="365">
      <formula>LEN(TRIM(E9))=0</formula>
    </cfRule>
    <cfRule type="containsText" dxfId="294" priority="364" operator="containsText" text="A">
      <formula>NOT(ISERROR(SEARCH("A",E9)))</formula>
    </cfRule>
    <cfRule type="containsText" dxfId="293" priority="363" operator="containsText" text="PH">
      <formula>NOT(ISERROR(SEARCH("PH",E9)))</formula>
    </cfRule>
    <cfRule type="containsBlanks" dxfId="292" priority="362">
      <formula>LEN(TRIM(E9))=0</formula>
    </cfRule>
    <cfRule type="containsText" dxfId="291" priority="361" operator="containsText" text="A">
      <formula>NOT(ISERROR(SEARCH("A",E9)))</formula>
    </cfRule>
    <cfRule type="containsText" dxfId="290" priority="360" operator="containsText" text="PH">
      <formula>NOT(ISERROR(SEARCH("PH",E9)))</formula>
    </cfRule>
    <cfRule type="containsText" dxfId="289" priority="359" operator="containsText" text="S">
      <formula>NOT(ISERROR(SEARCH("S",E9)))</formula>
    </cfRule>
    <cfRule type="containsText" dxfId="288" priority="358" operator="containsText" text="S">
      <formula>NOT(ISERROR(SEARCH("S",E9)))</formula>
    </cfRule>
    <cfRule type="containsText" dxfId="287" priority="357" operator="containsText" text="ID">
      <formula>NOT(ISERROR(SEARCH("ID",E9)))</formula>
    </cfRule>
    <cfRule type="containsText" dxfId="286" priority="356" operator="containsText" text="ID">
      <formula>NOT(ISERROR(SEARCH("ID",E9)))</formula>
    </cfRule>
    <cfRule type="containsText" dxfId="285" priority="355" operator="containsText" text="ML">
      <formula>NOT(ISERROR(SEARCH("ML",E9)))</formula>
    </cfRule>
    <cfRule type="containsText" dxfId="284" priority="354" operator="containsText" text="S">
      <formula>NOT(ISERROR(SEARCH("S",E9)))</formula>
    </cfRule>
    <cfRule type="containsText" dxfId="283" priority="353" operator="containsText" text="ID">
      <formula>NOT(ISERROR(SEARCH("ID",E9)))</formula>
    </cfRule>
    <cfRule type="containsText" dxfId="282" priority="352" operator="containsText" text="ML">
      <formula>NOT(ISERROR(SEARCH("ML",E9)))</formula>
    </cfRule>
    <cfRule type="containsBlanks" dxfId="281" priority="351">
      <formula>LEN(TRIM(E9))=0</formula>
    </cfRule>
    <cfRule type="containsText" dxfId="280" priority="350" operator="containsText" text="A">
      <formula>NOT(ISERROR(SEARCH("A",E9)))</formula>
    </cfRule>
    <cfRule type="containsText" dxfId="279" priority="349" operator="containsText" text="PH">
      <formula>NOT(ISERROR(SEARCH("PH",E9)))</formula>
    </cfRule>
    <cfRule type="containsText" dxfId="278" priority="348" operator="containsText" text="S">
      <formula>NOT(ISERROR(SEARCH("S",E9)))</formula>
    </cfRule>
    <cfRule type="containsText" dxfId="277" priority="347" operator="containsText" text="S">
      <formula>NOT(ISERROR(SEARCH("S",E9)))</formula>
    </cfRule>
    <cfRule type="containsText" dxfId="276" priority="346" operator="containsText" text="ID">
      <formula>NOT(ISERROR(SEARCH("ID",E9)))</formula>
    </cfRule>
    <cfRule type="containsText" dxfId="275" priority="345" operator="containsText" text="ID">
      <formula>NOT(ISERROR(SEARCH("ID",E9)))</formula>
    </cfRule>
    <cfRule type="containsText" dxfId="274" priority="344" operator="containsText" text="ID">
      <formula>NOT(ISERROR(SEARCH("ID",E9)))</formula>
    </cfRule>
    <cfRule type="containsText" dxfId="273" priority="343" operator="containsText" text="ML">
      <formula>NOT(ISERROR(SEARCH("ML",E9)))</formula>
    </cfRule>
    <cfRule type="containsBlanks" dxfId="272" priority="342">
      <formula>LEN(TRIM(E9))=0</formula>
    </cfRule>
    <cfRule type="containsText" dxfId="271" priority="341" operator="containsText" text="A">
      <formula>NOT(ISERROR(SEARCH("A",E9)))</formula>
    </cfRule>
    <cfRule type="containsText" dxfId="270" priority="340" operator="containsText" text="PH">
      <formula>NOT(ISERROR(SEARCH("PH",E9)))</formula>
    </cfRule>
    <cfRule type="containsText" dxfId="269" priority="339" operator="containsText" text="S">
      <formula>NOT(ISERROR(SEARCH("S",E9)))</formula>
    </cfRule>
  </conditionalFormatting>
  <conditionalFormatting sqref="E9:AH12 E17:AH17 E26:AH33">
    <cfRule type="containsText" dxfId="268" priority="201" operator="containsText" text="ABS">
      <formula>NOT(ISERROR(SEARCH("ABS",E9)))</formula>
    </cfRule>
    <cfRule type="containsText" dxfId="267" priority="202" operator="containsText" text="v">
      <formula>NOT(ISERROR(SEARCH("v",E9)))</formula>
    </cfRule>
  </conditionalFormatting>
  <conditionalFormatting sqref="E9:AH12 E17:AH17 E29:AH32 E34:AH37">
    <cfRule type="containsText" dxfId="266" priority="198" operator="containsText" text="ABS">
      <formula>NOT(ISERROR(SEARCH("ABS",E9)))</formula>
    </cfRule>
  </conditionalFormatting>
  <conditionalFormatting sqref="E9:AH12 E17:AH17 E29:AH32">
    <cfRule type="containsText" dxfId="265" priority="192" operator="containsText" text="S">
      <formula>NOT(ISERROR(SEARCH("S",E9)))</formula>
    </cfRule>
  </conditionalFormatting>
  <conditionalFormatting sqref="E9:AH12 E29:AH32 E17:AH17 E34:AH37">
    <cfRule type="containsText" dxfId="264" priority="197" operator="containsText" text="ABS">
      <formula>NOT(ISERROR(SEARCH("ABS",E9)))</formula>
    </cfRule>
  </conditionalFormatting>
  <conditionalFormatting sqref="E9:AH12 E30:AH31">
    <cfRule type="containsText" dxfId="263" priority="194" operator="containsText" text="s">
      <formula>NOT(ISERROR(SEARCH("s",E9)))</formula>
    </cfRule>
    <cfRule type="containsText" dxfId="262" priority="193" operator="containsText" text="s">
      <formula>NOT(ISERROR(SEARCH("s",E9)))</formula>
    </cfRule>
  </conditionalFormatting>
  <conditionalFormatting sqref="E25:AH25">
    <cfRule type="containsText" dxfId="261" priority="17" operator="containsText" text="S">
      <formula>NOT(ISERROR(SEARCH("S",E25)))</formula>
    </cfRule>
    <cfRule type="containsText" dxfId="260" priority="18" operator="containsText" text="ID">
      <formula>NOT(ISERROR(SEARCH("ID",E25)))</formula>
    </cfRule>
    <cfRule type="containsText" dxfId="259" priority="19" operator="containsText" text="ID">
      <formula>NOT(ISERROR(SEARCH("ID",E25)))</formula>
    </cfRule>
    <cfRule type="containsText" dxfId="258" priority="20" operator="containsText" text="S">
      <formula>NOT(ISERROR(SEARCH("S",E25)))</formula>
    </cfRule>
    <cfRule type="containsText" dxfId="257" priority="21" operator="containsText" text="PH">
      <formula>NOT(ISERROR(SEARCH("PH",E25)))</formula>
    </cfRule>
    <cfRule type="containsText" dxfId="256" priority="22" operator="containsText" text="A">
      <formula>NOT(ISERROR(SEARCH("A",E25)))</formula>
    </cfRule>
    <cfRule type="containsBlanks" dxfId="255" priority="23">
      <formula>LEN(TRIM(E25))=0</formula>
    </cfRule>
    <cfRule type="containsText" dxfId="254" priority="24" operator="containsText" text="S">
      <formula>NOT(ISERROR(SEARCH("S",E25)))</formula>
    </cfRule>
    <cfRule type="containsText" dxfId="253" priority="25" operator="containsText" text="ID">
      <formula>NOT(ISERROR(SEARCH("ID",E25)))</formula>
    </cfRule>
    <cfRule type="containsText" dxfId="252" priority="26" operator="containsText" text="ID">
      <formula>NOT(ISERROR(SEARCH("ID",E25)))</formula>
    </cfRule>
    <cfRule type="containsText" dxfId="251" priority="27" operator="containsText" text="ID">
      <formula>NOT(ISERROR(SEARCH("ID",E25)))</formula>
    </cfRule>
    <cfRule type="containsText" dxfId="250" priority="28" operator="containsText" text="S">
      <formula>NOT(ISERROR(SEARCH("S",E25)))</formula>
    </cfRule>
    <cfRule type="containsText" dxfId="249" priority="29" operator="containsText" text="S">
      <formula>NOT(ISERROR(SEARCH("S",E25)))</formula>
    </cfRule>
    <cfRule type="containsText" dxfId="248" priority="30" operator="containsText" text="PH">
      <formula>NOT(ISERROR(SEARCH("PH",E25)))</formula>
    </cfRule>
    <cfRule type="containsText" dxfId="247" priority="31" operator="containsText" text="A">
      <formula>NOT(ISERROR(SEARCH("A",E25)))</formula>
    </cfRule>
    <cfRule type="containsBlanks" dxfId="246" priority="32">
      <formula>LEN(TRIM(E25))=0</formula>
    </cfRule>
    <cfRule type="containsText" dxfId="245" priority="33" operator="containsText" text="PH">
      <formula>NOT(ISERROR(SEARCH("PH",E25)))</formula>
    </cfRule>
    <cfRule type="containsText" dxfId="244" priority="34" operator="containsText" text="A">
      <formula>NOT(ISERROR(SEARCH("A",E25)))</formula>
    </cfRule>
    <cfRule type="containsBlanks" dxfId="243" priority="35">
      <formula>LEN(TRIM(E25))=0</formula>
    </cfRule>
    <cfRule type="containsText" dxfId="242" priority="37" operator="containsText" text="ML">
      <formula>NOT(ISERROR(SEARCH("ML",E25)))</formula>
    </cfRule>
    <cfRule type="containsText" dxfId="241" priority="38" operator="containsText" text="S">
      <formula>NOT(ISERROR(SEARCH("S",E25)))</formula>
    </cfRule>
    <cfRule type="containsText" dxfId="240" priority="39" operator="containsText" text="CL">
      <formula>NOT(ISERROR(SEARCH("CL",E25)))</formula>
    </cfRule>
    <cfRule type="containsText" dxfId="239" priority="40" operator="containsText" text="EL">
      <formula>NOT(ISERROR(SEARCH("EL",E25)))</formula>
    </cfRule>
    <cfRule type="containsText" dxfId="238" priority="41" operator="containsText" text="S">
      <formula>NOT(ISERROR(SEARCH("S",E25)))</formula>
    </cfRule>
    <cfRule type="containsText" dxfId="237" priority="42" operator="containsText" text="PH">
      <formula>NOT(ISERROR(SEARCH("PH",E25)))</formula>
    </cfRule>
    <cfRule type="containsText" dxfId="236" priority="43" operator="containsText" text="A">
      <formula>NOT(ISERROR(SEARCH("A",E25)))</formula>
    </cfRule>
    <cfRule type="containsBlanks" dxfId="235" priority="44">
      <formula>LEN(TRIM(E25))=0</formula>
    </cfRule>
    <cfRule type="containsText" dxfId="234" priority="45" operator="containsText" text="ML">
      <formula>NOT(ISERROR(SEARCH("ML",E25)))</formula>
    </cfRule>
    <cfRule type="containsText" dxfId="233" priority="46" operator="containsText" text="ID">
      <formula>NOT(ISERROR(SEARCH("ID",E25)))</formula>
    </cfRule>
    <cfRule type="containsText" dxfId="232" priority="47" operator="containsText" text="S">
      <formula>NOT(ISERROR(SEARCH("S",E25)))</formula>
    </cfRule>
    <cfRule type="containsText" dxfId="231" priority="48" operator="containsText" text="S">
      <formula>NOT(ISERROR(SEARCH("S",E25)))</formula>
    </cfRule>
    <cfRule type="containsText" dxfId="230" priority="50" operator="containsText" text="A">
      <formula>NOT(ISERROR(SEARCH("A",E25)))</formula>
    </cfRule>
    <cfRule type="containsBlanks" dxfId="229" priority="51">
      <formula>LEN(TRIM(E25))=0</formula>
    </cfRule>
    <cfRule type="containsText" dxfId="228" priority="52" operator="containsText" text="ID">
      <formula>NOT(ISERROR(SEARCH("ID",E25)))</formula>
    </cfRule>
    <cfRule type="containsText" dxfId="227" priority="53" operator="containsText" text="S">
      <formula>NOT(ISERROR(SEARCH("S",E25)))</formula>
    </cfRule>
    <cfRule type="containsText" dxfId="226" priority="54" operator="containsText" text="S">
      <formula>NOT(ISERROR(SEARCH("S",E25)))</formula>
    </cfRule>
    <cfRule type="containsText" dxfId="225" priority="55" operator="containsText" text="PH">
      <formula>NOT(ISERROR(SEARCH("PH",E25)))</formula>
    </cfRule>
    <cfRule type="containsText" dxfId="224" priority="56" operator="containsText" text="A">
      <formula>NOT(ISERROR(SEARCH("A",E25)))</formula>
    </cfRule>
    <cfRule type="containsBlanks" dxfId="223" priority="57">
      <formula>LEN(TRIM(E25))=0</formula>
    </cfRule>
    <cfRule type="containsText" dxfId="222" priority="59" operator="containsText" text="A">
      <formula>NOT(ISERROR(SEARCH("A",E25)))</formula>
    </cfRule>
    <cfRule type="containsText" dxfId="221" priority="49" operator="containsText" text="PH">
      <formula>NOT(ISERROR(SEARCH("PH",E25)))</formula>
    </cfRule>
    <cfRule type="containsText" dxfId="220" priority="58" operator="containsText" text="PH">
      <formula>NOT(ISERROR(SEARCH("PH",E25)))</formula>
    </cfRule>
    <cfRule type="containsText" dxfId="219" priority="13" operator="containsText" text="ABS">
      <formula>NOT(ISERROR(SEARCH("ABS",E25)))</formula>
    </cfRule>
    <cfRule type="containsText" dxfId="218" priority="14" operator="containsText" text="v">
      <formula>NOT(ISERROR(SEARCH("v",E25)))</formula>
    </cfRule>
    <cfRule type="containsText" dxfId="217" priority="15" operator="containsText" text="S">
      <formula>NOT(ISERROR(SEARCH("S",E25)))</formula>
    </cfRule>
    <cfRule type="containsText" dxfId="216" priority="99" operator="containsText" text="A">
      <formula>NOT(ISERROR(SEARCH("A",E25)))</formula>
    </cfRule>
    <cfRule type="containsText" dxfId="215" priority="98" operator="containsText" text="PH">
      <formula>NOT(ISERROR(SEARCH("PH",E25)))</formula>
    </cfRule>
    <cfRule type="containsText" dxfId="214" priority="97" operator="containsText" text="ID">
      <formula>NOT(ISERROR(SEARCH("ID",E25)))</formula>
    </cfRule>
    <cfRule type="containsText" dxfId="213" priority="96" operator="containsText" text="S">
      <formula>NOT(ISERROR(SEARCH("S",E25)))</formula>
    </cfRule>
    <cfRule type="containsBlanks" dxfId="212" priority="95">
      <formula>LEN(TRIM(E25))=0</formula>
    </cfRule>
    <cfRule type="containsText" dxfId="211" priority="94" operator="containsText" text="ML">
      <formula>NOT(ISERROR(SEARCH("ML",E25)))</formula>
    </cfRule>
    <cfRule type="containsText" dxfId="210" priority="93" operator="containsText" text="ABS">
      <formula>NOT(ISERROR(SEARCH("ABS",E25)))</formula>
    </cfRule>
    <cfRule type="containsText" dxfId="209" priority="92" operator="containsText" text="ID">
      <formula>NOT(ISERROR(SEARCH("ID",E25)))</formula>
    </cfRule>
    <cfRule type="containsText" dxfId="208" priority="36" operator="containsText" text="ID">
      <formula>NOT(ISERROR(SEARCH("ID",E25)))</formula>
    </cfRule>
    <cfRule type="containsText" dxfId="207" priority="91" operator="containsText" text="S">
      <formula>NOT(ISERROR(SEARCH("S",E25)))</formula>
    </cfRule>
    <cfRule type="containsText" dxfId="206" priority="90" operator="containsText" text="ID">
      <formula>NOT(ISERROR(SEARCH("ID",E25)))</formula>
    </cfRule>
    <cfRule type="containsBlanks" dxfId="205" priority="89">
      <formula>LEN(TRIM(E25))=0</formula>
    </cfRule>
    <cfRule type="containsText" dxfId="204" priority="88" operator="containsText" text="A">
      <formula>NOT(ISERROR(SEARCH("A",E25)))</formula>
    </cfRule>
    <cfRule type="containsText" dxfId="203" priority="87" operator="containsText" text="PH">
      <formula>NOT(ISERROR(SEARCH("PH",E25)))</formula>
    </cfRule>
    <cfRule type="containsBlanks" dxfId="202" priority="86">
      <formula>LEN(TRIM(E25))=0</formula>
    </cfRule>
    <cfRule type="containsText" dxfId="201" priority="85" operator="containsText" text="A">
      <formula>NOT(ISERROR(SEARCH("A",E25)))</formula>
    </cfRule>
    <cfRule type="containsText" dxfId="200" priority="84" operator="containsText" text="PH">
      <formula>NOT(ISERROR(SEARCH("PH",E25)))</formula>
    </cfRule>
    <cfRule type="containsText" dxfId="199" priority="83" operator="containsText" text="S">
      <formula>NOT(ISERROR(SEARCH("S",E25)))</formula>
    </cfRule>
    <cfRule type="containsText" dxfId="198" priority="82" operator="containsText" text="S">
      <formula>NOT(ISERROR(SEARCH("S",E25)))</formula>
    </cfRule>
    <cfRule type="containsText" dxfId="197" priority="16" operator="containsText" text="ID">
      <formula>NOT(ISERROR(SEARCH("ID",E25)))</formula>
    </cfRule>
    <cfRule type="containsText" dxfId="196" priority="80" operator="containsText" text="ID">
      <formula>NOT(ISERROR(SEARCH("ID",E25)))</formula>
    </cfRule>
    <cfRule type="containsText" dxfId="195" priority="79" operator="containsText" text="ML">
      <formula>NOT(ISERROR(SEARCH("ML",E25)))</formula>
    </cfRule>
    <cfRule type="containsText" dxfId="194" priority="78" operator="containsText" text="S">
      <formula>NOT(ISERROR(SEARCH("S",E25)))</formula>
    </cfRule>
    <cfRule type="containsText" dxfId="193" priority="77" operator="containsText" text="ID">
      <formula>NOT(ISERROR(SEARCH("ID",E25)))</formula>
    </cfRule>
    <cfRule type="containsText" dxfId="192" priority="76" operator="containsText" text="ML">
      <formula>NOT(ISERROR(SEARCH("ML",E25)))</formula>
    </cfRule>
    <cfRule type="containsBlanks" dxfId="191" priority="75">
      <formula>LEN(TRIM(E25))=0</formula>
    </cfRule>
    <cfRule type="containsText" dxfId="190" priority="74" operator="containsText" text="A">
      <formula>NOT(ISERROR(SEARCH("A",E25)))</formula>
    </cfRule>
    <cfRule type="containsText" dxfId="189" priority="73" operator="containsText" text="PH">
      <formula>NOT(ISERROR(SEARCH("PH",E25)))</formula>
    </cfRule>
    <cfRule type="containsText" dxfId="188" priority="72" operator="containsText" text="S">
      <formula>NOT(ISERROR(SEARCH("S",E25)))</formula>
    </cfRule>
    <cfRule type="containsText" dxfId="187" priority="71" operator="containsText" text="S">
      <formula>NOT(ISERROR(SEARCH("S",E25)))</formula>
    </cfRule>
    <cfRule type="containsText" dxfId="186" priority="81" operator="containsText" text="ID">
      <formula>NOT(ISERROR(SEARCH("ID",E25)))</formula>
    </cfRule>
    <cfRule type="containsText" dxfId="185" priority="69" operator="containsText" text="ID">
      <formula>NOT(ISERROR(SEARCH("ID",E25)))</formula>
    </cfRule>
    <cfRule type="containsText" dxfId="184" priority="68" operator="containsText" text="ID">
      <formula>NOT(ISERROR(SEARCH("ID",E25)))</formula>
    </cfRule>
    <cfRule type="containsText" dxfId="183" priority="67" operator="containsText" text="ML">
      <formula>NOT(ISERROR(SEARCH("ML",E25)))</formula>
    </cfRule>
    <cfRule type="containsBlanks" dxfId="182" priority="66">
      <formula>LEN(TRIM(E25))=0</formula>
    </cfRule>
    <cfRule type="containsText" dxfId="181" priority="65" operator="containsText" text="A">
      <formula>NOT(ISERROR(SEARCH("A",E25)))</formula>
    </cfRule>
    <cfRule type="containsText" dxfId="180" priority="64" operator="containsText" text="PH">
      <formula>NOT(ISERROR(SEARCH("PH",E25)))</formula>
    </cfRule>
    <cfRule type="containsText" dxfId="179" priority="63" operator="containsText" text="S">
      <formula>NOT(ISERROR(SEARCH("S",E25)))</formula>
    </cfRule>
    <cfRule type="containsText" dxfId="178" priority="62" operator="containsText" text="S">
      <formula>NOT(ISERROR(SEARCH("S",E25)))</formula>
    </cfRule>
    <cfRule type="containsText" dxfId="177" priority="61" operator="containsText" text="ID">
      <formula>NOT(ISERROR(SEARCH("ID",E25)))</formula>
    </cfRule>
    <cfRule type="containsBlanks" dxfId="176" priority="60">
      <formula>LEN(TRIM(E25))=0</formula>
    </cfRule>
    <cfRule type="containsText" dxfId="175" priority="70" operator="containsText" text="ID">
      <formula>NOT(ISERROR(SEARCH("ID",E25)))</formula>
    </cfRule>
  </conditionalFormatting>
  <conditionalFormatting sqref="E26:AH26">
    <cfRule type="containsText" dxfId="174" priority="425" operator="containsText" text="ID">
      <formula>NOT(ISERROR(SEARCH("ID",E26)))</formula>
    </cfRule>
    <cfRule type="containsText" dxfId="173" priority="426" operator="containsText" text="S">
      <formula>NOT(ISERROR(SEARCH("S",E26)))</formula>
    </cfRule>
    <cfRule type="containsText" dxfId="172" priority="427" operator="containsText" text="S">
      <formula>NOT(ISERROR(SEARCH("S",E26)))</formula>
    </cfRule>
    <cfRule type="containsText" dxfId="171" priority="428" operator="containsText" text="PH">
      <formula>NOT(ISERROR(SEARCH("PH",E26)))</formula>
    </cfRule>
    <cfRule type="containsText" dxfId="170" priority="429" operator="containsText" text="A">
      <formula>NOT(ISERROR(SEARCH("A",E26)))</formula>
    </cfRule>
    <cfRule type="containsBlanks" dxfId="169" priority="430">
      <formula>LEN(TRIM(E26))=0</formula>
    </cfRule>
    <cfRule type="containsText" dxfId="168" priority="431" operator="containsText" text="ML">
      <formula>NOT(ISERROR(SEARCH("ML",E26)))</formula>
    </cfRule>
    <cfRule type="containsText" dxfId="167" priority="432" operator="containsText" text="ID">
      <formula>NOT(ISERROR(SEARCH("ID",E26)))</formula>
    </cfRule>
    <cfRule type="containsText" dxfId="166" priority="433" operator="containsText" text="ID">
      <formula>NOT(ISERROR(SEARCH("ID",E26)))</formula>
    </cfRule>
    <cfRule type="containsText" dxfId="165" priority="435" operator="containsText" text="S">
      <formula>NOT(ISERROR(SEARCH("S",E26)))</formula>
    </cfRule>
    <cfRule type="containsText" dxfId="164" priority="436" operator="containsText" text="S">
      <formula>NOT(ISERROR(SEARCH("S",E26)))</formula>
    </cfRule>
    <cfRule type="containsText" dxfId="163" priority="437" operator="containsText" text="PH">
      <formula>NOT(ISERROR(SEARCH("PH",E26)))</formula>
    </cfRule>
    <cfRule type="containsText" dxfId="162" priority="438" operator="containsText" text="A">
      <formula>NOT(ISERROR(SEARCH("A",E26)))</formula>
    </cfRule>
    <cfRule type="containsBlanks" dxfId="161" priority="439">
      <formula>LEN(TRIM(E26))=0</formula>
    </cfRule>
    <cfRule type="containsText" dxfId="160" priority="440" operator="containsText" text="ML">
      <formula>NOT(ISERROR(SEARCH("ML",E26)))</formula>
    </cfRule>
    <cfRule type="containsText" dxfId="159" priority="441" operator="containsText" text="ID">
      <formula>NOT(ISERROR(SEARCH("ID",E26)))</formula>
    </cfRule>
    <cfRule type="containsText" dxfId="158" priority="442" operator="containsText" text="S">
      <formula>NOT(ISERROR(SEARCH("S",E26)))</formula>
    </cfRule>
    <cfRule type="containsText" dxfId="157" priority="443" operator="containsText" text="ML">
      <formula>NOT(ISERROR(SEARCH("ML",E26)))</formula>
    </cfRule>
    <cfRule type="containsText" dxfId="156" priority="444" operator="containsText" text="ID">
      <formula>NOT(ISERROR(SEARCH("ID",E26)))</formula>
    </cfRule>
    <cfRule type="containsText" dxfId="155" priority="445" operator="containsText" text="ID">
      <formula>NOT(ISERROR(SEARCH("ID",E26)))</formula>
    </cfRule>
    <cfRule type="containsText" dxfId="154" priority="446" operator="containsText" text="S">
      <formula>NOT(ISERROR(SEARCH("S",E26)))</formula>
    </cfRule>
    <cfRule type="containsText" dxfId="153" priority="447" operator="containsText" text="S">
      <formula>NOT(ISERROR(SEARCH("S",E26)))</formula>
    </cfRule>
    <cfRule type="containsText" dxfId="152" priority="448" operator="containsText" text="PH">
      <formula>NOT(ISERROR(SEARCH("PH",E26)))</formula>
    </cfRule>
    <cfRule type="containsText" dxfId="151" priority="449" operator="containsText" text="A">
      <formula>NOT(ISERROR(SEARCH("A",E26)))</formula>
    </cfRule>
    <cfRule type="containsBlanks" dxfId="150" priority="450">
      <formula>LEN(TRIM(E26))=0</formula>
    </cfRule>
    <cfRule type="containsText" dxfId="149" priority="451" operator="containsText" text="PH">
      <formula>NOT(ISERROR(SEARCH("PH",E26)))</formula>
    </cfRule>
    <cfRule type="containsText" dxfId="148" priority="452" operator="containsText" text="A">
      <formula>NOT(ISERROR(SEARCH("A",E26)))</formula>
    </cfRule>
    <cfRule type="containsBlanks" dxfId="147" priority="453">
      <formula>LEN(TRIM(E26))=0</formula>
    </cfRule>
    <cfRule type="containsText" dxfId="146" priority="454" operator="containsText" text="ID">
      <formula>NOT(ISERROR(SEARCH("ID",E26)))</formula>
    </cfRule>
    <cfRule type="containsText" dxfId="145" priority="455" operator="containsText" text="S">
      <formula>NOT(ISERROR(SEARCH("S",E26)))</formula>
    </cfRule>
    <cfRule type="containsText" dxfId="144" priority="456" operator="containsText" text="ID">
      <formula>NOT(ISERROR(SEARCH("ID",E26)))</formula>
    </cfRule>
    <cfRule type="containsText" dxfId="143" priority="457" operator="containsText" text="ABS">
      <formula>NOT(ISERROR(SEARCH("ABS",E26)))</formula>
    </cfRule>
    <cfRule type="containsText" dxfId="142" priority="458" operator="containsText" text="ML">
      <formula>NOT(ISERROR(SEARCH("ML",E26)))</formula>
    </cfRule>
    <cfRule type="containsBlanks" dxfId="141" priority="459">
      <formula>LEN(TRIM(E26))=0</formula>
    </cfRule>
    <cfRule type="containsText" dxfId="140" priority="461" operator="containsText" text="S">
      <formula>NOT(ISERROR(SEARCH("S",E26)))</formula>
    </cfRule>
    <cfRule type="containsText" dxfId="139" priority="462" operator="containsText" text="ID">
      <formula>NOT(ISERROR(SEARCH("ID",E26)))</formula>
    </cfRule>
    <cfRule type="containsText" dxfId="138" priority="463" operator="containsText" text="PH">
      <formula>NOT(ISERROR(SEARCH("PH",E26)))</formula>
    </cfRule>
    <cfRule type="containsText" dxfId="137" priority="464" operator="containsText" text="A">
      <formula>NOT(ISERROR(SEARCH("A",E26)))</formula>
    </cfRule>
    <cfRule type="containsText" dxfId="136" priority="380" operator="containsText" text="ID">
      <formula>NOT(ISERROR(SEARCH("ID",E26)))</formula>
    </cfRule>
    <cfRule type="containsText" dxfId="135" priority="381" operator="containsText" text="S">
      <formula>NOT(ISERROR(SEARCH("S",E26)))</formula>
    </cfRule>
    <cfRule type="containsText" dxfId="134" priority="382" operator="containsText" text="ID">
      <formula>NOT(ISERROR(SEARCH("ID",E26)))</formula>
    </cfRule>
    <cfRule type="containsText" dxfId="133" priority="383" operator="containsText" text="ID">
      <formula>NOT(ISERROR(SEARCH("ID",E26)))</formula>
    </cfRule>
    <cfRule type="containsText" dxfId="132" priority="384" operator="containsText" text="S">
      <formula>NOT(ISERROR(SEARCH("S",E26)))</formula>
    </cfRule>
    <cfRule type="containsText" dxfId="131" priority="385" operator="containsText" text="PH">
      <formula>NOT(ISERROR(SEARCH("PH",E26)))</formula>
    </cfRule>
    <cfRule type="containsText" dxfId="130" priority="386" operator="containsText" text="A">
      <formula>NOT(ISERROR(SEARCH("A",E26)))</formula>
    </cfRule>
    <cfRule type="containsBlanks" dxfId="129" priority="387">
      <formula>LEN(TRIM(E26))=0</formula>
    </cfRule>
    <cfRule type="containsText" dxfId="128" priority="388" operator="containsText" text="S">
      <formula>NOT(ISERROR(SEARCH("S",E26)))</formula>
    </cfRule>
    <cfRule type="containsText" dxfId="127" priority="389" operator="containsText" text="ID">
      <formula>NOT(ISERROR(SEARCH("ID",E26)))</formula>
    </cfRule>
    <cfRule type="containsText" dxfId="126" priority="390" operator="containsText" text="ID">
      <formula>NOT(ISERROR(SEARCH("ID",E26)))</formula>
    </cfRule>
    <cfRule type="containsText" dxfId="125" priority="391" operator="containsText" text="ID">
      <formula>NOT(ISERROR(SEARCH("ID",E26)))</formula>
    </cfRule>
    <cfRule type="containsText" dxfId="124" priority="392" operator="containsText" text="S">
      <formula>NOT(ISERROR(SEARCH("S",E26)))</formula>
    </cfRule>
    <cfRule type="containsText" dxfId="123" priority="393" operator="containsText" text="S">
      <formula>NOT(ISERROR(SEARCH("S",E26)))</formula>
    </cfRule>
    <cfRule type="containsText" dxfId="122" priority="394" operator="containsText" text="PH">
      <formula>NOT(ISERROR(SEARCH("PH",E26)))</formula>
    </cfRule>
    <cfRule type="containsText" dxfId="121" priority="395" operator="containsText" text="A">
      <formula>NOT(ISERROR(SEARCH("A",E26)))</formula>
    </cfRule>
    <cfRule type="containsBlanks" dxfId="120" priority="396">
      <formula>LEN(TRIM(E26))=0</formula>
    </cfRule>
    <cfRule type="containsText" dxfId="119" priority="397" operator="containsText" text="PH">
      <formula>NOT(ISERROR(SEARCH("PH",E26)))</formula>
    </cfRule>
    <cfRule type="containsText" dxfId="118" priority="398" operator="containsText" text="A">
      <formula>NOT(ISERROR(SEARCH("A",E26)))</formula>
    </cfRule>
    <cfRule type="containsBlanks" dxfId="117" priority="399">
      <formula>LEN(TRIM(E26))=0</formula>
    </cfRule>
    <cfRule type="containsText" dxfId="116" priority="400" operator="containsText" text="ID">
      <formula>NOT(ISERROR(SEARCH("ID",E26)))</formula>
    </cfRule>
    <cfRule type="containsText" dxfId="115" priority="401" operator="containsText" text="ML">
      <formula>NOT(ISERROR(SEARCH("ML",E26)))</formula>
    </cfRule>
    <cfRule type="containsText" dxfId="114" priority="402" operator="containsText" text="S">
      <formula>NOT(ISERROR(SEARCH("S",E26)))</formula>
    </cfRule>
    <cfRule type="containsText" dxfId="113" priority="403" operator="containsText" text="CL">
      <formula>NOT(ISERROR(SEARCH("CL",E26)))</formula>
    </cfRule>
    <cfRule type="containsText" dxfId="112" priority="404" operator="containsText" text="EL">
      <formula>NOT(ISERROR(SEARCH("EL",E26)))</formula>
    </cfRule>
    <cfRule type="containsText" dxfId="111" priority="405" operator="containsText" text="S">
      <formula>NOT(ISERROR(SEARCH("S",E26)))</formula>
    </cfRule>
    <cfRule type="containsText" dxfId="110" priority="406" operator="containsText" text="PH">
      <formula>NOT(ISERROR(SEARCH("PH",E26)))</formula>
    </cfRule>
    <cfRule type="containsText" dxfId="109" priority="407" operator="containsText" text="A">
      <formula>NOT(ISERROR(SEARCH("A",E26)))</formula>
    </cfRule>
    <cfRule type="containsBlanks" dxfId="108" priority="408">
      <formula>LEN(TRIM(E26))=0</formula>
    </cfRule>
    <cfRule type="containsText" dxfId="107" priority="409" operator="containsText" text="ML">
      <formula>NOT(ISERROR(SEARCH("ML",E26)))</formula>
    </cfRule>
    <cfRule type="containsText" dxfId="106" priority="410" operator="containsText" text="ID">
      <formula>NOT(ISERROR(SEARCH("ID",E26)))</formula>
    </cfRule>
    <cfRule type="containsText" dxfId="105" priority="411" operator="containsText" text="S">
      <formula>NOT(ISERROR(SEARCH("S",E26)))</formula>
    </cfRule>
    <cfRule type="containsText" dxfId="104" priority="412" operator="containsText" text="S">
      <formula>NOT(ISERROR(SEARCH("S",E26)))</formula>
    </cfRule>
    <cfRule type="containsText" dxfId="103" priority="413" operator="containsText" text="PH">
      <formula>NOT(ISERROR(SEARCH("PH",E26)))</formula>
    </cfRule>
    <cfRule type="containsText" dxfId="102" priority="414" operator="containsText" text="A">
      <formula>NOT(ISERROR(SEARCH("A",E26)))</formula>
    </cfRule>
    <cfRule type="containsBlanks" dxfId="101" priority="415">
      <formula>LEN(TRIM(E26))=0</formula>
    </cfRule>
    <cfRule type="containsText" dxfId="100" priority="416" operator="containsText" text="ID">
      <formula>NOT(ISERROR(SEARCH("ID",E26)))</formula>
    </cfRule>
    <cfRule type="containsText" dxfId="99" priority="417" operator="containsText" text="S">
      <formula>NOT(ISERROR(SEARCH("S",E26)))</formula>
    </cfRule>
    <cfRule type="containsText" dxfId="98" priority="418" operator="containsText" text="S">
      <formula>NOT(ISERROR(SEARCH("S",E26)))</formula>
    </cfRule>
    <cfRule type="containsText" dxfId="97" priority="419" operator="containsText" text="PH">
      <formula>NOT(ISERROR(SEARCH("PH",E26)))</formula>
    </cfRule>
    <cfRule type="containsText" dxfId="96" priority="420" operator="containsText" text="A">
      <formula>NOT(ISERROR(SEARCH("A",E26)))</formula>
    </cfRule>
    <cfRule type="containsBlanks" dxfId="95" priority="421">
      <formula>LEN(TRIM(E26))=0</formula>
    </cfRule>
    <cfRule type="containsText" dxfId="94" priority="422" operator="containsText" text="PH">
      <formula>NOT(ISERROR(SEARCH("PH",E26)))</formula>
    </cfRule>
    <cfRule type="containsText" dxfId="93" priority="423" operator="containsText" text="A">
      <formula>NOT(ISERROR(SEARCH("A",E26)))</formula>
    </cfRule>
    <cfRule type="containsBlanks" dxfId="92" priority="424">
      <formula>LEN(TRIM(E26))=0</formula>
    </cfRule>
    <cfRule type="containsText" dxfId="91" priority="434" operator="containsText" text="ID">
      <formula>NOT(ISERROR(SEARCH("ID",E26)))</formula>
    </cfRule>
  </conditionalFormatting>
  <conditionalFormatting sqref="E26:AH33 E9:AH12 E17:AH17">
    <cfRule type="containsText" dxfId="90" priority="285" operator="containsText" text="S">
      <formula>NOT(ISERROR(SEARCH("S",E9)))</formula>
    </cfRule>
  </conditionalFormatting>
  <conditionalFormatting sqref="E33:AH33">
    <cfRule type="containsText" dxfId="89" priority="3" operator="containsText" text="ABS">
      <formula>NOT(ISERROR(SEARCH("ABS",E33)))</formula>
    </cfRule>
    <cfRule type="containsText" dxfId="88" priority="4" operator="containsText" text="ABS">
      <formula>NOT(ISERROR(SEARCH("ABS",E33)))</formula>
    </cfRule>
  </conditionalFormatting>
  <conditionalFormatting sqref="F27:AH27">
    <cfRule type="containsText" dxfId="87" priority="271" operator="containsText" text="S">
      <formula>NOT(ISERROR(SEARCH("S",F27)))</formula>
    </cfRule>
    <cfRule type="containsText" dxfId="86" priority="270" operator="containsText" text="S">
      <formula>NOT(ISERROR(SEARCH("S",F27)))</formula>
    </cfRule>
    <cfRule type="containsText" dxfId="85" priority="269" operator="containsText" text="ID">
      <formula>NOT(ISERROR(SEARCH("ID",F27)))</formula>
    </cfRule>
    <cfRule type="containsText" dxfId="84" priority="268" operator="containsText" text="ID">
      <formula>NOT(ISERROR(SEARCH("ID",F27)))</formula>
    </cfRule>
    <cfRule type="containsText" dxfId="83" priority="267" operator="containsText" text="ML">
      <formula>NOT(ISERROR(SEARCH("ML",F27)))</formula>
    </cfRule>
    <cfRule type="containsText" dxfId="82" priority="266" operator="containsText" text="S">
      <formula>NOT(ISERROR(SEARCH("S",F27)))</formula>
    </cfRule>
    <cfRule type="containsBlanks" dxfId="81" priority="232">
      <formula>LEN(TRIM(F27))=0</formula>
    </cfRule>
    <cfRule type="containsText" dxfId="80" priority="265" operator="containsText" text="ID">
      <formula>NOT(ISERROR(SEARCH("ID",F27)))</formula>
    </cfRule>
    <cfRule type="containsBlanks" dxfId="79" priority="263">
      <formula>LEN(TRIM(F27))=0</formula>
    </cfRule>
    <cfRule type="containsText" dxfId="78" priority="262" operator="containsText" text="A">
      <formula>NOT(ISERROR(SEARCH("A",F27)))</formula>
    </cfRule>
    <cfRule type="containsText" dxfId="77" priority="261" operator="containsText" text="PH">
      <formula>NOT(ISERROR(SEARCH("PH",F27)))</formula>
    </cfRule>
    <cfRule type="containsText" dxfId="76" priority="231" operator="containsText" text="A">
      <formula>NOT(ISERROR(SEARCH("A",F27)))</formula>
    </cfRule>
    <cfRule type="containsText" dxfId="75" priority="230" operator="containsText" text="PH">
      <formula>NOT(ISERROR(SEARCH("PH",F27)))</formula>
    </cfRule>
    <cfRule type="containsText" dxfId="74" priority="229" operator="containsText" text="S">
      <formula>NOT(ISERROR(SEARCH("S",F27)))</formula>
    </cfRule>
    <cfRule type="containsText" dxfId="73" priority="228" operator="containsText" text="EL">
      <formula>NOT(ISERROR(SEARCH("EL",F27)))</formula>
    </cfRule>
    <cfRule type="containsText" dxfId="72" priority="227" operator="containsText" text="CL">
      <formula>NOT(ISERROR(SEARCH("CL",F27)))</formula>
    </cfRule>
    <cfRule type="containsText" dxfId="71" priority="226" operator="containsText" text="S">
      <formula>NOT(ISERROR(SEARCH("S",F27)))</formula>
    </cfRule>
    <cfRule type="containsText" dxfId="70" priority="225" operator="containsText" text="ML">
      <formula>NOT(ISERROR(SEARCH("ML",F27)))</formula>
    </cfRule>
    <cfRule type="containsText" dxfId="69" priority="224" operator="containsText" text="ID">
      <formula>NOT(ISERROR(SEARCH("ID",F27)))</formula>
    </cfRule>
    <cfRule type="containsBlanks" dxfId="68" priority="223">
      <formula>LEN(TRIM(F27))=0</formula>
    </cfRule>
    <cfRule type="containsText" dxfId="67" priority="222" operator="containsText" text="A">
      <formula>NOT(ISERROR(SEARCH("A",F27)))</formula>
    </cfRule>
    <cfRule type="containsText" dxfId="66" priority="221" operator="containsText" text="PH">
      <formula>NOT(ISERROR(SEARCH("PH",F27)))</formula>
    </cfRule>
    <cfRule type="containsBlanks" dxfId="65" priority="220">
      <formula>LEN(TRIM(F27))=0</formula>
    </cfRule>
    <cfRule type="containsText" dxfId="64" priority="219" operator="containsText" text="A">
      <formula>NOT(ISERROR(SEARCH("A",F27)))</formula>
    </cfRule>
    <cfRule type="containsText" dxfId="63" priority="218" operator="containsText" text="PH">
      <formula>NOT(ISERROR(SEARCH("PH",F27)))</formula>
    </cfRule>
    <cfRule type="containsText" dxfId="62" priority="217" operator="containsText" text="S">
      <formula>NOT(ISERROR(SEARCH("S",F27)))</formula>
    </cfRule>
    <cfRule type="containsText" dxfId="61" priority="216" operator="containsText" text="S">
      <formula>NOT(ISERROR(SEARCH("S",F27)))</formula>
    </cfRule>
    <cfRule type="containsText" dxfId="60" priority="215" operator="containsText" text="ID">
      <formula>NOT(ISERROR(SEARCH("ID",F27)))</formula>
    </cfRule>
    <cfRule type="containsText" dxfId="59" priority="214" operator="containsText" text="ID">
      <formula>NOT(ISERROR(SEARCH("ID",F27)))</formula>
    </cfRule>
    <cfRule type="containsText" dxfId="58" priority="213" operator="containsText" text="ID">
      <formula>NOT(ISERROR(SEARCH("ID",F27)))</formula>
    </cfRule>
    <cfRule type="containsText" dxfId="57" priority="212" operator="containsText" text="S">
      <formula>NOT(ISERROR(SEARCH("S",F27)))</formula>
    </cfRule>
    <cfRule type="containsBlanks" dxfId="56" priority="211">
      <formula>LEN(TRIM(F27))=0</formula>
    </cfRule>
    <cfRule type="containsText" dxfId="55" priority="210" operator="containsText" text="A">
      <formula>NOT(ISERROR(SEARCH("A",F27)))</formula>
    </cfRule>
    <cfRule type="containsText" dxfId="54" priority="272" operator="containsText" text="PH">
      <formula>NOT(ISERROR(SEARCH("PH",F27)))</formula>
    </cfRule>
    <cfRule type="containsText" dxfId="53" priority="208" operator="containsText" text="S">
      <formula>NOT(ISERROR(SEARCH("S",F27)))</formula>
    </cfRule>
    <cfRule type="containsText" dxfId="52" priority="209" operator="containsText" text="PH">
      <formula>NOT(ISERROR(SEARCH("PH",F27)))</formula>
    </cfRule>
    <cfRule type="containsText" dxfId="51" priority="207" operator="containsText" text="ID">
      <formula>NOT(ISERROR(SEARCH("ID",F27)))</formula>
    </cfRule>
    <cfRule type="containsText" dxfId="50" priority="206" operator="containsText" text="ID">
      <formula>NOT(ISERROR(SEARCH("ID",F27)))</formula>
    </cfRule>
    <cfRule type="containsText" dxfId="49" priority="205" operator="containsText" text="S">
      <formula>NOT(ISERROR(SEARCH("S",F27)))</formula>
    </cfRule>
    <cfRule type="containsText" dxfId="48" priority="204" operator="containsText" text="ID">
      <formula>NOT(ISERROR(SEARCH("ID",F27)))</formula>
    </cfRule>
    <cfRule type="containsText" dxfId="47" priority="203" operator="containsText" text="S">
      <formula>NOT(ISERROR(SEARCH("S",F27)))</formula>
    </cfRule>
    <cfRule type="containsText" dxfId="46" priority="260" operator="containsText" text="S">
      <formula>NOT(ISERROR(SEARCH("S",F27)))</formula>
    </cfRule>
    <cfRule type="containsText" dxfId="45" priority="259" operator="containsText" text="S">
      <formula>NOT(ISERROR(SEARCH("S",F27)))</formula>
    </cfRule>
    <cfRule type="containsText" dxfId="44" priority="258" operator="containsText" text="ID">
      <formula>NOT(ISERROR(SEARCH("ID",F27)))</formula>
    </cfRule>
    <cfRule type="containsText" dxfId="43" priority="257" operator="containsText" text="ID">
      <formula>NOT(ISERROR(SEARCH("ID",F27)))</formula>
    </cfRule>
    <cfRule type="containsText" dxfId="42" priority="256" operator="containsText" text="ID">
      <formula>NOT(ISERROR(SEARCH("ID",F27)))</formula>
    </cfRule>
    <cfRule type="containsText" dxfId="41" priority="255" operator="containsText" text="ML">
      <formula>NOT(ISERROR(SEARCH("ML",F27)))</formula>
    </cfRule>
    <cfRule type="containsBlanks" dxfId="40" priority="254">
      <formula>LEN(TRIM(F27))=0</formula>
    </cfRule>
    <cfRule type="containsText" dxfId="39" priority="253" operator="containsText" text="A">
      <formula>NOT(ISERROR(SEARCH("A",F27)))</formula>
    </cfRule>
    <cfRule type="containsText" dxfId="38" priority="252" operator="containsText" text="PH">
      <formula>NOT(ISERROR(SEARCH("PH",F27)))</formula>
    </cfRule>
    <cfRule type="containsText" dxfId="37" priority="251" operator="containsText" text="S">
      <formula>NOT(ISERROR(SEARCH("S",F27)))</formula>
    </cfRule>
    <cfRule type="containsText" dxfId="36" priority="250" operator="containsText" text="S">
      <formula>NOT(ISERROR(SEARCH("S",F27)))</formula>
    </cfRule>
    <cfRule type="containsText" dxfId="35" priority="249" operator="containsText" text="ID">
      <formula>NOT(ISERROR(SEARCH("ID",F27)))</formula>
    </cfRule>
    <cfRule type="containsBlanks" dxfId="34" priority="248">
      <formula>LEN(TRIM(F27))=0</formula>
    </cfRule>
    <cfRule type="containsText" dxfId="33" priority="247" operator="containsText" text="A">
      <formula>NOT(ISERROR(SEARCH("A",F27)))</formula>
    </cfRule>
    <cfRule type="containsText" dxfId="32" priority="246" operator="containsText" text="PH">
      <formula>NOT(ISERROR(SEARCH("PH",F27)))</formula>
    </cfRule>
    <cfRule type="containsBlanks" dxfId="31" priority="245">
      <formula>LEN(TRIM(F27))=0</formula>
    </cfRule>
    <cfRule type="containsText" dxfId="30" priority="244" operator="containsText" text="A">
      <formula>NOT(ISERROR(SEARCH("A",F27)))</formula>
    </cfRule>
    <cfRule type="containsText" dxfId="29" priority="243" operator="containsText" text="PH">
      <formula>NOT(ISERROR(SEARCH("PH",F27)))</formula>
    </cfRule>
    <cfRule type="containsText" dxfId="28" priority="242" operator="containsText" text="S">
      <formula>NOT(ISERROR(SEARCH("S",F27)))</formula>
    </cfRule>
    <cfRule type="containsText" dxfId="27" priority="241" operator="containsText" text="S">
      <formula>NOT(ISERROR(SEARCH("S",F27)))</formula>
    </cfRule>
    <cfRule type="containsText" dxfId="26" priority="240" operator="containsText" text="ID">
      <formula>NOT(ISERROR(SEARCH("ID",F27)))</formula>
    </cfRule>
    <cfRule type="containsBlanks" dxfId="25" priority="239">
      <formula>LEN(TRIM(F27))=0</formula>
    </cfRule>
    <cfRule type="containsText" dxfId="24" priority="238" operator="containsText" text="A">
      <formula>NOT(ISERROR(SEARCH("A",F27)))</formula>
    </cfRule>
    <cfRule type="containsText" dxfId="23" priority="237" operator="containsText" text="PH">
      <formula>NOT(ISERROR(SEARCH("PH",F27)))</formula>
    </cfRule>
    <cfRule type="containsText" dxfId="22" priority="236" operator="containsText" text="S">
      <formula>NOT(ISERROR(SEARCH("S",F27)))</formula>
    </cfRule>
    <cfRule type="containsText" dxfId="21" priority="235" operator="containsText" text="S">
      <formula>NOT(ISERROR(SEARCH("S",F27)))</formula>
    </cfRule>
    <cfRule type="containsText" dxfId="20" priority="233" operator="containsText" text="ML">
      <formula>NOT(ISERROR(SEARCH("ML",F27)))</formula>
    </cfRule>
    <cfRule type="containsText" dxfId="19" priority="234" operator="containsText" text="ID">
      <formula>NOT(ISERROR(SEARCH("ID",F27)))</formula>
    </cfRule>
    <cfRule type="containsText" dxfId="18" priority="264" operator="containsText" text="ML">
      <formula>NOT(ISERROR(SEARCH("ML",F27)))</formula>
    </cfRule>
    <cfRule type="containsText" dxfId="17" priority="288" operator="containsText" text="A">
      <formula>NOT(ISERROR(SEARCH("A",F27)))</formula>
    </cfRule>
    <cfRule type="containsText" dxfId="16" priority="287" operator="containsText" text="PH">
      <formula>NOT(ISERROR(SEARCH("PH",F27)))</formula>
    </cfRule>
    <cfRule type="containsText" dxfId="15" priority="286" operator="containsText" text="ID">
      <formula>NOT(ISERROR(SEARCH("ID",F27)))</formula>
    </cfRule>
    <cfRule type="containsText" dxfId="14" priority="284" operator="containsText" text="OT">
      <formula>NOT(ISERROR(SEARCH("OT",F27)))</formula>
    </cfRule>
    <cfRule type="containsBlanks" dxfId="13" priority="283">
      <formula>LEN(TRIM(F27))=0</formula>
    </cfRule>
    <cfRule type="containsText" dxfId="12" priority="282" operator="containsText" text="ML">
      <formula>NOT(ISERROR(SEARCH("ML",F27)))</formula>
    </cfRule>
    <cfRule type="containsText" dxfId="11" priority="281" operator="containsText" text="ABS">
      <formula>NOT(ISERROR(SEARCH("ABS",F27)))</formula>
    </cfRule>
    <cfRule type="containsText" dxfId="10" priority="280" operator="containsText" text="ID">
      <formula>NOT(ISERROR(SEARCH("ID",F27)))</formula>
    </cfRule>
    <cfRule type="containsText" dxfId="9" priority="279" operator="containsText" text="S">
      <formula>NOT(ISERROR(SEARCH("S",F27)))</formula>
    </cfRule>
    <cfRule type="containsText" dxfId="8" priority="278" operator="containsText" text="ID">
      <formula>NOT(ISERROR(SEARCH("ID",F27)))</formula>
    </cfRule>
    <cfRule type="containsBlanks" dxfId="7" priority="277">
      <formula>LEN(TRIM(F27))=0</formula>
    </cfRule>
    <cfRule type="containsText" dxfId="6" priority="276" operator="containsText" text="A">
      <formula>NOT(ISERROR(SEARCH("A",F27)))</formula>
    </cfRule>
    <cfRule type="containsText" dxfId="5" priority="275" operator="containsText" text="PH">
      <formula>NOT(ISERROR(SEARCH("PH",F27)))</formula>
    </cfRule>
    <cfRule type="containsBlanks" dxfId="4" priority="274">
      <formula>LEN(TRIM(F27))=0</formula>
    </cfRule>
    <cfRule type="containsText" dxfId="3" priority="273" operator="containsText" text="A">
      <formula>NOT(ISERROR(SEARCH("A",F27)))</formula>
    </cfRule>
  </conditionalFormatting>
  <conditionalFormatting sqref="K29 R29 K32 R32">
    <cfRule type="containsText" dxfId="2" priority="1" operator="containsText" text="s">
      <formula>NOT(ISERROR(SEARCH("s",K29)))</formula>
    </cfRule>
    <cfRule type="containsText" dxfId="1" priority="2" operator="containsText" text="s">
      <formula>NOT(ISERROR(SEARCH("s",K29)))</formula>
    </cfRule>
  </conditionalFormatting>
  <conditionalFormatting sqref="AJ3:AJ38">
    <cfRule type="expression" dxfId="0" priority="627">
      <formula>CELL("ROW")=ROW()</formula>
    </cfRule>
  </conditionalFormatting>
  <pageMargins left="0.7" right="0.7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CIVIL-Consolidated</vt:lpstr>
      <vt:lpstr>MEP-Consolidated</vt:lpstr>
      <vt:lpstr>CLEANING-Consolidated</vt:lpstr>
      <vt:lpstr>CIVIL-Productivity</vt:lpstr>
      <vt:lpstr>MEP-Productivity</vt:lpstr>
      <vt:lpstr>CLEANING-Productivity</vt:lpstr>
      <vt:lpstr>'CIVIL-Consolidated'!Print_Area</vt:lpstr>
      <vt:lpstr>'CIVIL-Productivity'!Print_Area</vt:lpstr>
      <vt:lpstr>'CLEANING-Consolidated'!Print_Area</vt:lpstr>
      <vt:lpstr>'CLEANING-Productivity'!Print_Area</vt:lpstr>
      <vt:lpstr>'MEP-Consolidated'!Print_Area</vt:lpstr>
      <vt:lpstr>'MEP-Productivity'!Print_Area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Marzook</dc:creator>
  <cp:lastModifiedBy>Mohamed Marzook Ali</cp:lastModifiedBy>
  <cp:lastPrinted>2024-06-14T10:45:30Z</cp:lastPrinted>
  <dcterms:created xsi:type="dcterms:W3CDTF">2024-05-20T06:53:34Z</dcterms:created>
  <dcterms:modified xsi:type="dcterms:W3CDTF">2025-11-14T08:26:12Z</dcterms:modified>
</cp:coreProperties>
</file>