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 defaultThemeVersion="124226"/>
  <xr:revisionPtr revIDLastSave="0" documentId="13_ncr:1_{4A232752-454A-4066-ABA3-84EC1F5D7126}" xr6:coauthVersionLast="47" xr6:coauthVersionMax="47" xr10:uidLastSave="{00000000-0000-0000-0000-000000000000}"/>
  <bookViews>
    <workbookView xWindow="-120" yWindow="-120" windowWidth="29040" windowHeight="15720" tabRatio="731" xr2:uid="{00000000-000D-0000-FFFF-FFFF00000000}"/>
  </bookViews>
  <sheets>
    <sheet name="Mason" sheetId="65" r:id="rId1"/>
    <sheet name="MEP" sheetId="59" r:id="rId2"/>
    <sheet name="Cleaners" sheetId="61" r:id="rId3"/>
  </sheets>
  <definedNames>
    <definedName name="_xlnm._FilterDatabase" localSheetId="2" hidden="1">Cleaners!$A$3:$BF$52</definedName>
    <definedName name="_xlnm._FilterDatabase" localSheetId="0" hidden="1">Mason!$A$3:$EE$129</definedName>
    <definedName name="_xlnm._FilterDatabase" localSheetId="1" hidden="1">MEP!$A$3:$EF$108</definedName>
    <definedName name="_xlnm.Print_Area" localSheetId="2">Cleaners!$A$1:$BE$54</definedName>
    <definedName name="_xlnm.Print_Area" localSheetId="0">Mason!$A$1:$BQ$131</definedName>
    <definedName name="_xlnm.Print_Area" localSheetId="1">MEP!$A$1:$BR$110</definedName>
    <definedName name="_xlnm.Print_Titles" localSheetId="2">Cleaners!$1:$2</definedName>
    <definedName name="_xlnm.Print_Titles" localSheetId="0">Mason!$1:$2</definedName>
    <definedName name="_xlnm.Print_Titles" localSheetId="1">MEP!$1:$2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C94" i="59" l="1"/>
  <c r="ED94" i="59" s="1"/>
  <c r="EA94" i="59"/>
  <c r="EB94" i="59" s="1"/>
  <c r="DY94" i="59"/>
  <c r="DZ94" i="59" s="1"/>
  <c r="DW94" i="59"/>
  <c r="DX94" i="59" s="1"/>
  <c r="DU94" i="59"/>
  <c r="DV94" i="59" s="1"/>
  <c r="DS94" i="59"/>
  <c r="DT94" i="59" s="1"/>
  <c r="DQ94" i="59"/>
  <c r="DR94" i="59" s="1"/>
  <c r="DO94" i="59"/>
  <c r="DP94" i="59" s="1"/>
  <c r="DM94" i="59"/>
  <c r="DN94" i="59" s="1"/>
  <c r="DK94" i="59"/>
  <c r="DL94" i="59" s="1"/>
  <c r="DI94" i="59"/>
  <c r="DJ94" i="59" s="1"/>
  <c r="DG94" i="59"/>
  <c r="DH94" i="59" s="1"/>
  <c r="DE94" i="59"/>
  <c r="DF94" i="59" s="1"/>
  <c r="DC94" i="59"/>
  <c r="DD94" i="59" s="1"/>
  <c r="DA94" i="59"/>
  <c r="DB94" i="59" s="1"/>
  <c r="CY94" i="59"/>
  <c r="CZ94" i="59" s="1"/>
  <c r="CW94" i="59"/>
  <c r="CX94" i="59" s="1"/>
  <c r="CU94" i="59"/>
  <c r="CV94" i="59" s="1"/>
  <c r="CS94" i="59"/>
  <c r="CT94" i="59" s="1"/>
  <c r="CQ94" i="59"/>
  <c r="CR94" i="59" s="1"/>
  <c r="CO94" i="59"/>
  <c r="CP94" i="59" s="1"/>
  <c r="CM94" i="59"/>
  <c r="CN94" i="59" s="1"/>
  <c r="CK94" i="59"/>
  <c r="CL94" i="59" s="1"/>
  <c r="CI94" i="59"/>
  <c r="CJ94" i="59" s="1"/>
  <c r="CG94" i="59"/>
  <c r="CH94" i="59" s="1"/>
  <c r="CE94" i="59"/>
  <c r="CF94" i="59" s="1"/>
  <c r="CC94" i="59"/>
  <c r="CD94" i="59" s="1"/>
  <c r="CA94" i="59"/>
  <c r="CB94" i="59" s="1"/>
  <c r="BY94" i="59"/>
  <c r="BZ94" i="59" s="1"/>
  <c r="BW94" i="59"/>
  <c r="BX94" i="59" s="1"/>
  <c r="BU94" i="59"/>
  <c r="BV94" i="59" s="1"/>
  <c r="BS94" i="59"/>
  <c r="BT94" i="59" s="1"/>
  <c r="BN94" i="59"/>
  <c r="AY94" i="59"/>
  <c r="BH94" i="59" s="1"/>
  <c r="AX94" i="59"/>
  <c r="AW94" i="59"/>
  <c r="BC94" i="59" s="1"/>
  <c r="AV94" i="59"/>
  <c r="AU94" i="59"/>
  <c r="EC93" i="59"/>
  <c r="ED93" i="59" s="1"/>
  <c r="EA93" i="59"/>
  <c r="EB93" i="59" s="1"/>
  <c r="DY93" i="59"/>
  <c r="DZ93" i="59" s="1"/>
  <c r="DW93" i="59"/>
  <c r="DX93" i="59" s="1"/>
  <c r="DU93" i="59"/>
  <c r="DV93" i="59" s="1"/>
  <c r="DS93" i="59"/>
  <c r="DT93" i="59" s="1"/>
  <c r="DQ93" i="59"/>
  <c r="DR93" i="59" s="1"/>
  <c r="DO93" i="59"/>
  <c r="DP93" i="59" s="1"/>
  <c r="DM93" i="59"/>
  <c r="DN93" i="59" s="1"/>
  <c r="DK93" i="59"/>
  <c r="DL93" i="59" s="1"/>
  <c r="DI93" i="59"/>
  <c r="DJ93" i="59" s="1"/>
  <c r="DG93" i="59"/>
  <c r="DH93" i="59" s="1"/>
  <c r="DE93" i="59"/>
  <c r="DF93" i="59" s="1"/>
  <c r="DC93" i="59"/>
  <c r="DD93" i="59" s="1"/>
  <c r="DA93" i="59"/>
  <c r="DB93" i="59" s="1"/>
  <c r="CY93" i="59"/>
  <c r="CZ93" i="59" s="1"/>
  <c r="CW93" i="59"/>
  <c r="CX93" i="59" s="1"/>
  <c r="CU93" i="59"/>
  <c r="CV93" i="59" s="1"/>
  <c r="CS93" i="59"/>
  <c r="CT93" i="59" s="1"/>
  <c r="CQ93" i="59"/>
  <c r="CR93" i="59" s="1"/>
  <c r="CO93" i="59"/>
  <c r="CP93" i="59" s="1"/>
  <c r="CM93" i="59"/>
  <c r="CN93" i="59" s="1"/>
  <c r="CK93" i="59"/>
  <c r="CL93" i="59" s="1"/>
  <c r="CI93" i="59"/>
  <c r="CJ93" i="59" s="1"/>
  <c r="CG93" i="59"/>
  <c r="CH93" i="59" s="1"/>
  <c r="CE93" i="59"/>
  <c r="CF93" i="59" s="1"/>
  <c r="CC93" i="59"/>
  <c r="CD93" i="59" s="1"/>
  <c r="CA93" i="59"/>
  <c r="CB93" i="59" s="1"/>
  <c r="BY93" i="59"/>
  <c r="BZ93" i="59" s="1"/>
  <c r="BW93" i="59"/>
  <c r="BX93" i="59" s="1"/>
  <c r="BU93" i="59"/>
  <c r="BV93" i="59" s="1"/>
  <c r="BS93" i="59"/>
  <c r="BT93" i="59" s="1"/>
  <c r="BN93" i="59"/>
  <c r="AY93" i="59"/>
  <c r="AX93" i="59"/>
  <c r="AW93" i="59"/>
  <c r="BD93" i="59" s="1"/>
  <c r="AV93" i="59"/>
  <c r="AU93" i="59"/>
  <c r="AQ5" i="61"/>
  <c r="AR5" i="61"/>
  <c r="AS5" i="61"/>
  <c r="AT5" i="61"/>
  <c r="AU5" i="61"/>
  <c r="AV5" i="61"/>
  <c r="AQ6" i="61"/>
  <c r="AR6" i="61"/>
  <c r="AS6" i="61"/>
  <c r="AT6" i="61"/>
  <c r="AU6" i="61"/>
  <c r="AV6" i="61"/>
  <c r="AQ7" i="61"/>
  <c r="AR7" i="61"/>
  <c r="AS7" i="61"/>
  <c r="AT7" i="61"/>
  <c r="AU7" i="61"/>
  <c r="AV7" i="61"/>
  <c r="AQ8" i="61"/>
  <c r="AR8" i="61"/>
  <c r="AS8" i="61"/>
  <c r="AT8" i="61"/>
  <c r="AU8" i="61"/>
  <c r="AV8" i="61"/>
  <c r="AQ9" i="61"/>
  <c r="AR9" i="61"/>
  <c r="AS9" i="61"/>
  <c r="AT9" i="61"/>
  <c r="AU9" i="61"/>
  <c r="AV9" i="61"/>
  <c r="AQ10" i="61"/>
  <c r="AR10" i="61"/>
  <c r="AS10" i="61"/>
  <c r="AT10" i="61"/>
  <c r="AU10" i="61"/>
  <c r="AV10" i="61"/>
  <c r="AQ11" i="61"/>
  <c r="AR11" i="61"/>
  <c r="AS11" i="61"/>
  <c r="AT11" i="61"/>
  <c r="AU11" i="61"/>
  <c r="AV11" i="61"/>
  <c r="AQ12" i="61"/>
  <c r="AR12" i="61"/>
  <c r="AS12" i="61"/>
  <c r="AT12" i="61"/>
  <c r="AU12" i="61"/>
  <c r="AV12" i="61"/>
  <c r="AQ13" i="61"/>
  <c r="AR13" i="61"/>
  <c r="AS13" i="61"/>
  <c r="AT13" i="61"/>
  <c r="AU13" i="61"/>
  <c r="AV13" i="61"/>
  <c r="AQ14" i="61"/>
  <c r="AR14" i="61"/>
  <c r="AS14" i="61"/>
  <c r="AT14" i="61"/>
  <c r="AU14" i="61"/>
  <c r="AV14" i="61"/>
  <c r="AQ15" i="61"/>
  <c r="AR15" i="61"/>
  <c r="AS15" i="61"/>
  <c r="AT15" i="61"/>
  <c r="AU15" i="61"/>
  <c r="AV15" i="61"/>
  <c r="AQ16" i="61"/>
  <c r="AR16" i="61"/>
  <c r="AS16" i="61"/>
  <c r="AT16" i="61"/>
  <c r="AU16" i="61"/>
  <c r="AV16" i="61"/>
  <c r="AQ17" i="61"/>
  <c r="AR17" i="61"/>
  <c r="AS17" i="61"/>
  <c r="AT17" i="61"/>
  <c r="AU17" i="61"/>
  <c r="AV17" i="61"/>
  <c r="AQ18" i="61"/>
  <c r="AR18" i="61"/>
  <c r="AS18" i="61"/>
  <c r="AT18" i="61"/>
  <c r="AU18" i="61"/>
  <c r="AV18" i="61"/>
  <c r="AQ19" i="61"/>
  <c r="AR19" i="61"/>
  <c r="AS19" i="61"/>
  <c r="AT19" i="61"/>
  <c r="AU19" i="61"/>
  <c r="AV19" i="61"/>
  <c r="AQ20" i="61"/>
  <c r="AR20" i="61"/>
  <c r="AS20" i="61"/>
  <c r="AT20" i="61"/>
  <c r="AU20" i="61"/>
  <c r="AV20" i="61"/>
  <c r="AQ21" i="61"/>
  <c r="AR21" i="61"/>
  <c r="AS21" i="61"/>
  <c r="AT21" i="61"/>
  <c r="AU21" i="61"/>
  <c r="AV21" i="61"/>
  <c r="AQ22" i="61"/>
  <c r="AR22" i="61"/>
  <c r="AS22" i="61"/>
  <c r="AT22" i="61"/>
  <c r="AU22" i="61"/>
  <c r="AV22" i="61"/>
  <c r="AQ23" i="61"/>
  <c r="AR23" i="61"/>
  <c r="AS23" i="61"/>
  <c r="AT23" i="61"/>
  <c r="AU23" i="61"/>
  <c r="AV23" i="61"/>
  <c r="AQ24" i="61"/>
  <c r="AR24" i="61"/>
  <c r="AS24" i="61"/>
  <c r="AT24" i="61"/>
  <c r="AU24" i="61"/>
  <c r="AV24" i="61"/>
  <c r="AQ25" i="61"/>
  <c r="AR25" i="61"/>
  <c r="AS25" i="61"/>
  <c r="AT25" i="61"/>
  <c r="AU25" i="61"/>
  <c r="AV25" i="61"/>
  <c r="AQ26" i="61"/>
  <c r="AR26" i="61"/>
  <c r="AS26" i="61"/>
  <c r="AT26" i="61"/>
  <c r="AU26" i="61"/>
  <c r="AV26" i="61"/>
  <c r="AQ27" i="61"/>
  <c r="AR27" i="61"/>
  <c r="AS27" i="61"/>
  <c r="AT27" i="61"/>
  <c r="AU27" i="61"/>
  <c r="AV27" i="61"/>
  <c r="AQ28" i="61"/>
  <c r="AR28" i="61"/>
  <c r="AS28" i="61"/>
  <c r="AT28" i="61"/>
  <c r="AU28" i="61"/>
  <c r="AV28" i="61"/>
  <c r="AQ29" i="61"/>
  <c r="AR29" i="61"/>
  <c r="AS29" i="61"/>
  <c r="AT29" i="61"/>
  <c r="AU29" i="61"/>
  <c r="AV29" i="61"/>
  <c r="AQ30" i="61"/>
  <c r="AR30" i="61"/>
  <c r="AS30" i="61"/>
  <c r="AT30" i="61"/>
  <c r="AU30" i="61"/>
  <c r="AV30" i="61"/>
  <c r="AQ31" i="61"/>
  <c r="AR31" i="61"/>
  <c r="AS31" i="61"/>
  <c r="AT31" i="61"/>
  <c r="AU31" i="61"/>
  <c r="AV31" i="61"/>
  <c r="AQ32" i="61"/>
  <c r="AR32" i="61"/>
  <c r="AS32" i="61"/>
  <c r="AT32" i="61"/>
  <c r="AU32" i="61"/>
  <c r="AV32" i="61"/>
  <c r="AQ33" i="61"/>
  <c r="AR33" i="61"/>
  <c r="AS33" i="61"/>
  <c r="AT33" i="61"/>
  <c r="AU33" i="61"/>
  <c r="AV33" i="61"/>
  <c r="AQ34" i="61"/>
  <c r="AR34" i="61"/>
  <c r="AS34" i="61"/>
  <c r="AT34" i="61"/>
  <c r="AU34" i="61"/>
  <c r="AV34" i="61"/>
  <c r="AQ35" i="61"/>
  <c r="AR35" i="61"/>
  <c r="AS35" i="61"/>
  <c r="AT35" i="61"/>
  <c r="AU35" i="61"/>
  <c r="AV35" i="61"/>
  <c r="AQ36" i="61"/>
  <c r="AR36" i="61"/>
  <c r="AS36" i="61"/>
  <c r="AT36" i="61"/>
  <c r="AU36" i="61"/>
  <c r="AV36" i="61"/>
  <c r="AQ37" i="61"/>
  <c r="AR37" i="61"/>
  <c r="AS37" i="61"/>
  <c r="AT37" i="61"/>
  <c r="AU37" i="61"/>
  <c r="AV37" i="61"/>
  <c r="AQ38" i="61"/>
  <c r="AR38" i="61"/>
  <c r="AS38" i="61"/>
  <c r="AT38" i="61"/>
  <c r="AU38" i="61"/>
  <c r="AV38" i="61"/>
  <c r="AQ39" i="61"/>
  <c r="AR39" i="61"/>
  <c r="AS39" i="61"/>
  <c r="AT39" i="61"/>
  <c r="AU39" i="61"/>
  <c r="AV39" i="61"/>
  <c r="AQ40" i="61"/>
  <c r="AR40" i="61"/>
  <c r="AS40" i="61"/>
  <c r="AT40" i="61"/>
  <c r="AU40" i="61"/>
  <c r="AV40" i="61"/>
  <c r="AQ41" i="61"/>
  <c r="AR41" i="61"/>
  <c r="AS41" i="61"/>
  <c r="AT41" i="61"/>
  <c r="AU41" i="61"/>
  <c r="AV41" i="61"/>
  <c r="AQ42" i="61"/>
  <c r="AR42" i="61"/>
  <c r="AS42" i="61"/>
  <c r="AT42" i="61"/>
  <c r="AU42" i="61"/>
  <c r="AV42" i="61"/>
  <c r="AQ43" i="61"/>
  <c r="AR43" i="61"/>
  <c r="AS43" i="61"/>
  <c r="AT43" i="61"/>
  <c r="AU43" i="61"/>
  <c r="AV43" i="61"/>
  <c r="AQ44" i="61"/>
  <c r="AR44" i="61"/>
  <c r="AS44" i="61"/>
  <c r="AT44" i="61"/>
  <c r="AU44" i="61"/>
  <c r="AV44" i="61"/>
  <c r="AQ45" i="61"/>
  <c r="AR45" i="61"/>
  <c r="AS45" i="61"/>
  <c r="AT45" i="61"/>
  <c r="AU45" i="61"/>
  <c r="AV45" i="61"/>
  <c r="AQ46" i="61"/>
  <c r="AR46" i="61"/>
  <c r="AS46" i="61"/>
  <c r="AT46" i="61"/>
  <c r="AU46" i="61"/>
  <c r="AV46" i="61"/>
  <c r="AQ47" i="61"/>
  <c r="AR47" i="61"/>
  <c r="AS47" i="61"/>
  <c r="AT47" i="61"/>
  <c r="AU47" i="61"/>
  <c r="AV47" i="61"/>
  <c r="AQ48" i="61"/>
  <c r="AR48" i="61"/>
  <c r="AS48" i="61"/>
  <c r="AT48" i="61"/>
  <c r="AU48" i="61"/>
  <c r="AV48" i="61"/>
  <c r="AQ49" i="61"/>
  <c r="AR49" i="61"/>
  <c r="AS49" i="61"/>
  <c r="AT49" i="61"/>
  <c r="AU49" i="61"/>
  <c r="AV49" i="61"/>
  <c r="AQ50" i="61"/>
  <c r="AR50" i="61"/>
  <c r="AS50" i="61"/>
  <c r="AT50" i="61"/>
  <c r="AU50" i="61"/>
  <c r="AV50" i="61"/>
  <c r="AQ51" i="61"/>
  <c r="AR51" i="61"/>
  <c r="AS51" i="61"/>
  <c r="AT51" i="61"/>
  <c r="AU51" i="61"/>
  <c r="AV51" i="61"/>
  <c r="AQ52" i="61"/>
  <c r="AR52" i="61"/>
  <c r="AS52" i="61"/>
  <c r="AT52" i="61"/>
  <c r="AU52" i="61"/>
  <c r="AV52" i="61"/>
  <c r="AV4" i="61"/>
  <c r="AU4" i="61"/>
  <c r="AS4" i="61"/>
  <c r="AR4" i="61"/>
  <c r="AQ4" i="61"/>
  <c r="EC91" i="59"/>
  <c r="ED91" i="59" s="1"/>
  <c r="EA91" i="59"/>
  <c r="EB91" i="59" s="1"/>
  <c r="DY91" i="59"/>
  <c r="DZ91" i="59" s="1"/>
  <c r="DW91" i="59"/>
  <c r="DX91" i="59" s="1"/>
  <c r="DU91" i="59"/>
  <c r="DV91" i="59" s="1"/>
  <c r="DS91" i="59"/>
  <c r="DT91" i="59" s="1"/>
  <c r="DQ91" i="59"/>
  <c r="DR91" i="59" s="1"/>
  <c r="DO91" i="59"/>
  <c r="DP91" i="59" s="1"/>
  <c r="DM91" i="59"/>
  <c r="DN91" i="59" s="1"/>
  <c r="DK91" i="59"/>
  <c r="DL91" i="59" s="1"/>
  <c r="DI91" i="59"/>
  <c r="DJ91" i="59" s="1"/>
  <c r="DG91" i="59"/>
  <c r="DH91" i="59" s="1"/>
  <c r="DE91" i="59"/>
  <c r="DF91" i="59" s="1"/>
  <c r="DC91" i="59"/>
  <c r="DD91" i="59" s="1"/>
  <c r="DA91" i="59"/>
  <c r="DB91" i="59" s="1"/>
  <c r="CY91" i="59"/>
  <c r="CZ91" i="59" s="1"/>
  <c r="CW91" i="59"/>
  <c r="CX91" i="59" s="1"/>
  <c r="CU91" i="59"/>
  <c r="CV91" i="59" s="1"/>
  <c r="CS91" i="59"/>
  <c r="CT91" i="59" s="1"/>
  <c r="CQ91" i="59"/>
  <c r="CR91" i="59" s="1"/>
  <c r="CO91" i="59"/>
  <c r="CP91" i="59" s="1"/>
  <c r="CM91" i="59"/>
  <c r="CN91" i="59" s="1"/>
  <c r="CK91" i="59"/>
  <c r="CL91" i="59" s="1"/>
  <c r="CI91" i="59"/>
  <c r="CJ91" i="59" s="1"/>
  <c r="CG91" i="59"/>
  <c r="CH91" i="59" s="1"/>
  <c r="CE91" i="59"/>
  <c r="CF91" i="59" s="1"/>
  <c r="CC91" i="59"/>
  <c r="CD91" i="59" s="1"/>
  <c r="CA91" i="59"/>
  <c r="CB91" i="59" s="1"/>
  <c r="BY91" i="59"/>
  <c r="BZ91" i="59" s="1"/>
  <c r="BW91" i="59"/>
  <c r="BX91" i="59" s="1"/>
  <c r="BU91" i="59"/>
  <c r="BV91" i="59" s="1"/>
  <c r="BS91" i="59"/>
  <c r="BT91" i="59" s="1"/>
  <c r="BN91" i="59"/>
  <c r="AY91" i="59"/>
  <c r="BG91" i="59" s="1"/>
  <c r="AX91" i="59"/>
  <c r="AW91" i="59"/>
  <c r="AV91" i="59"/>
  <c r="AU91" i="59"/>
  <c r="EB109" i="65"/>
  <c r="EC109" i="65" s="1"/>
  <c r="DZ109" i="65"/>
  <c r="EA109" i="65" s="1"/>
  <c r="DX109" i="65"/>
  <c r="DY109" i="65" s="1"/>
  <c r="DV109" i="65"/>
  <c r="DW109" i="65" s="1"/>
  <c r="DT109" i="65"/>
  <c r="DU109" i="65" s="1"/>
  <c r="DR109" i="65"/>
  <c r="DS109" i="65" s="1"/>
  <c r="DP109" i="65"/>
  <c r="DQ109" i="65" s="1"/>
  <c r="DN109" i="65"/>
  <c r="DO109" i="65" s="1"/>
  <c r="DL109" i="65"/>
  <c r="DM109" i="65" s="1"/>
  <c r="DJ109" i="65"/>
  <c r="DK109" i="65" s="1"/>
  <c r="DH109" i="65"/>
  <c r="DI109" i="65" s="1"/>
  <c r="DF109" i="65"/>
  <c r="DG109" i="65" s="1"/>
  <c r="DD109" i="65"/>
  <c r="DE109" i="65" s="1"/>
  <c r="DB109" i="65"/>
  <c r="DC109" i="65" s="1"/>
  <c r="CZ109" i="65"/>
  <c r="DA109" i="65" s="1"/>
  <c r="CX109" i="65"/>
  <c r="CY109" i="65" s="1"/>
  <c r="CV109" i="65"/>
  <c r="CW109" i="65" s="1"/>
  <c r="CT109" i="65"/>
  <c r="CU109" i="65" s="1"/>
  <c r="CR109" i="65"/>
  <c r="CS109" i="65" s="1"/>
  <c r="CP109" i="65"/>
  <c r="CQ109" i="65" s="1"/>
  <c r="CN109" i="65"/>
  <c r="CO109" i="65" s="1"/>
  <c r="CL109" i="65"/>
  <c r="CM109" i="65" s="1"/>
  <c r="CJ109" i="65"/>
  <c r="CK109" i="65" s="1"/>
  <c r="CH109" i="65"/>
  <c r="CI109" i="65" s="1"/>
  <c r="CF109" i="65"/>
  <c r="CG109" i="65" s="1"/>
  <c r="CD109" i="65"/>
  <c r="CE109" i="65" s="1"/>
  <c r="CB109" i="65"/>
  <c r="CC109" i="65" s="1"/>
  <c r="BZ109" i="65"/>
  <c r="CA109" i="65" s="1"/>
  <c r="BX109" i="65"/>
  <c r="BY109" i="65" s="1"/>
  <c r="BV109" i="65"/>
  <c r="BW109" i="65" s="1"/>
  <c r="BT109" i="65"/>
  <c r="BU109" i="65" s="1"/>
  <c r="BR109" i="65"/>
  <c r="BS109" i="65" s="1"/>
  <c r="BM109" i="65"/>
  <c r="AY109" i="65"/>
  <c r="AX109" i="65"/>
  <c r="AW109" i="65"/>
  <c r="BC109" i="65" s="1"/>
  <c r="AV109" i="65"/>
  <c r="AU109" i="65"/>
  <c r="BF109" i="65" l="1"/>
  <c r="BG109" i="65"/>
  <c r="BH109" i="65"/>
  <c r="BD109" i="65"/>
  <c r="BG94" i="59"/>
  <c r="BH91" i="59"/>
  <c r="BC91" i="59"/>
  <c r="BD91" i="59"/>
  <c r="BF91" i="59"/>
  <c r="BF94" i="59"/>
  <c r="BD94" i="59"/>
  <c r="BF93" i="59"/>
  <c r="BG93" i="59"/>
  <c r="BH93" i="59"/>
  <c r="BC93" i="59"/>
  <c r="AT93" i="59"/>
  <c r="BE93" i="59" s="1"/>
  <c r="AT94" i="59"/>
  <c r="BE94" i="59" s="1"/>
  <c r="AT91" i="59"/>
  <c r="BE91" i="59" s="1"/>
  <c r="AT109" i="65"/>
  <c r="BE109" i="65" s="1"/>
  <c r="BK94" i="59" l="1"/>
  <c r="BO94" i="59" s="1"/>
  <c r="BR94" i="59" s="1"/>
  <c r="BK93" i="59"/>
  <c r="BO93" i="59" s="1"/>
  <c r="BR93" i="59" s="1"/>
  <c r="BK91" i="59"/>
  <c r="BO91" i="59" s="1"/>
  <c r="BR91" i="59" s="1"/>
  <c r="BJ109" i="65"/>
  <c r="BN109" i="65" s="1"/>
  <c r="BQ109" i="65" s="1"/>
  <c r="EC92" i="59" l="1"/>
  <c r="ED92" i="59" s="1"/>
  <c r="EA92" i="59"/>
  <c r="EB92" i="59" s="1"/>
  <c r="DY92" i="59"/>
  <c r="DZ92" i="59" s="1"/>
  <c r="DW92" i="59"/>
  <c r="DX92" i="59" s="1"/>
  <c r="DU92" i="59"/>
  <c r="DV92" i="59" s="1"/>
  <c r="DS92" i="59"/>
  <c r="DT92" i="59" s="1"/>
  <c r="DQ92" i="59"/>
  <c r="DR92" i="59" s="1"/>
  <c r="DO92" i="59"/>
  <c r="DP92" i="59" s="1"/>
  <c r="DM92" i="59"/>
  <c r="DN92" i="59" s="1"/>
  <c r="DK92" i="59"/>
  <c r="DL92" i="59" s="1"/>
  <c r="DI92" i="59"/>
  <c r="DJ92" i="59" s="1"/>
  <c r="DG92" i="59"/>
  <c r="DH92" i="59" s="1"/>
  <c r="DE92" i="59"/>
  <c r="DF92" i="59" s="1"/>
  <c r="DC92" i="59"/>
  <c r="DD92" i="59" s="1"/>
  <c r="DA92" i="59"/>
  <c r="DB92" i="59" s="1"/>
  <c r="CY92" i="59"/>
  <c r="CZ92" i="59" s="1"/>
  <c r="CW92" i="59"/>
  <c r="CX92" i="59" s="1"/>
  <c r="CU92" i="59"/>
  <c r="CV92" i="59" s="1"/>
  <c r="CS92" i="59"/>
  <c r="CT92" i="59" s="1"/>
  <c r="CQ92" i="59"/>
  <c r="CR92" i="59" s="1"/>
  <c r="CO92" i="59"/>
  <c r="CP92" i="59" s="1"/>
  <c r="CM92" i="59"/>
  <c r="CN92" i="59" s="1"/>
  <c r="CK92" i="59"/>
  <c r="CL92" i="59" s="1"/>
  <c r="CI92" i="59"/>
  <c r="CJ92" i="59" s="1"/>
  <c r="CG92" i="59"/>
  <c r="CH92" i="59" s="1"/>
  <c r="CE92" i="59"/>
  <c r="CF92" i="59" s="1"/>
  <c r="CC92" i="59"/>
  <c r="CD92" i="59" s="1"/>
  <c r="CA92" i="59"/>
  <c r="CB92" i="59" s="1"/>
  <c r="BY92" i="59"/>
  <c r="BZ92" i="59" s="1"/>
  <c r="BW92" i="59"/>
  <c r="BX92" i="59" s="1"/>
  <c r="BU92" i="59"/>
  <c r="BV92" i="59" s="1"/>
  <c r="BS92" i="59"/>
  <c r="BT92" i="59" s="1"/>
  <c r="BN92" i="59"/>
  <c r="AY92" i="59"/>
  <c r="AX92" i="59"/>
  <c r="AW92" i="59"/>
  <c r="AV92" i="59"/>
  <c r="AU92" i="59"/>
  <c r="EC90" i="59"/>
  <c r="ED90" i="59" s="1"/>
  <c r="EA90" i="59"/>
  <c r="EB90" i="59" s="1"/>
  <c r="DY90" i="59"/>
  <c r="DZ90" i="59" s="1"/>
  <c r="DW90" i="59"/>
  <c r="DX90" i="59" s="1"/>
  <c r="DU90" i="59"/>
  <c r="DV90" i="59" s="1"/>
  <c r="DS90" i="59"/>
  <c r="DT90" i="59" s="1"/>
  <c r="DQ90" i="59"/>
  <c r="DR90" i="59" s="1"/>
  <c r="DO90" i="59"/>
  <c r="DP90" i="59" s="1"/>
  <c r="DM90" i="59"/>
  <c r="DN90" i="59" s="1"/>
  <c r="DK90" i="59"/>
  <c r="DL90" i="59" s="1"/>
  <c r="DI90" i="59"/>
  <c r="DJ90" i="59" s="1"/>
  <c r="DG90" i="59"/>
  <c r="DH90" i="59" s="1"/>
  <c r="DE90" i="59"/>
  <c r="DF90" i="59" s="1"/>
  <c r="DC90" i="59"/>
  <c r="DD90" i="59" s="1"/>
  <c r="DA90" i="59"/>
  <c r="DB90" i="59" s="1"/>
  <c r="CY90" i="59"/>
  <c r="CZ90" i="59" s="1"/>
  <c r="CW90" i="59"/>
  <c r="CX90" i="59" s="1"/>
  <c r="CU90" i="59"/>
  <c r="CV90" i="59" s="1"/>
  <c r="CS90" i="59"/>
  <c r="CT90" i="59" s="1"/>
  <c r="CQ90" i="59"/>
  <c r="CR90" i="59" s="1"/>
  <c r="CO90" i="59"/>
  <c r="CP90" i="59" s="1"/>
  <c r="CM90" i="59"/>
  <c r="CN90" i="59" s="1"/>
  <c r="CK90" i="59"/>
  <c r="CL90" i="59" s="1"/>
  <c r="CI90" i="59"/>
  <c r="CJ90" i="59" s="1"/>
  <c r="CG90" i="59"/>
  <c r="CH90" i="59" s="1"/>
  <c r="CE90" i="59"/>
  <c r="CF90" i="59" s="1"/>
  <c r="CC90" i="59"/>
  <c r="CD90" i="59" s="1"/>
  <c r="CA90" i="59"/>
  <c r="CB90" i="59" s="1"/>
  <c r="BY90" i="59"/>
  <c r="BZ90" i="59" s="1"/>
  <c r="BW90" i="59"/>
  <c r="BX90" i="59" s="1"/>
  <c r="BU90" i="59"/>
  <c r="BV90" i="59" s="1"/>
  <c r="BS90" i="59"/>
  <c r="BT90" i="59" s="1"/>
  <c r="BN90" i="59"/>
  <c r="AY90" i="59"/>
  <c r="AX90" i="59"/>
  <c r="AW90" i="59"/>
  <c r="AV90" i="59"/>
  <c r="AU90" i="59"/>
  <c r="BF90" i="59" l="1"/>
  <c r="BD90" i="59"/>
  <c r="BC90" i="59"/>
  <c r="BG92" i="59"/>
  <c r="BH92" i="59"/>
  <c r="BC92" i="59"/>
  <c r="BD92" i="59"/>
  <c r="BF92" i="59"/>
  <c r="BG90" i="59"/>
  <c r="BH90" i="59"/>
  <c r="AT90" i="59"/>
  <c r="BE90" i="59" s="1"/>
  <c r="AT92" i="59"/>
  <c r="BE92" i="59" s="1"/>
  <c r="EB107" i="65"/>
  <c r="EC107" i="65" s="1"/>
  <c r="DZ107" i="65"/>
  <c r="EA107" i="65" s="1"/>
  <c r="DX107" i="65"/>
  <c r="DY107" i="65" s="1"/>
  <c r="DV107" i="65"/>
  <c r="DW107" i="65" s="1"/>
  <c r="DT107" i="65"/>
  <c r="DU107" i="65" s="1"/>
  <c r="DR107" i="65"/>
  <c r="DS107" i="65" s="1"/>
  <c r="DP107" i="65"/>
  <c r="DQ107" i="65" s="1"/>
  <c r="DN107" i="65"/>
  <c r="DO107" i="65" s="1"/>
  <c r="DL107" i="65"/>
  <c r="DM107" i="65" s="1"/>
  <c r="DJ107" i="65"/>
  <c r="DK107" i="65" s="1"/>
  <c r="DH107" i="65"/>
  <c r="DI107" i="65" s="1"/>
  <c r="DF107" i="65"/>
  <c r="DG107" i="65" s="1"/>
  <c r="DD107" i="65"/>
  <c r="DE107" i="65" s="1"/>
  <c r="DB107" i="65"/>
  <c r="DC107" i="65" s="1"/>
  <c r="CZ107" i="65"/>
  <c r="DA107" i="65" s="1"/>
  <c r="CX107" i="65"/>
  <c r="CY107" i="65" s="1"/>
  <c r="CV107" i="65"/>
  <c r="CW107" i="65" s="1"/>
  <c r="CT107" i="65"/>
  <c r="CU107" i="65" s="1"/>
  <c r="CR107" i="65"/>
  <c r="CS107" i="65" s="1"/>
  <c r="CP107" i="65"/>
  <c r="CQ107" i="65" s="1"/>
  <c r="CN107" i="65"/>
  <c r="CO107" i="65" s="1"/>
  <c r="CL107" i="65"/>
  <c r="CM107" i="65" s="1"/>
  <c r="CJ107" i="65"/>
  <c r="CK107" i="65" s="1"/>
  <c r="CH107" i="65"/>
  <c r="CI107" i="65" s="1"/>
  <c r="CF107" i="65"/>
  <c r="CG107" i="65" s="1"/>
  <c r="CD107" i="65"/>
  <c r="CE107" i="65" s="1"/>
  <c r="CB107" i="65"/>
  <c r="CC107" i="65" s="1"/>
  <c r="BZ107" i="65"/>
  <c r="CA107" i="65" s="1"/>
  <c r="BX107" i="65"/>
  <c r="BY107" i="65" s="1"/>
  <c r="BV107" i="65"/>
  <c r="BW107" i="65" s="1"/>
  <c r="BT107" i="65"/>
  <c r="BU107" i="65" s="1"/>
  <c r="BR107" i="65"/>
  <c r="BS107" i="65" s="1"/>
  <c r="BM107" i="65"/>
  <c r="AY107" i="65"/>
  <c r="AX107" i="65"/>
  <c r="AW107" i="65"/>
  <c r="AV107" i="65"/>
  <c r="AU107" i="65"/>
  <c r="EB108" i="65"/>
  <c r="EC108" i="65" s="1"/>
  <c r="DZ108" i="65"/>
  <c r="EA108" i="65" s="1"/>
  <c r="DX108" i="65"/>
  <c r="DY108" i="65" s="1"/>
  <c r="DV108" i="65"/>
  <c r="DW108" i="65" s="1"/>
  <c r="DT108" i="65"/>
  <c r="DU108" i="65" s="1"/>
  <c r="DR108" i="65"/>
  <c r="DS108" i="65" s="1"/>
  <c r="DP108" i="65"/>
  <c r="DQ108" i="65" s="1"/>
  <c r="DN108" i="65"/>
  <c r="DO108" i="65" s="1"/>
  <c r="DL108" i="65"/>
  <c r="DM108" i="65" s="1"/>
  <c r="DJ108" i="65"/>
  <c r="DK108" i="65" s="1"/>
  <c r="DH108" i="65"/>
  <c r="DI108" i="65" s="1"/>
  <c r="DF108" i="65"/>
  <c r="DG108" i="65" s="1"/>
  <c r="DD108" i="65"/>
  <c r="DE108" i="65" s="1"/>
  <c r="DB108" i="65"/>
  <c r="DC108" i="65" s="1"/>
  <c r="CZ108" i="65"/>
  <c r="DA108" i="65" s="1"/>
  <c r="CX108" i="65"/>
  <c r="CY108" i="65" s="1"/>
  <c r="CV108" i="65"/>
  <c r="CW108" i="65" s="1"/>
  <c r="CT108" i="65"/>
  <c r="CU108" i="65" s="1"/>
  <c r="CR108" i="65"/>
  <c r="CS108" i="65" s="1"/>
  <c r="CP108" i="65"/>
  <c r="CQ108" i="65" s="1"/>
  <c r="CN108" i="65"/>
  <c r="CO108" i="65" s="1"/>
  <c r="CL108" i="65"/>
  <c r="CM108" i="65" s="1"/>
  <c r="CJ108" i="65"/>
  <c r="CK108" i="65" s="1"/>
  <c r="CH108" i="65"/>
  <c r="CI108" i="65" s="1"/>
  <c r="CF108" i="65"/>
  <c r="CG108" i="65" s="1"/>
  <c r="CD108" i="65"/>
  <c r="CE108" i="65" s="1"/>
  <c r="CB108" i="65"/>
  <c r="CC108" i="65" s="1"/>
  <c r="BZ108" i="65"/>
  <c r="CA108" i="65" s="1"/>
  <c r="BX108" i="65"/>
  <c r="BY108" i="65" s="1"/>
  <c r="BV108" i="65"/>
  <c r="BW108" i="65" s="1"/>
  <c r="BT108" i="65"/>
  <c r="BU108" i="65" s="1"/>
  <c r="BR108" i="65"/>
  <c r="BS108" i="65" s="1"/>
  <c r="BM108" i="65"/>
  <c r="AY108" i="65"/>
  <c r="AX108" i="65"/>
  <c r="AW108" i="65"/>
  <c r="AV108" i="65"/>
  <c r="AU108" i="65"/>
  <c r="EB106" i="65"/>
  <c r="EC106" i="65" s="1"/>
  <c r="DZ106" i="65"/>
  <c r="EA106" i="65" s="1"/>
  <c r="DX106" i="65"/>
  <c r="DY106" i="65" s="1"/>
  <c r="DV106" i="65"/>
  <c r="DW106" i="65" s="1"/>
  <c r="DT106" i="65"/>
  <c r="DU106" i="65" s="1"/>
  <c r="DR106" i="65"/>
  <c r="DS106" i="65" s="1"/>
  <c r="DP106" i="65"/>
  <c r="DQ106" i="65" s="1"/>
  <c r="DN106" i="65"/>
  <c r="DO106" i="65" s="1"/>
  <c r="DL106" i="65"/>
  <c r="DM106" i="65" s="1"/>
  <c r="DJ106" i="65"/>
  <c r="DK106" i="65" s="1"/>
  <c r="DH106" i="65"/>
  <c r="DI106" i="65" s="1"/>
  <c r="DF106" i="65"/>
  <c r="DG106" i="65" s="1"/>
  <c r="DD106" i="65"/>
  <c r="DE106" i="65" s="1"/>
  <c r="DB106" i="65"/>
  <c r="DC106" i="65" s="1"/>
  <c r="CZ106" i="65"/>
  <c r="DA106" i="65" s="1"/>
  <c r="CX106" i="65"/>
  <c r="CY106" i="65" s="1"/>
  <c r="CV106" i="65"/>
  <c r="CW106" i="65" s="1"/>
  <c r="CT106" i="65"/>
  <c r="CU106" i="65" s="1"/>
  <c r="CR106" i="65"/>
  <c r="CS106" i="65" s="1"/>
  <c r="CP106" i="65"/>
  <c r="CQ106" i="65" s="1"/>
  <c r="CN106" i="65"/>
  <c r="CO106" i="65" s="1"/>
  <c r="CL106" i="65"/>
  <c r="CM106" i="65" s="1"/>
  <c r="CJ106" i="65"/>
  <c r="CK106" i="65" s="1"/>
  <c r="CH106" i="65"/>
  <c r="CI106" i="65" s="1"/>
  <c r="CF106" i="65"/>
  <c r="CG106" i="65" s="1"/>
  <c r="CD106" i="65"/>
  <c r="CE106" i="65" s="1"/>
  <c r="CB106" i="65"/>
  <c r="CC106" i="65" s="1"/>
  <c r="BZ106" i="65"/>
  <c r="CA106" i="65" s="1"/>
  <c r="BX106" i="65"/>
  <c r="BY106" i="65" s="1"/>
  <c r="BV106" i="65"/>
  <c r="BW106" i="65" s="1"/>
  <c r="BT106" i="65"/>
  <c r="BU106" i="65" s="1"/>
  <c r="BR106" i="65"/>
  <c r="BS106" i="65" s="1"/>
  <c r="BM106" i="65"/>
  <c r="AY106" i="65"/>
  <c r="AX106" i="65"/>
  <c r="AW106" i="65"/>
  <c r="AV106" i="65"/>
  <c r="AU106" i="65"/>
  <c r="EB105" i="65"/>
  <c r="EC105" i="65" s="1"/>
  <c r="DZ105" i="65"/>
  <c r="EA105" i="65" s="1"/>
  <c r="DX105" i="65"/>
  <c r="DY105" i="65" s="1"/>
  <c r="DV105" i="65"/>
  <c r="DW105" i="65" s="1"/>
  <c r="DT105" i="65"/>
  <c r="DU105" i="65" s="1"/>
  <c r="DR105" i="65"/>
  <c r="DS105" i="65" s="1"/>
  <c r="DP105" i="65"/>
  <c r="DQ105" i="65" s="1"/>
  <c r="DN105" i="65"/>
  <c r="DO105" i="65" s="1"/>
  <c r="DL105" i="65"/>
  <c r="DM105" i="65" s="1"/>
  <c r="DJ105" i="65"/>
  <c r="DK105" i="65" s="1"/>
  <c r="DH105" i="65"/>
  <c r="DI105" i="65" s="1"/>
  <c r="DF105" i="65"/>
  <c r="DG105" i="65" s="1"/>
  <c r="DD105" i="65"/>
  <c r="DE105" i="65" s="1"/>
  <c r="DB105" i="65"/>
  <c r="DC105" i="65" s="1"/>
  <c r="CZ105" i="65"/>
  <c r="DA105" i="65" s="1"/>
  <c r="CX105" i="65"/>
  <c r="CY105" i="65" s="1"/>
  <c r="CV105" i="65"/>
  <c r="CW105" i="65" s="1"/>
  <c r="CT105" i="65"/>
  <c r="CU105" i="65" s="1"/>
  <c r="CR105" i="65"/>
  <c r="CS105" i="65" s="1"/>
  <c r="CP105" i="65"/>
  <c r="CQ105" i="65" s="1"/>
  <c r="CN105" i="65"/>
  <c r="CO105" i="65" s="1"/>
  <c r="CL105" i="65"/>
  <c r="CM105" i="65" s="1"/>
  <c r="CJ105" i="65"/>
  <c r="CK105" i="65" s="1"/>
  <c r="CH105" i="65"/>
  <c r="CI105" i="65" s="1"/>
  <c r="CF105" i="65"/>
  <c r="CG105" i="65" s="1"/>
  <c r="CD105" i="65"/>
  <c r="CE105" i="65" s="1"/>
  <c r="CB105" i="65"/>
  <c r="CC105" i="65" s="1"/>
  <c r="BZ105" i="65"/>
  <c r="CA105" i="65" s="1"/>
  <c r="BX105" i="65"/>
  <c r="BY105" i="65" s="1"/>
  <c r="BV105" i="65"/>
  <c r="BW105" i="65" s="1"/>
  <c r="BT105" i="65"/>
  <c r="BU105" i="65" s="1"/>
  <c r="BR105" i="65"/>
  <c r="BS105" i="65" s="1"/>
  <c r="BM105" i="65"/>
  <c r="AY105" i="65"/>
  <c r="AX105" i="65"/>
  <c r="AW105" i="65"/>
  <c r="AV105" i="65"/>
  <c r="AU105" i="65"/>
  <c r="EB104" i="65"/>
  <c r="EC104" i="65" s="1"/>
  <c r="DZ104" i="65"/>
  <c r="EA104" i="65" s="1"/>
  <c r="DX104" i="65"/>
  <c r="DY104" i="65" s="1"/>
  <c r="DV104" i="65"/>
  <c r="DW104" i="65" s="1"/>
  <c r="DT104" i="65"/>
  <c r="DU104" i="65" s="1"/>
  <c r="DR104" i="65"/>
  <c r="DS104" i="65" s="1"/>
  <c r="DP104" i="65"/>
  <c r="DQ104" i="65" s="1"/>
  <c r="DN104" i="65"/>
  <c r="DO104" i="65" s="1"/>
  <c r="DL104" i="65"/>
  <c r="DM104" i="65" s="1"/>
  <c r="DJ104" i="65"/>
  <c r="DK104" i="65" s="1"/>
  <c r="DH104" i="65"/>
  <c r="DI104" i="65" s="1"/>
  <c r="DF104" i="65"/>
  <c r="DG104" i="65" s="1"/>
  <c r="DD104" i="65"/>
  <c r="DE104" i="65" s="1"/>
  <c r="DB104" i="65"/>
  <c r="DC104" i="65" s="1"/>
  <c r="CZ104" i="65"/>
  <c r="DA104" i="65" s="1"/>
  <c r="CX104" i="65"/>
  <c r="CY104" i="65" s="1"/>
  <c r="CV104" i="65"/>
  <c r="CW104" i="65" s="1"/>
  <c r="CT104" i="65"/>
  <c r="CU104" i="65" s="1"/>
  <c r="CR104" i="65"/>
  <c r="CS104" i="65" s="1"/>
  <c r="CP104" i="65"/>
  <c r="CQ104" i="65" s="1"/>
  <c r="CN104" i="65"/>
  <c r="CO104" i="65" s="1"/>
  <c r="CL104" i="65"/>
  <c r="CM104" i="65" s="1"/>
  <c r="CJ104" i="65"/>
  <c r="CK104" i="65" s="1"/>
  <c r="CH104" i="65"/>
  <c r="CI104" i="65" s="1"/>
  <c r="CF104" i="65"/>
  <c r="CG104" i="65" s="1"/>
  <c r="CD104" i="65"/>
  <c r="CE104" i="65" s="1"/>
  <c r="CB104" i="65"/>
  <c r="CC104" i="65" s="1"/>
  <c r="BZ104" i="65"/>
  <c r="CA104" i="65" s="1"/>
  <c r="BX104" i="65"/>
  <c r="BY104" i="65" s="1"/>
  <c r="BV104" i="65"/>
  <c r="BW104" i="65" s="1"/>
  <c r="BT104" i="65"/>
  <c r="BU104" i="65" s="1"/>
  <c r="BR104" i="65"/>
  <c r="BS104" i="65" s="1"/>
  <c r="BM104" i="65"/>
  <c r="AY104" i="65"/>
  <c r="AX104" i="65"/>
  <c r="AW104" i="65"/>
  <c r="AV104" i="65"/>
  <c r="AU104" i="65"/>
  <c r="EB103" i="65"/>
  <c r="EC103" i="65" s="1"/>
  <c r="DZ103" i="65"/>
  <c r="EA103" i="65" s="1"/>
  <c r="DX103" i="65"/>
  <c r="DY103" i="65" s="1"/>
  <c r="DV103" i="65"/>
  <c r="DW103" i="65" s="1"/>
  <c r="DT103" i="65"/>
  <c r="DU103" i="65" s="1"/>
  <c r="DR103" i="65"/>
  <c r="DS103" i="65" s="1"/>
  <c r="DP103" i="65"/>
  <c r="DQ103" i="65" s="1"/>
  <c r="DN103" i="65"/>
  <c r="DO103" i="65" s="1"/>
  <c r="DL103" i="65"/>
  <c r="DM103" i="65" s="1"/>
  <c r="DJ103" i="65"/>
  <c r="DK103" i="65" s="1"/>
  <c r="DH103" i="65"/>
  <c r="DI103" i="65" s="1"/>
  <c r="DF103" i="65"/>
  <c r="DG103" i="65" s="1"/>
  <c r="DD103" i="65"/>
  <c r="DE103" i="65" s="1"/>
  <c r="DB103" i="65"/>
  <c r="DC103" i="65" s="1"/>
  <c r="CZ103" i="65"/>
  <c r="DA103" i="65" s="1"/>
  <c r="CX103" i="65"/>
  <c r="CY103" i="65" s="1"/>
  <c r="CV103" i="65"/>
  <c r="CW103" i="65" s="1"/>
  <c r="CT103" i="65"/>
  <c r="CU103" i="65" s="1"/>
  <c r="CR103" i="65"/>
  <c r="CS103" i="65" s="1"/>
  <c r="CP103" i="65"/>
  <c r="CQ103" i="65" s="1"/>
  <c r="CN103" i="65"/>
  <c r="CO103" i="65" s="1"/>
  <c r="CL103" i="65"/>
  <c r="CM103" i="65" s="1"/>
  <c r="CJ103" i="65"/>
  <c r="CK103" i="65" s="1"/>
  <c r="CH103" i="65"/>
  <c r="CI103" i="65" s="1"/>
  <c r="CF103" i="65"/>
  <c r="CG103" i="65" s="1"/>
  <c r="CD103" i="65"/>
  <c r="CE103" i="65" s="1"/>
  <c r="CB103" i="65"/>
  <c r="CC103" i="65" s="1"/>
  <c r="BZ103" i="65"/>
  <c r="CA103" i="65" s="1"/>
  <c r="BX103" i="65"/>
  <c r="BY103" i="65" s="1"/>
  <c r="BV103" i="65"/>
  <c r="BW103" i="65" s="1"/>
  <c r="BT103" i="65"/>
  <c r="BU103" i="65" s="1"/>
  <c r="BR103" i="65"/>
  <c r="BS103" i="65" s="1"/>
  <c r="BM103" i="65"/>
  <c r="AY103" i="65"/>
  <c r="AX103" i="65"/>
  <c r="AW103" i="65"/>
  <c r="AV103" i="65"/>
  <c r="AU103" i="65"/>
  <c r="EB102" i="65"/>
  <c r="EC102" i="65" s="1"/>
  <c r="DZ102" i="65"/>
  <c r="EA102" i="65" s="1"/>
  <c r="DX102" i="65"/>
  <c r="DY102" i="65" s="1"/>
  <c r="DV102" i="65"/>
  <c r="DW102" i="65" s="1"/>
  <c r="DT102" i="65"/>
  <c r="DU102" i="65" s="1"/>
  <c r="DR102" i="65"/>
  <c r="DS102" i="65" s="1"/>
  <c r="DP102" i="65"/>
  <c r="DQ102" i="65" s="1"/>
  <c r="DN102" i="65"/>
  <c r="DO102" i="65" s="1"/>
  <c r="DL102" i="65"/>
  <c r="DM102" i="65" s="1"/>
  <c r="DJ102" i="65"/>
  <c r="DK102" i="65" s="1"/>
  <c r="DH102" i="65"/>
  <c r="DI102" i="65" s="1"/>
  <c r="DF102" i="65"/>
  <c r="DG102" i="65" s="1"/>
  <c r="DD102" i="65"/>
  <c r="DE102" i="65" s="1"/>
  <c r="DB102" i="65"/>
  <c r="DC102" i="65" s="1"/>
  <c r="CZ102" i="65"/>
  <c r="DA102" i="65" s="1"/>
  <c r="CX102" i="65"/>
  <c r="CY102" i="65" s="1"/>
  <c r="CV102" i="65"/>
  <c r="CW102" i="65" s="1"/>
  <c r="CT102" i="65"/>
  <c r="CU102" i="65" s="1"/>
  <c r="CR102" i="65"/>
  <c r="CS102" i="65" s="1"/>
  <c r="CP102" i="65"/>
  <c r="CQ102" i="65" s="1"/>
  <c r="CN102" i="65"/>
  <c r="CO102" i="65" s="1"/>
  <c r="CL102" i="65"/>
  <c r="CM102" i="65" s="1"/>
  <c r="CJ102" i="65"/>
  <c r="CK102" i="65" s="1"/>
  <c r="CH102" i="65"/>
  <c r="CI102" i="65" s="1"/>
  <c r="CF102" i="65"/>
  <c r="CG102" i="65" s="1"/>
  <c r="CD102" i="65"/>
  <c r="CE102" i="65" s="1"/>
  <c r="CB102" i="65"/>
  <c r="CC102" i="65" s="1"/>
  <c r="BZ102" i="65"/>
  <c r="CA102" i="65" s="1"/>
  <c r="BX102" i="65"/>
  <c r="BY102" i="65" s="1"/>
  <c r="BV102" i="65"/>
  <c r="BW102" i="65" s="1"/>
  <c r="BT102" i="65"/>
  <c r="BU102" i="65" s="1"/>
  <c r="BR102" i="65"/>
  <c r="BS102" i="65" s="1"/>
  <c r="BM102" i="65"/>
  <c r="AY102" i="65"/>
  <c r="AX102" i="65"/>
  <c r="AW102" i="65"/>
  <c r="AV102" i="65"/>
  <c r="AU102" i="65"/>
  <c r="EB101" i="65"/>
  <c r="EC101" i="65" s="1"/>
  <c r="DZ101" i="65"/>
  <c r="EA101" i="65" s="1"/>
  <c r="DX101" i="65"/>
  <c r="DY101" i="65" s="1"/>
  <c r="DV101" i="65"/>
  <c r="DW101" i="65" s="1"/>
  <c r="DT101" i="65"/>
  <c r="DU101" i="65" s="1"/>
  <c r="DR101" i="65"/>
  <c r="DS101" i="65" s="1"/>
  <c r="DP101" i="65"/>
  <c r="DQ101" i="65" s="1"/>
  <c r="DN101" i="65"/>
  <c r="DO101" i="65" s="1"/>
  <c r="DL101" i="65"/>
  <c r="DM101" i="65" s="1"/>
  <c r="DJ101" i="65"/>
  <c r="DK101" i="65" s="1"/>
  <c r="DH101" i="65"/>
  <c r="DI101" i="65" s="1"/>
  <c r="DF101" i="65"/>
  <c r="DG101" i="65" s="1"/>
  <c r="DD101" i="65"/>
  <c r="DE101" i="65" s="1"/>
  <c r="DB101" i="65"/>
  <c r="DC101" i="65" s="1"/>
  <c r="CZ101" i="65"/>
  <c r="DA101" i="65" s="1"/>
  <c r="CX101" i="65"/>
  <c r="CY101" i="65" s="1"/>
  <c r="CV101" i="65"/>
  <c r="CW101" i="65" s="1"/>
  <c r="CT101" i="65"/>
  <c r="CU101" i="65" s="1"/>
  <c r="CR101" i="65"/>
  <c r="CS101" i="65" s="1"/>
  <c r="CP101" i="65"/>
  <c r="CQ101" i="65" s="1"/>
  <c r="CN101" i="65"/>
  <c r="CO101" i="65" s="1"/>
  <c r="CL101" i="65"/>
  <c r="CM101" i="65" s="1"/>
  <c r="CJ101" i="65"/>
  <c r="CK101" i="65" s="1"/>
  <c r="CH101" i="65"/>
  <c r="CI101" i="65" s="1"/>
  <c r="CF101" i="65"/>
  <c r="CG101" i="65" s="1"/>
  <c r="CD101" i="65"/>
  <c r="CE101" i="65" s="1"/>
  <c r="CB101" i="65"/>
  <c r="CC101" i="65" s="1"/>
  <c r="BZ101" i="65"/>
  <c r="CA101" i="65" s="1"/>
  <c r="BX101" i="65"/>
  <c r="BY101" i="65" s="1"/>
  <c r="BV101" i="65"/>
  <c r="BW101" i="65" s="1"/>
  <c r="BT101" i="65"/>
  <c r="BU101" i="65" s="1"/>
  <c r="BR101" i="65"/>
  <c r="BS101" i="65" s="1"/>
  <c r="BM101" i="65"/>
  <c r="AY101" i="65"/>
  <c r="AX101" i="65"/>
  <c r="AW101" i="65"/>
  <c r="AV101" i="65"/>
  <c r="AU101" i="65"/>
  <c r="EB100" i="65"/>
  <c r="EC100" i="65" s="1"/>
  <c r="DZ100" i="65"/>
  <c r="EA100" i="65" s="1"/>
  <c r="DX100" i="65"/>
  <c r="DY100" i="65" s="1"/>
  <c r="DV100" i="65"/>
  <c r="DW100" i="65" s="1"/>
  <c r="DT100" i="65"/>
  <c r="DU100" i="65" s="1"/>
  <c r="DR100" i="65"/>
  <c r="DS100" i="65" s="1"/>
  <c r="DP100" i="65"/>
  <c r="DQ100" i="65" s="1"/>
  <c r="DN100" i="65"/>
  <c r="DO100" i="65" s="1"/>
  <c r="DL100" i="65"/>
  <c r="DM100" i="65" s="1"/>
  <c r="DJ100" i="65"/>
  <c r="DK100" i="65" s="1"/>
  <c r="DH100" i="65"/>
  <c r="DI100" i="65" s="1"/>
  <c r="DF100" i="65"/>
  <c r="DG100" i="65" s="1"/>
  <c r="DD100" i="65"/>
  <c r="DE100" i="65" s="1"/>
  <c r="DB100" i="65"/>
  <c r="DC100" i="65" s="1"/>
  <c r="CZ100" i="65"/>
  <c r="DA100" i="65" s="1"/>
  <c r="CX100" i="65"/>
  <c r="CY100" i="65" s="1"/>
  <c r="CV100" i="65"/>
  <c r="CW100" i="65" s="1"/>
  <c r="CT100" i="65"/>
  <c r="CU100" i="65" s="1"/>
  <c r="CR100" i="65"/>
  <c r="CS100" i="65" s="1"/>
  <c r="CP100" i="65"/>
  <c r="CQ100" i="65" s="1"/>
  <c r="CN100" i="65"/>
  <c r="CO100" i="65" s="1"/>
  <c r="CL100" i="65"/>
  <c r="CM100" i="65" s="1"/>
  <c r="CJ100" i="65"/>
  <c r="CK100" i="65" s="1"/>
  <c r="CH100" i="65"/>
  <c r="CI100" i="65" s="1"/>
  <c r="CF100" i="65"/>
  <c r="CG100" i="65" s="1"/>
  <c r="CD100" i="65"/>
  <c r="CE100" i="65" s="1"/>
  <c r="CB100" i="65"/>
  <c r="CC100" i="65" s="1"/>
  <c r="BZ100" i="65"/>
  <c r="CA100" i="65" s="1"/>
  <c r="BX100" i="65"/>
  <c r="BY100" i="65" s="1"/>
  <c r="BV100" i="65"/>
  <c r="BW100" i="65" s="1"/>
  <c r="BT100" i="65"/>
  <c r="BU100" i="65" s="1"/>
  <c r="BR100" i="65"/>
  <c r="BS100" i="65" s="1"/>
  <c r="BM100" i="65"/>
  <c r="AY100" i="65"/>
  <c r="AX100" i="65"/>
  <c r="AW100" i="65"/>
  <c r="AV100" i="65"/>
  <c r="AU100" i="65"/>
  <c r="EB99" i="65"/>
  <c r="EC99" i="65" s="1"/>
  <c r="DZ99" i="65"/>
  <c r="EA99" i="65" s="1"/>
  <c r="DX99" i="65"/>
  <c r="DY99" i="65" s="1"/>
  <c r="DV99" i="65"/>
  <c r="DW99" i="65" s="1"/>
  <c r="DT99" i="65"/>
  <c r="DU99" i="65" s="1"/>
  <c r="DR99" i="65"/>
  <c r="DS99" i="65" s="1"/>
  <c r="DP99" i="65"/>
  <c r="DQ99" i="65" s="1"/>
  <c r="DN99" i="65"/>
  <c r="DO99" i="65" s="1"/>
  <c r="DL99" i="65"/>
  <c r="DM99" i="65" s="1"/>
  <c r="DJ99" i="65"/>
  <c r="DK99" i="65" s="1"/>
  <c r="DH99" i="65"/>
  <c r="DI99" i="65" s="1"/>
  <c r="DF99" i="65"/>
  <c r="DG99" i="65" s="1"/>
  <c r="DD99" i="65"/>
  <c r="DE99" i="65" s="1"/>
  <c r="DB99" i="65"/>
  <c r="DC99" i="65" s="1"/>
  <c r="CZ99" i="65"/>
  <c r="DA99" i="65" s="1"/>
  <c r="CX99" i="65"/>
  <c r="CY99" i="65" s="1"/>
  <c r="CV99" i="65"/>
  <c r="CW99" i="65" s="1"/>
  <c r="CT99" i="65"/>
  <c r="CU99" i="65" s="1"/>
  <c r="CR99" i="65"/>
  <c r="CS99" i="65" s="1"/>
  <c r="CP99" i="65"/>
  <c r="CQ99" i="65" s="1"/>
  <c r="CN99" i="65"/>
  <c r="CO99" i="65" s="1"/>
  <c r="CL99" i="65"/>
  <c r="CM99" i="65" s="1"/>
  <c r="CJ99" i="65"/>
  <c r="CK99" i="65" s="1"/>
  <c r="CH99" i="65"/>
  <c r="CI99" i="65" s="1"/>
  <c r="CF99" i="65"/>
  <c r="CG99" i="65" s="1"/>
  <c r="CD99" i="65"/>
  <c r="CE99" i="65" s="1"/>
  <c r="CB99" i="65"/>
  <c r="CC99" i="65" s="1"/>
  <c r="BZ99" i="65"/>
  <c r="CA99" i="65" s="1"/>
  <c r="BX99" i="65"/>
  <c r="BY99" i="65" s="1"/>
  <c r="BV99" i="65"/>
  <c r="BW99" i="65" s="1"/>
  <c r="BT99" i="65"/>
  <c r="BU99" i="65" s="1"/>
  <c r="BR99" i="65"/>
  <c r="BS99" i="65" s="1"/>
  <c r="BM99" i="65"/>
  <c r="AY99" i="65"/>
  <c r="AX99" i="65"/>
  <c r="AW99" i="65"/>
  <c r="AV99" i="65"/>
  <c r="AU99" i="65"/>
  <c r="BC103" i="65" l="1"/>
  <c r="BD103" i="65"/>
  <c r="BF103" i="65"/>
  <c r="BC106" i="65"/>
  <c r="BD106" i="65"/>
  <c r="BF106" i="65"/>
  <c r="BH108" i="65"/>
  <c r="BG108" i="65"/>
  <c r="BC99" i="65"/>
  <c r="BF99" i="65"/>
  <c r="BD99" i="65"/>
  <c r="BG100" i="65"/>
  <c r="BH100" i="65"/>
  <c r="BG105" i="65"/>
  <c r="BH105" i="65"/>
  <c r="BC107" i="65"/>
  <c r="BD107" i="65"/>
  <c r="BF107" i="65"/>
  <c r="BF102" i="65"/>
  <c r="BC102" i="65"/>
  <c r="BD102" i="65"/>
  <c r="BG103" i="65"/>
  <c r="BH103" i="65"/>
  <c r="BD101" i="65"/>
  <c r="BF101" i="65"/>
  <c r="BC101" i="65"/>
  <c r="BF100" i="65"/>
  <c r="BC100" i="65"/>
  <c r="BD100" i="65"/>
  <c r="BG101" i="65"/>
  <c r="BH101" i="65"/>
  <c r="BC105" i="65"/>
  <c r="BF105" i="65"/>
  <c r="BD105" i="65"/>
  <c r="BG106" i="65"/>
  <c r="BH106" i="65"/>
  <c r="BD104" i="65"/>
  <c r="BF104" i="65"/>
  <c r="BC104" i="65"/>
  <c r="BG99" i="65"/>
  <c r="BH99" i="65"/>
  <c r="BG104" i="65"/>
  <c r="BH104" i="65"/>
  <c r="BF108" i="65"/>
  <c r="BC108" i="65"/>
  <c r="BD108" i="65"/>
  <c r="BG107" i="65"/>
  <c r="BH107" i="65"/>
  <c r="BG102" i="65"/>
  <c r="BH102" i="65"/>
  <c r="BK92" i="59"/>
  <c r="BO92" i="59" s="1"/>
  <c r="BR92" i="59" s="1"/>
  <c r="BK90" i="59"/>
  <c r="BO90" i="59" s="1"/>
  <c r="BR90" i="59" s="1"/>
  <c r="AT107" i="65"/>
  <c r="BE107" i="65" s="1"/>
  <c r="AT103" i="65"/>
  <c r="BE103" i="65" s="1"/>
  <c r="AT108" i="65"/>
  <c r="BE108" i="65" s="1"/>
  <c r="AT105" i="65"/>
  <c r="BE105" i="65" s="1"/>
  <c r="AT99" i="65"/>
  <c r="BE99" i="65" s="1"/>
  <c r="AT104" i="65"/>
  <c r="BE104" i="65" s="1"/>
  <c r="AT106" i="65"/>
  <c r="BE106" i="65" s="1"/>
  <c r="AT102" i="65"/>
  <c r="BE102" i="65" s="1"/>
  <c r="AT100" i="65"/>
  <c r="BE100" i="65" s="1"/>
  <c r="AT101" i="65"/>
  <c r="BE101" i="65" s="1"/>
  <c r="BJ107" i="65" l="1"/>
  <c r="BN107" i="65" s="1"/>
  <c r="BQ107" i="65" s="1"/>
  <c r="BJ106" i="65"/>
  <c r="BN106" i="65" s="1"/>
  <c r="BQ106" i="65" s="1"/>
  <c r="BJ105" i="65"/>
  <c r="BN105" i="65" s="1"/>
  <c r="BQ105" i="65" s="1"/>
  <c r="BJ104" i="65"/>
  <c r="BN104" i="65" s="1"/>
  <c r="BQ104" i="65" s="1"/>
  <c r="BJ101" i="65"/>
  <c r="BN101" i="65" s="1"/>
  <c r="BQ101" i="65" s="1"/>
  <c r="BJ103" i="65"/>
  <c r="BN103" i="65" s="1"/>
  <c r="BQ103" i="65" s="1"/>
  <c r="BJ102" i="65"/>
  <c r="BN102" i="65" s="1"/>
  <c r="BQ102" i="65" s="1"/>
  <c r="BJ100" i="65"/>
  <c r="BN100" i="65" s="1"/>
  <c r="BQ100" i="65" s="1"/>
  <c r="BJ108" i="65"/>
  <c r="BN108" i="65" s="1"/>
  <c r="BQ108" i="65" s="1"/>
  <c r="BJ99" i="65"/>
  <c r="BN99" i="65" s="1"/>
  <c r="BQ99" i="65" s="1"/>
  <c r="X131" i="65" l="1"/>
  <c r="EC89" i="59"/>
  <c r="ED89" i="59" s="1"/>
  <c r="EA89" i="59"/>
  <c r="EB89" i="59" s="1"/>
  <c r="DY89" i="59"/>
  <c r="DZ89" i="59" s="1"/>
  <c r="DW89" i="59"/>
  <c r="DX89" i="59" s="1"/>
  <c r="DU89" i="59"/>
  <c r="DV89" i="59" s="1"/>
  <c r="DS89" i="59"/>
  <c r="DT89" i="59" s="1"/>
  <c r="DQ89" i="59"/>
  <c r="DR89" i="59" s="1"/>
  <c r="DO89" i="59"/>
  <c r="DP89" i="59" s="1"/>
  <c r="DM89" i="59"/>
  <c r="DN89" i="59" s="1"/>
  <c r="DK89" i="59"/>
  <c r="DL89" i="59" s="1"/>
  <c r="DI89" i="59"/>
  <c r="DJ89" i="59" s="1"/>
  <c r="DG89" i="59"/>
  <c r="DH89" i="59" s="1"/>
  <c r="DE89" i="59"/>
  <c r="DF89" i="59" s="1"/>
  <c r="DC89" i="59"/>
  <c r="DD89" i="59" s="1"/>
  <c r="DA89" i="59"/>
  <c r="DB89" i="59" s="1"/>
  <c r="CY89" i="59"/>
  <c r="CZ89" i="59" s="1"/>
  <c r="CW89" i="59"/>
  <c r="CX89" i="59" s="1"/>
  <c r="CU89" i="59"/>
  <c r="CV89" i="59" s="1"/>
  <c r="CS89" i="59"/>
  <c r="CT89" i="59" s="1"/>
  <c r="CQ89" i="59"/>
  <c r="CR89" i="59" s="1"/>
  <c r="CO89" i="59"/>
  <c r="CP89" i="59" s="1"/>
  <c r="CM89" i="59"/>
  <c r="CN89" i="59" s="1"/>
  <c r="CK89" i="59"/>
  <c r="CL89" i="59" s="1"/>
  <c r="CI89" i="59"/>
  <c r="CJ89" i="59" s="1"/>
  <c r="CG89" i="59"/>
  <c r="CH89" i="59" s="1"/>
  <c r="CE89" i="59"/>
  <c r="CF89" i="59" s="1"/>
  <c r="CC89" i="59"/>
  <c r="CD89" i="59" s="1"/>
  <c r="CA89" i="59"/>
  <c r="CB89" i="59" s="1"/>
  <c r="BY89" i="59"/>
  <c r="BZ89" i="59" s="1"/>
  <c r="BW89" i="59"/>
  <c r="BX89" i="59" s="1"/>
  <c r="BU89" i="59"/>
  <c r="BV89" i="59" s="1"/>
  <c r="BS89" i="59"/>
  <c r="BT89" i="59" s="1"/>
  <c r="BN89" i="59"/>
  <c r="AY89" i="59"/>
  <c r="AX89" i="59"/>
  <c r="AW89" i="59"/>
  <c r="AV89" i="59"/>
  <c r="AU89" i="59"/>
  <c r="EC87" i="59"/>
  <c r="ED87" i="59" s="1"/>
  <c r="EA87" i="59"/>
  <c r="EB87" i="59" s="1"/>
  <c r="DY87" i="59"/>
  <c r="DZ87" i="59" s="1"/>
  <c r="DW87" i="59"/>
  <c r="DX87" i="59" s="1"/>
  <c r="DU87" i="59"/>
  <c r="DV87" i="59" s="1"/>
  <c r="DS87" i="59"/>
  <c r="DT87" i="59" s="1"/>
  <c r="DQ87" i="59"/>
  <c r="DR87" i="59" s="1"/>
  <c r="DO87" i="59"/>
  <c r="DP87" i="59" s="1"/>
  <c r="DM87" i="59"/>
  <c r="DN87" i="59" s="1"/>
  <c r="DK87" i="59"/>
  <c r="DL87" i="59" s="1"/>
  <c r="DI87" i="59"/>
  <c r="DJ87" i="59" s="1"/>
  <c r="DG87" i="59"/>
  <c r="DH87" i="59" s="1"/>
  <c r="DE87" i="59"/>
  <c r="DF87" i="59" s="1"/>
  <c r="DC87" i="59"/>
  <c r="DD87" i="59" s="1"/>
  <c r="DA87" i="59"/>
  <c r="DB87" i="59" s="1"/>
  <c r="CY87" i="59"/>
  <c r="CZ87" i="59" s="1"/>
  <c r="CW87" i="59"/>
  <c r="CX87" i="59" s="1"/>
  <c r="CU87" i="59"/>
  <c r="CV87" i="59" s="1"/>
  <c r="CS87" i="59"/>
  <c r="CT87" i="59" s="1"/>
  <c r="CQ87" i="59"/>
  <c r="CR87" i="59" s="1"/>
  <c r="CO87" i="59"/>
  <c r="CP87" i="59" s="1"/>
  <c r="CM87" i="59"/>
  <c r="CN87" i="59" s="1"/>
  <c r="CK87" i="59"/>
  <c r="CL87" i="59" s="1"/>
  <c r="CI87" i="59"/>
  <c r="CJ87" i="59" s="1"/>
  <c r="CG87" i="59"/>
  <c r="CH87" i="59" s="1"/>
  <c r="CE87" i="59"/>
  <c r="CF87" i="59" s="1"/>
  <c r="CC87" i="59"/>
  <c r="CD87" i="59" s="1"/>
  <c r="CA87" i="59"/>
  <c r="CB87" i="59" s="1"/>
  <c r="BY87" i="59"/>
  <c r="BZ87" i="59" s="1"/>
  <c r="BW87" i="59"/>
  <c r="BX87" i="59" s="1"/>
  <c r="BU87" i="59"/>
  <c r="BV87" i="59" s="1"/>
  <c r="BS87" i="59"/>
  <c r="BT87" i="59" s="1"/>
  <c r="BN87" i="59"/>
  <c r="AY87" i="59"/>
  <c r="AX87" i="59"/>
  <c r="AW87" i="59"/>
  <c r="AV87" i="59"/>
  <c r="AU87" i="59"/>
  <c r="EC86" i="59"/>
  <c r="ED86" i="59" s="1"/>
  <c r="EA86" i="59"/>
  <c r="EB86" i="59" s="1"/>
  <c r="DY86" i="59"/>
  <c r="DZ86" i="59" s="1"/>
  <c r="DW86" i="59"/>
  <c r="DX86" i="59" s="1"/>
  <c r="DU86" i="59"/>
  <c r="DV86" i="59" s="1"/>
  <c r="DS86" i="59"/>
  <c r="DT86" i="59" s="1"/>
  <c r="DQ86" i="59"/>
  <c r="DR86" i="59" s="1"/>
  <c r="DO86" i="59"/>
  <c r="DP86" i="59" s="1"/>
  <c r="DM86" i="59"/>
  <c r="DN86" i="59" s="1"/>
  <c r="DK86" i="59"/>
  <c r="DL86" i="59" s="1"/>
  <c r="DI86" i="59"/>
  <c r="DJ86" i="59" s="1"/>
  <c r="DG86" i="59"/>
  <c r="DH86" i="59" s="1"/>
  <c r="DE86" i="59"/>
  <c r="DF86" i="59" s="1"/>
  <c r="DC86" i="59"/>
  <c r="DD86" i="59" s="1"/>
  <c r="DA86" i="59"/>
  <c r="DB86" i="59" s="1"/>
  <c r="CY86" i="59"/>
  <c r="CZ86" i="59" s="1"/>
  <c r="CW86" i="59"/>
  <c r="CX86" i="59" s="1"/>
  <c r="CU86" i="59"/>
  <c r="CV86" i="59" s="1"/>
  <c r="CS86" i="59"/>
  <c r="CT86" i="59" s="1"/>
  <c r="CQ86" i="59"/>
  <c r="CR86" i="59" s="1"/>
  <c r="CO86" i="59"/>
  <c r="CP86" i="59" s="1"/>
  <c r="CM86" i="59"/>
  <c r="CN86" i="59" s="1"/>
  <c r="CK86" i="59"/>
  <c r="CL86" i="59" s="1"/>
  <c r="CI86" i="59"/>
  <c r="CJ86" i="59" s="1"/>
  <c r="CG86" i="59"/>
  <c r="CH86" i="59" s="1"/>
  <c r="CE86" i="59"/>
  <c r="CF86" i="59" s="1"/>
  <c r="CC86" i="59"/>
  <c r="CD86" i="59" s="1"/>
  <c r="CA86" i="59"/>
  <c r="CB86" i="59" s="1"/>
  <c r="BY86" i="59"/>
  <c r="BZ86" i="59" s="1"/>
  <c r="BW86" i="59"/>
  <c r="BX86" i="59" s="1"/>
  <c r="BU86" i="59"/>
  <c r="BV86" i="59" s="1"/>
  <c r="BS86" i="59"/>
  <c r="BT86" i="59" s="1"/>
  <c r="BN86" i="59"/>
  <c r="AY86" i="59"/>
  <c r="AX86" i="59"/>
  <c r="AW86" i="59"/>
  <c r="AV86" i="59"/>
  <c r="AU86" i="59"/>
  <c r="EC84" i="59"/>
  <c r="ED84" i="59" s="1"/>
  <c r="EA84" i="59"/>
  <c r="EB84" i="59" s="1"/>
  <c r="DY84" i="59"/>
  <c r="DZ84" i="59" s="1"/>
  <c r="DW84" i="59"/>
  <c r="DX84" i="59" s="1"/>
  <c r="DU84" i="59"/>
  <c r="DV84" i="59" s="1"/>
  <c r="DS84" i="59"/>
  <c r="DT84" i="59" s="1"/>
  <c r="DQ84" i="59"/>
  <c r="DR84" i="59" s="1"/>
  <c r="DO84" i="59"/>
  <c r="DP84" i="59" s="1"/>
  <c r="DM84" i="59"/>
  <c r="DN84" i="59" s="1"/>
  <c r="DK84" i="59"/>
  <c r="DL84" i="59" s="1"/>
  <c r="DI84" i="59"/>
  <c r="DJ84" i="59" s="1"/>
  <c r="DG84" i="59"/>
  <c r="DH84" i="59" s="1"/>
  <c r="DE84" i="59"/>
  <c r="DF84" i="59" s="1"/>
  <c r="DC84" i="59"/>
  <c r="DD84" i="59" s="1"/>
  <c r="DA84" i="59"/>
  <c r="DB84" i="59" s="1"/>
  <c r="CY84" i="59"/>
  <c r="CZ84" i="59" s="1"/>
  <c r="CW84" i="59"/>
  <c r="CX84" i="59" s="1"/>
  <c r="CU84" i="59"/>
  <c r="CV84" i="59" s="1"/>
  <c r="CS84" i="59"/>
  <c r="CT84" i="59" s="1"/>
  <c r="CQ84" i="59"/>
  <c r="CR84" i="59" s="1"/>
  <c r="CO84" i="59"/>
  <c r="CP84" i="59" s="1"/>
  <c r="CM84" i="59"/>
  <c r="CN84" i="59" s="1"/>
  <c r="CK84" i="59"/>
  <c r="CL84" i="59" s="1"/>
  <c r="CI84" i="59"/>
  <c r="CJ84" i="59" s="1"/>
  <c r="CG84" i="59"/>
  <c r="CH84" i="59" s="1"/>
  <c r="CE84" i="59"/>
  <c r="CF84" i="59" s="1"/>
  <c r="CC84" i="59"/>
  <c r="CD84" i="59" s="1"/>
  <c r="CA84" i="59"/>
  <c r="CB84" i="59" s="1"/>
  <c r="BY84" i="59"/>
  <c r="BZ84" i="59" s="1"/>
  <c r="BW84" i="59"/>
  <c r="BX84" i="59" s="1"/>
  <c r="BU84" i="59"/>
  <c r="BV84" i="59" s="1"/>
  <c r="BS84" i="59"/>
  <c r="BT84" i="59" s="1"/>
  <c r="BN84" i="59"/>
  <c r="AY84" i="59"/>
  <c r="AX84" i="59"/>
  <c r="AW84" i="59"/>
  <c r="AV84" i="59"/>
  <c r="AU84" i="59"/>
  <c r="EC85" i="59"/>
  <c r="ED85" i="59" s="1"/>
  <c r="EA85" i="59"/>
  <c r="EB85" i="59" s="1"/>
  <c r="DY85" i="59"/>
  <c r="DZ85" i="59" s="1"/>
  <c r="DW85" i="59"/>
  <c r="DX85" i="59" s="1"/>
  <c r="DU85" i="59"/>
  <c r="DV85" i="59" s="1"/>
  <c r="DS85" i="59"/>
  <c r="DT85" i="59" s="1"/>
  <c r="DQ85" i="59"/>
  <c r="DR85" i="59" s="1"/>
  <c r="DO85" i="59"/>
  <c r="DP85" i="59" s="1"/>
  <c r="DM85" i="59"/>
  <c r="DN85" i="59" s="1"/>
  <c r="DK85" i="59"/>
  <c r="DL85" i="59" s="1"/>
  <c r="DI85" i="59"/>
  <c r="DJ85" i="59" s="1"/>
  <c r="DG85" i="59"/>
  <c r="DH85" i="59" s="1"/>
  <c r="DE85" i="59"/>
  <c r="DF85" i="59" s="1"/>
  <c r="DC85" i="59"/>
  <c r="DD85" i="59" s="1"/>
  <c r="DA85" i="59"/>
  <c r="DB85" i="59" s="1"/>
  <c r="CY85" i="59"/>
  <c r="CZ85" i="59" s="1"/>
  <c r="CW85" i="59"/>
  <c r="CX85" i="59" s="1"/>
  <c r="CU85" i="59"/>
  <c r="CV85" i="59" s="1"/>
  <c r="CS85" i="59"/>
  <c r="CT85" i="59" s="1"/>
  <c r="CQ85" i="59"/>
  <c r="CR85" i="59" s="1"/>
  <c r="CO85" i="59"/>
  <c r="CP85" i="59" s="1"/>
  <c r="CM85" i="59"/>
  <c r="CN85" i="59" s="1"/>
  <c r="CK85" i="59"/>
  <c r="CL85" i="59" s="1"/>
  <c r="CI85" i="59"/>
  <c r="CJ85" i="59" s="1"/>
  <c r="CG85" i="59"/>
  <c r="CH85" i="59" s="1"/>
  <c r="CE85" i="59"/>
  <c r="CF85" i="59" s="1"/>
  <c r="CC85" i="59"/>
  <c r="CD85" i="59" s="1"/>
  <c r="CA85" i="59"/>
  <c r="CB85" i="59" s="1"/>
  <c r="BY85" i="59"/>
  <c r="BZ85" i="59" s="1"/>
  <c r="BW85" i="59"/>
  <c r="BX85" i="59" s="1"/>
  <c r="BU85" i="59"/>
  <c r="BV85" i="59" s="1"/>
  <c r="BS85" i="59"/>
  <c r="BT85" i="59" s="1"/>
  <c r="BN85" i="59"/>
  <c r="AY85" i="59"/>
  <c r="AX85" i="59"/>
  <c r="AW85" i="59"/>
  <c r="AV85" i="59"/>
  <c r="AU85" i="59"/>
  <c r="EC83" i="59"/>
  <c r="ED83" i="59" s="1"/>
  <c r="EA83" i="59"/>
  <c r="EB83" i="59" s="1"/>
  <c r="DY83" i="59"/>
  <c r="DZ83" i="59" s="1"/>
  <c r="DW83" i="59"/>
  <c r="DX83" i="59" s="1"/>
  <c r="DU83" i="59"/>
  <c r="DV83" i="59" s="1"/>
  <c r="DS83" i="59"/>
  <c r="DT83" i="59" s="1"/>
  <c r="DQ83" i="59"/>
  <c r="DR83" i="59" s="1"/>
  <c r="DO83" i="59"/>
  <c r="DP83" i="59" s="1"/>
  <c r="DM83" i="59"/>
  <c r="DN83" i="59" s="1"/>
  <c r="DK83" i="59"/>
  <c r="DL83" i="59" s="1"/>
  <c r="DI83" i="59"/>
  <c r="DJ83" i="59" s="1"/>
  <c r="DG83" i="59"/>
  <c r="DH83" i="59" s="1"/>
  <c r="DE83" i="59"/>
  <c r="DF83" i="59" s="1"/>
  <c r="DC83" i="59"/>
  <c r="DD83" i="59" s="1"/>
  <c r="DA83" i="59"/>
  <c r="DB83" i="59" s="1"/>
  <c r="CY83" i="59"/>
  <c r="CZ83" i="59" s="1"/>
  <c r="CW83" i="59"/>
  <c r="CX83" i="59" s="1"/>
  <c r="CU83" i="59"/>
  <c r="CV83" i="59" s="1"/>
  <c r="CS83" i="59"/>
  <c r="CT83" i="59" s="1"/>
  <c r="CQ83" i="59"/>
  <c r="CR83" i="59" s="1"/>
  <c r="CO83" i="59"/>
  <c r="CP83" i="59" s="1"/>
  <c r="CM83" i="59"/>
  <c r="CN83" i="59" s="1"/>
  <c r="CK83" i="59"/>
  <c r="CL83" i="59" s="1"/>
  <c r="CI83" i="59"/>
  <c r="CJ83" i="59" s="1"/>
  <c r="CG83" i="59"/>
  <c r="CH83" i="59" s="1"/>
  <c r="CE83" i="59"/>
  <c r="CF83" i="59" s="1"/>
  <c r="CC83" i="59"/>
  <c r="CD83" i="59" s="1"/>
  <c r="CA83" i="59"/>
  <c r="CB83" i="59" s="1"/>
  <c r="BY83" i="59"/>
  <c r="BZ83" i="59" s="1"/>
  <c r="BW83" i="59"/>
  <c r="BX83" i="59" s="1"/>
  <c r="BU83" i="59"/>
  <c r="BV83" i="59" s="1"/>
  <c r="BS83" i="59"/>
  <c r="BT83" i="59" s="1"/>
  <c r="BN83" i="59"/>
  <c r="AY83" i="59"/>
  <c r="AX83" i="59"/>
  <c r="AW83" i="59"/>
  <c r="AV83" i="59"/>
  <c r="AU83" i="59"/>
  <c r="EC82" i="59"/>
  <c r="ED82" i="59" s="1"/>
  <c r="EA82" i="59"/>
  <c r="EB82" i="59" s="1"/>
  <c r="DY82" i="59"/>
  <c r="DZ82" i="59" s="1"/>
  <c r="DW82" i="59"/>
  <c r="DX82" i="59" s="1"/>
  <c r="DU82" i="59"/>
  <c r="DV82" i="59" s="1"/>
  <c r="DS82" i="59"/>
  <c r="DT82" i="59" s="1"/>
  <c r="DQ82" i="59"/>
  <c r="DR82" i="59" s="1"/>
  <c r="DO82" i="59"/>
  <c r="DP82" i="59" s="1"/>
  <c r="DM82" i="59"/>
  <c r="DN82" i="59" s="1"/>
  <c r="DK82" i="59"/>
  <c r="DL82" i="59" s="1"/>
  <c r="DI82" i="59"/>
  <c r="DJ82" i="59" s="1"/>
  <c r="DG82" i="59"/>
  <c r="DH82" i="59" s="1"/>
  <c r="DE82" i="59"/>
  <c r="DF82" i="59" s="1"/>
  <c r="DC82" i="59"/>
  <c r="DD82" i="59" s="1"/>
  <c r="DA82" i="59"/>
  <c r="DB82" i="59" s="1"/>
  <c r="CY82" i="59"/>
  <c r="CZ82" i="59" s="1"/>
  <c r="CW82" i="59"/>
  <c r="CX82" i="59" s="1"/>
  <c r="CU82" i="59"/>
  <c r="CV82" i="59" s="1"/>
  <c r="CS82" i="59"/>
  <c r="CT82" i="59" s="1"/>
  <c r="CQ82" i="59"/>
  <c r="CR82" i="59" s="1"/>
  <c r="CO82" i="59"/>
  <c r="CP82" i="59" s="1"/>
  <c r="CM82" i="59"/>
  <c r="CN82" i="59" s="1"/>
  <c r="CK82" i="59"/>
  <c r="CL82" i="59" s="1"/>
  <c r="CI82" i="59"/>
  <c r="CJ82" i="59" s="1"/>
  <c r="CG82" i="59"/>
  <c r="CH82" i="59" s="1"/>
  <c r="CE82" i="59"/>
  <c r="CF82" i="59" s="1"/>
  <c r="CC82" i="59"/>
  <c r="CD82" i="59" s="1"/>
  <c r="CA82" i="59"/>
  <c r="CB82" i="59" s="1"/>
  <c r="BY82" i="59"/>
  <c r="BZ82" i="59" s="1"/>
  <c r="BW82" i="59"/>
  <c r="BX82" i="59" s="1"/>
  <c r="BU82" i="59"/>
  <c r="BV82" i="59" s="1"/>
  <c r="BS82" i="59"/>
  <c r="BT82" i="59" s="1"/>
  <c r="BN82" i="59"/>
  <c r="AY82" i="59"/>
  <c r="AX82" i="59"/>
  <c r="AW82" i="59"/>
  <c r="AV82" i="59"/>
  <c r="AU82" i="59"/>
  <c r="EC81" i="59"/>
  <c r="ED81" i="59" s="1"/>
  <c r="EA81" i="59"/>
  <c r="EB81" i="59" s="1"/>
  <c r="DY81" i="59"/>
  <c r="DZ81" i="59" s="1"/>
  <c r="DW81" i="59"/>
  <c r="DX81" i="59" s="1"/>
  <c r="DU81" i="59"/>
  <c r="DV81" i="59" s="1"/>
  <c r="DS81" i="59"/>
  <c r="DT81" i="59" s="1"/>
  <c r="DQ81" i="59"/>
  <c r="DR81" i="59" s="1"/>
  <c r="DO81" i="59"/>
  <c r="DP81" i="59" s="1"/>
  <c r="DM81" i="59"/>
  <c r="DN81" i="59" s="1"/>
  <c r="DK81" i="59"/>
  <c r="DL81" i="59" s="1"/>
  <c r="DI81" i="59"/>
  <c r="DJ81" i="59" s="1"/>
  <c r="DG81" i="59"/>
  <c r="DH81" i="59" s="1"/>
  <c r="DE81" i="59"/>
  <c r="DF81" i="59" s="1"/>
  <c r="DC81" i="59"/>
  <c r="DD81" i="59" s="1"/>
  <c r="DA81" i="59"/>
  <c r="DB81" i="59" s="1"/>
  <c r="CY81" i="59"/>
  <c r="CZ81" i="59" s="1"/>
  <c r="CW81" i="59"/>
  <c r="CX81" i="59" s="1"/>
  <c r="CU81" i="59"/>
  <c r="CV81" i="59" s="1"/>
  <c r="CS81" i="59"/>
  <c r="CT81" i="59" s="1"/>
  <c r="CQ81" i="59"/>
  <c r="CR81" i="59" s="1"/>
  <c r="CO81" i="59"/>
  <c r="CP81" i="59" s="1"/>
  <c r="CM81" i="59"/>
  <c r="CN81" i="59" s="1"/>
  <c r="CK81" i="59"/>
  <c r="CL81" i="59" s="1"/>
  <c r="CI81" i="59"/>
  <c r="CJ81" i="59" s="1"/>
  <c r="CG81" i="59"/>
  <c r="CH81" i="59" s="1"/>
  <c r="CE81" i="59"/>
  <c r="CF81" i="59" s="1"/>
  <c r="CC81" i="59"/>
  <c r="CD81" i="59" s="1"/>
  <c r="CA81" i="59"/>
  <c r="CB81" i="59" s="1"/>
  <c r="BY81" i="59"/>
  <c r="BZ81" i="59" s="1"/>
  <c r="BW81" i="59"/>
  <c r="BX81" i="59" s="1"/>
  <c r="BU81" i="59"/>
  <c r="BV81" i="59" s="1"/>
  <c r="BS81" i="59"/>
  <c r="BT81" i="59" s="1"/>
  <c r="BN81" i="59"/>
  <c r="AY81" i="59"/>
  <c r="AX81" i="59"/>
  <c r="AW81" i="59"/>
  <c r="AV81" i="59"/>
  <c r="AU81" i="59"/>
  <c r="EC80" i="59"/>
  <c r="ED80" i="59" s="1"/>
  <c r="EA80" i="59"/>
  <c r="EB80" i="59" s="1"/>
  <c r="DY80" i="59"/>
  <c r="DZ80" i="59" s="1"/>
  <c r="DW80" i="59"/>
  <c r="DX80" i="59" s="1"/>
  <c r="DU80" i="59"/>
  <c r="DV80" i="59" s="1"/>
  <c r="DS80" i="59"/>
  <c r="DT80" i="59" s="1"/>
  <c r="DQ80" i="59"/>
  <c r="DR80" i="59" s="1"/>
  <c r="DO80" i="59"/>
  <c r="DP80" i="59" s="1"/>
  <c r="DM80" i="59"/>
  <c r="DN80" i="59" s="1"/>
  <c r="DK80" i="59"/>
  <c r="DL80" i="59" s="1"/>
  <c r="DI80" i="59"/>
  <c r="DJ80" i="59" s="1"/>
  <c r="DG80" i="59"/>
  <c r="DH80" i="59" s="1"/>
  <c r="DE80" i="59"/>
  <c r="DF80" i="59" s="1"/>
  <c r="DC80" i="59"/>
  <c r="DD80" i="59" s="1"/>
  <c r="DA80" i="59"/>
  <c r="DB80" i="59" s="1"/>
  <c r="CY80" i="59"/>
  <c r="CZ80" i="59" s="1"/>
  <c r="CW80" i="59"/>
  <c r="CX80" i="59" s="1"/>
  <c r="CU80" i="59"/>
  <c r="CV80" i="59" s="1"/>
  <c r="CS80" i="59"/>
  <c r="CT80" i="59" s="1"/>
  <c r="CQ80" i="59"/>
  <c r="CR80" i="59" s="1"/>
  <c r="CO80" i="59"/>
  <c r="CP80" i="59" s="1"/>
  <c r="CM80" i="59"/>
  <c r="CN80" i="59" s="1"/>
  <c r="CK80" i="59"/>
  <c r="CL80" i="59" s="1"/>
  <c r="CI80" i="59"/>
  <c r="CJ80" i="59" s="1"/>
  <c r="CG80" i="59"/>
  <c r="CH80" i="59" s="1"/>
  <c r="CE80" i="59"/>
  <c r="CF80" i="59" s="1"/>
  <c r="CC80" i="59"/>
  <c r="CD80" i="59" s="1"/>
  <c r="CA80" i="59"/>
  <c r="CB80" i="59" s="1"/>
  <c r="BY80" i="59"/>
  <c r="BZ80" i="59" s="1"/>
  <c r="BW80" i="59"/>
  <c r="BX80" i="59" s="1"/>
  <c r="BU80" i="59"/>
  <c r="BV80" i="59" s="1"/>
  <c r="BS80" i="59"/>
  <c r="BT80" i="59" s="1"/>
  <c r="BN80" i="59"/>
  <c r="AY80" i="59"/>
  <c r="AX80" i="59"/>
  <c r="AW80" i="59"/>
  <c r="AV80" i="59"/>
  <c r="AU80" i="59"/>
  <c r="BG85" i="59" l="1"/>
  <c r="BH85" i="59"/>
  <c r="BG80" i="59"/>
  <c r="BH80" i="59"/>
  <c r="BG84" i="59"/>
  <c r="BH84" i="59"/>
  <c r="BC89" i="59"/>
  <c r="BD89" i="59"/>
  <c r="BF89" i="59"/>
  <c r="BC87" i="59"/>
  <c r="BD87" i="59"/>
  <c r="BF87" i="59"/>
  <c r="BC81" i="59"/>
  <c r="BD81" i="59"/>
  <c r="BF81" i="59"/>
  <c r="BG82" i="59"/>
  <c r="BH82" i="59"/>
  <c r="BC86" i="59"/>
  <c r="BF86" i="59"/>
  <c r="BD86" i="59"/>
  <c r="BH87" i="59"/>
  <c r="BG87" i="59"/>
  <c r="BF85" i="59"/>
  <c r="BC85" i="59"/>
  <c r="BD85" i="59"/>
  <c r="BC83" i="59"/>
  <c r="BD83" i="59"/>
  <c r="BF83" i="59"/>
  <c r="BD82" i="59"/>
  <c r="BC82" i="59"/>
  <c r="BF82" i="59"/>
  <c r="BG83" i="59"/>
  <c r="BH83" i="59"/>
  <c r="BG89" i="59"/>
  <c r="BH89" i="59"/>
  <c r="BC80" i="59"/>
  <c r="BF80" i="59"/>
  <c r="BD80" i="59"/>
  <c r="BG81" i="59"/>
  <c r="BH81" i="59"/>
  <c r="BF84" i="59"/>
  <c r="BC84" i="59"/>
  <c r="BD84" i="59"/>
  <c r="BG86" i="59"/>
  <c r="BH86" i="59"/>
  <c r="AT89" i="59"/>
  <c r="BE89" i="59" s="1"/>
  <c r="AT87" i="59"/>
  <c r="BE87" i="59" s="1"/>
  <c r="AT86" i="59"/>
  <c r="BE86" i="59" s="1"/>
  <c r="AT84" i="59"/>
  <c r="BE84" i="59" s="1"/>
  <c r="AT85" i="59"/>
  <c r="BE85" i="59" s="1"/>
  <c r="AT80" i="59"/>
  <c r="BE80" i="59" s="1"/>
  <c r="AT81" i="59"/>
  <c r="BE81" i="59" s="1"/>
  <c r="AT82" i="59"/>
  <c r="BE82" i="59" s="1"/>
  <c r="AT83" i="59"/>
  <c r="BE83" i="59" s="1"/>
  <c r="Y110" i="59"/>
  <c r="AJ30" i="61"/>
  <c r="AK30" i="61"/>
  <c r="AL30" i="61"/>
  <c r="AM30" i="61"/>
  <c r="BA30" i="61"/>
  <c r="BK89" i="59" l="1"/>
  <c r="BO89" i="59" s="1"/>
  <c r="BR89" i="59" s="1"/>
  <c r="BK87" i="59"/>
  <c r="BO87" i="59" s="1"/>
  <c r="BR87" i="59" s="1"/>
  <c r="BK86" i="59"/>
  <c r="BO86" i="59" s="1"/>
  <c r="BR86" i="59" s="1"/>
  <c r="BK84" i="59"/>
  <c r="BO84" i="59" s="1"/>
  <c r="BR84" i="59" s="1"/>
  <c r="BK82" i="59"/>
  <c r="BO82" i="59" s="1"/>
  <c r="BR82" i="59" s="1"/>
  <c r="BK81" i="59"/>
  <c r="BO81" i="59" s="1"/>
  <c r="BR81" i="59" s="1"/>
  <c r="BK85" i="59"/>
  <c r="BO85" i="59" s="1"/>
  <c r="BR85" i="59" s="1"/>
  <c r="BK83" i="59"/>
  <c r="BO83" i="59" s="1"/>
  <c r="BR83" i="59" s="1"/>
  <c r="BK80" i="59"/>
  <c r="BO80" i="59" s="1"/>
  <c r="BR80" i="59" s="1"/>
  <c r="AX30" i="61" l="1"/>
  <c r="BB30" i="61" s="1"/>
  <c r="BE30" i="61" s="1"/>
  <c r="AD54" i="61" l="1"/>
  <c r="AM131" i="65"/>
  <c r="EB129" i="65"/>
  <c r="EC129" i="65" s="1"/>
  <c r="DZ129" i="65"/>
  <c r="EA129" i="65" s="1"/>
  <c r="DX129" i="65"/>
  <c r="DY129" i="65" s="1"/>
  <c r="DV129" i="65"/>
  <c r="DW129" i="65" s="1"/>
  <c r="DT129" i="65"/>
  <c r="DU129" i="65" s="1"/>
  <c r="DR129" i="65"/>
  <c r="DS129" i="65" s="1"/>
  <c r="DP129" i="65"/>
  <c r="DQ129" i="65" s="1"/>
  <c r="DN129" i="65"/>
  <c r="DO129" i="65" s="1"/>
  <c r="DL129" i="65"/>
  <c r="DM129" i="65" s="1"/>
  <c r="DJ129" i="65"/>
  <c r="DK129" i="65" s="1"/>
  <c r="DH129" i="65"/>
  <c r="DI129" i="65" s="1"/>
  <c r="DF129" i="65"/>
  <c r="DG129" i="65" s="1"/>
  <c r="DD129" i="65"/>
  <c r="DE129" i="65" s="1"/>
  <c r="DB129" i="65"/>
  <c r="DC129" i="65" s="1"/>
  <c r="CZ129" i="65"/>
  <c r="DA129" i="65" s="1"/>
  <c r="CX129" i="65"/>
  <c r="CY129" i="65" s="1"/>
  <c r="CV129" i="65"/>
  <c r="CW129" i="65" s="1"/>
  <c r="CT129" i="65"/>
  <c r="CU129" i="65" s="1"/>
  <c r="CR129" i="65"/>
  <c r="CS129" i="65" s="1"/>
  <c r="CP129" i="65"/>
  <c r="CQ129" i="65" s="1"/>
  <c r="CN129" i="65"/>
  <c r="CO129" i="65" s="1"/>
  <c r="CL129" i="65"/>
  <c r="CM129" i="65" s="1"/>
  <c r="CJ129" i="65"/>
  <c r="CK129" i="65" s="1"/>
  <c r="CH129" i="65"/>
  <c r="CI129" i="65" s="1"/>
  <c r="CF129" i="65"/>
  <c r="CG129" i="65" s="1"/>
  <c r="CD129" i="65"/>
  <c r="CE129" i="65" s="1"/>
  <c r="CB129" i="65"/>
  <c r="CC129" i="65" s="1"/>
  <c r="BZ129" i="65"/>
  <c r="CA129" i="65" s="1"/>
  <c r="BX129" i="65"/>
  <c r="BY129" i="65" s="1"/>
  <c r="BV129" i="65"/>
  <c r="BW129" i="65" s="1"/>
  <c r="BT129" i="65"/>
  <c r="BU129" i="65" s="1"/>
  <c r="BR129" i="65"/>
  <c r="BS129" i="65" s="1"/>
  <c r="BM129" i="65"/>
  <c r="AY129" i="65"/>
  <c r="AX129" i="65"/>
  <c r="AW129" i="65"/>
  <c r="AV129" i="65"/>
  <c r="AU129" i="65"/>
  <c r="EB98" i="65"/>
  <c r="EC98" i="65" s="1"/>
  <c r="DZ98" i="65"/>
  <c r="EA98" i="65" s="1"/>
  <c r="DX98" i="65"/>
  <c r="DY98" i="65" s="1"/>
  <c r="DV98" i="65"/>
  <c r="DW98" i="65" s="1"/>
  <c r="DT98" i="65"/>
  <c r="DU98" i="65" s="1"/>
  <c r="DR98" i="65"/>
  <c r="DS98" i="65" s="1"/>
  <c r="DP98" i="65"/>
  <c r="DQ98" i="65" s="1"/>
  <c r="DN98" i="65"/>
  <c r="DO98" i="65" s="1"/>
  <c r="DL98" i="65"/>
  <c r="DM98" i="65" s="1"/>
  <c r="DJ98" i="65"/>
  <c r="DK98" i="65" s="1"/>
  <c r="DH98" i="65"/>
  <c r="DI98" i="65" s="1"/>
  <c r="DF98" i="65"/>
  <c r="DG98" i="65" s="1"/>
  <c r="DD98" i="65"/>
  <c r="DE98" i="65" s="1"/>
  <c r="DB98" i="65"/>
  <c r="DC98" i="65" s="1"/>
  <c r="CZ98" i="65"/>
  <c r="DA98" i="65" s="1"/>
  <c r="CX98" i="65"/>
  <c r="CY98" i="65" s="1"/>
  <c r="CV98" i="65"/>
  <c r="CW98" i="65" s="1"/>
  <c r="CT98" i="65"/>
  <c r="CU98" i="65" s="1"/>
  <c r="CR98" i="65"/>
  <c r="CS98" i="65" s="1"/>
  <c r="CP98" i="65"/>
  <c r="CQ98" i="65" s="1"/>
  <c r="CN98" i="65"/>
  <c r="CO98" i="65" s="1"/>
  <c r="CL98" i="65"/>
  <c r="CM98" i="65" s="1"/>
  <c r="CJ98" i="65"/>
  <c r="CK98" i="65" s="1"/>
  <c r="CH98" i="65"/>
  <c r="CI98" i="65" s="1"/>
  <c r="CF98" i="65"/>
  <c r="CG98" i="65" s="1"/>
  <c r="CD98" i="65"/>
  <c r="CE98" i="65" s="1"/>
  <c r="CB98" i="65"/>
  <c r="CC98" i="65" s="1"/>
  <c r="BZ98" i="65"/>
  <c r="CA98" i="65" s="1"/>
  <c r="BX98" i="65"/>
  <c r="BY98" i="65" s="1"/>
  <c r="BV98" i="65"/>
  <c r="BW98" i="65" s="1"/>
  <c r="BT98" i="65"/>
  <c r="BU98" i="65" s="1"/>
  <c r="BR98" i="65"/>
  <c r="BS98" i="65" s="1"/>
  <c r="BM98" i="65"/>
  <c r="AY98" i="65"/>
  <c r="AX98" i="65"/>
  <c r="AW98" i="65"/>
  <c r="AV98" i="65"/>
  <c r="AU98" i="65"/>
  <c r="EB97" i="65"/>
  <c r="EC97" i="65" s="1"/>
  <c r="DZ97" i="65"/>
  <c r="EA97" i="65" s="1"/>
  <c r="DX97" i="65"/>
  <c r="DY97" i="65" s="1"/>
  <c r="DV97" i="65"/>
  <c r="DW97" i="65" s="1"/>
  <c r="DT97" i="65"/>
  <c r="DU97" i="65" s="1"/>
  <c r="DR97" i="65"/>
  <c r="DS97" i="65" s="1"/>
  <c r="DP97" i="65"/>
  <c r="DQ97" i="65" s="1"/>
  <c r="DN97" i="65"/>
  <c r="DO97" i="65" s="1"/>
  <c r="DL97" i="65"/>
  <c r="DM97" i="65" s="1"/>
  <c r="DJ97" i="65"/>
  <c r="DK97" i="65" s="1"/>
  <c r="DH97" i="65"/>
  <c r="DI97" i="65" s="1"/>
  <c r="DF97" i="65"/>
  <c r="DG97" i="65" s="1"/>
  <c r="DD97" i="65"/>
  <c r="DE97" i="65" s="1"/>
  <c r="DB97" i="65"/>
  <c r="DC97" i="65" s="1"/>
  <c r="CZ97" i="65"/>
  <c r="DA97" i="65" s="1"/>
  <c r="CX97" i="65"/>
  <c r="CY97" i="65" s="1"/>
  <c r="CV97" i="65"/>
  <c r="CW97" i="65" s="1"/>
  <c r="CT97" i="65"/>
  <c r="CU97" i="65" s="1"/>
  <c r="CR97" i="65"/>
  <c r="CS97" i="65" s="1"/>
  <c r="CP97" i="65"/>
  <c r="CQ97" i="65" s="1"/>
  <c r="CN97" i="65"/>
  <c r="CO97" i="65" s="1"/>
  <c r="CL97" i="65"/>
  <c r="CM97" i="65" s="1"/>
  <c r="CJ97" i="65"/>
  <c r="CK97" i="65" s="1"/>
  <c r="CH97" i="65"/>
  <c r="CI97" i="65" s="1"/>
  <c r="CF97" i="65"/>
  <c r="CG97" i="65" s="1"/>
  <c r="CD97" i="65"/>
  <c r="CE97" i="65" s="1"/>
  <c r="CB97" i="65"/>
  <c r="CC97" i="65" s="1"/>
  <c r="BZ97" i="65"/>
  <c r="CA97" i="65" s="1"/>
  <c r="BX97" i="65"/>
  <c r="BY97" i="65" s="1"/>
  <c r="BV97" i="65"/>
  <c r="BW97" i="65" s="1"/>
  <c r="BT97" i="65"/>
  <c r="BU97" i="65" s="1"/>
  <c r="BR97" i="65"/>
  <c r="BS97" i="65" s="1"/>
  <c r="BM97" i="65"/>
  <c r="AY97" i="65"/>
  <c r="AX97" i="65"/>
  <c r="AW97" i="65"/>
  <c r="AV97" i="65"/>
  <c r="AU97" i="65"/>
  <c r="EB96" i="65"/>
  <c r="EC96" i="65" s="1"/>
  <c r="DZ96" i="65"/>
  <c r="EA96" i="65" s="1"/>
  <c r="DX96" i="65"/>
  <c r="DY96" i="65" s="1"/>
  <c r="DV96" i="65"/>
  <c r="DW96" i="65" s="1"/>
  <c r="DT96" i="65"/>
  <c r="DU96" i="65" s="1"/>
  <c r="DR96" i="65"/>
  <c r="DS96" i="65" s="1"/>
  <c r="DP96" i="65"/>
  <c r="DQ96" i="65" s="1"/>
  <c r="DN96" i="65"/>
  <c r="DO96" i="65" s="1"/>
  <c r="DL96" i="65"/>
  <c r="DM96" i="65" s="1"/>
  <c r="DJ96" i="65"/>
  <c r="DK96" i="65" s="1"/>
  <c r="DH96" i="65"/>
  <c r="DI96" i="65" s="1"/>
  <c r="DF96" i="65"/>
  <c r="DG96" i="65" s="1"/>
  <c r="DD96" i="65"/>
  <c r="DE96" i="65" s="1"/>
  <c r="DB96" i="65"/>
  <c r="DC96" i="65" s="1"/>
  <c r="CZ96" i="65"/>
  <c r="DA96" i="65" s="1"/>
  <c r="CX96" i="65"/>
  <c r="CY96" i="65" s="1"/>
  <c r="CV96" i="65"/>
  <c r="CW96" i="65" s="1"/>
  <c r="CT96" i="65"/>
  <c r="CU96" i="65" s="1"/>
  <c r="CR96" i="65"/>
  <c r="CS96" i="65" s="1"/>
  <c r="CP96" i="65"/>
  <c r="CQ96" i="65" s="1"/>
  <c r="CN96" i="65"/>
  <c r="CO96" i="65" s="1"/>
  <c r="CL96" i="65"/>
  <c r="CM96" i="65" s="1"/>
  <c r="CJ96" i="65"/>
  <c r="CK96" i="65" s="1"/>
  <c r="CH96" i="65"/>
  <c r="CI96" i="65" s="1"/>
  <c r="CF96" i="65"/>
  <c r="CG96" i="65" s="1"/>
  <c r="CD96" i="65"/>
  <c r="CE96" i="65" s="1"/>
  <c r="CB96" i="65"/>
  <c r="CC96" i="65" s="1"/>
  <c r="BZ96" i="65"/>
  <c r="CA96" i="65" s="1"/>
  <c r="BX96" i="65"/>
  <c r="BY96" i="65" s="1"/>
  <c r="BV96" i="65"/>
  <c r="BW96" i="65" s="1"/>
  <c r="BT96" i="65"/>
  <c r="BU96" i="65" s="1"/>
  <c r="BR96" i="65"/>
  <c r="BS96" i="65" s="1"/>
  <c r="BM96" i="65"/>
  <c r="AY96" i="65"/>
  <c r="AX96" i="65"/>
  <c r="AW96" i="65"/>
  <c r="AV96" i="65"/>
  <c r="AU96" i="65"/>
  <c r="EB95" i="65"/>
  <c r="EC95" i="65" s="1"/>
  <c r="DZ95" i="65"/>
  <c r="EA95" i="65" s="1"/>
  <c r="DX95" i="65"/>
  <c r="DY95" i="65" s="1"/>
  <c r="DV95" i="65"/>
  <c r="DW95" i="65" s="1"/>
  <c r="DT95" i="65"/>
  <c r="DU95" i="65" s="1"/>
  <c r="DR95" i="65"/>
  <c r="DS95" i="65" s="1"/>
  <c r="DP95" i="65"/>
  <c r="DQ95" i="65" s="1"/>
  <c r="DN95" i="65"/>
  <c r="DO95" i="65" s="1"/>
  <c r="DL95" i="65"/>
  <c r="DM95" i="65" s="1"/>
  <c r="DJ95" i="65"/>
  <c r="DK95" i="65" s="1"/>
  <c r="DH95" i="65"/>
  <c r="DI95" i="65" s="1"/>
  <c r="DF95" i="65"/>
  <c r="DG95" i="65" s="1"/>
  <c r="DD95" i="65"/>
  <c r="DE95" i="65" s="1"/>
  <c r="DB95" i="65"/>
  <c r="DC95" i="65" s="1"/>
  <c r="CZ95" i="65"/>
  <c r="DA95" i="65" s="1"/>
  <c r="CX95" i="65"/>
  <c r="CY95" i="65" s="1"/>
  <c r="CV95" i="65"/>
  <c r="CW95" i="65" s="1"/>
  <c r="CT95" i="65"/>
  <c r="CU95" i="65" s="1"/>
  <c r="CR95" i="65"/>
  <c r="CS95" i="65" s="1"/>
  <c r="CP95" i="65"/>
  <c r="CQ95" i="65" s="1"/>
  <c r="CN95" i="65"/>
  <c r="CO95" i="65" s="1"/>
  <c r="CL95" i="65"/>
  <c r="CM95" i="65" s="1"/>
  <c r="CJ95" i="65"/>
  <c r="CK95" i="65" s="1"/>
  <c r="CH95" i="65"/>
  <c r="CI95" i="65" s="1"/>
  <c r="CF95" i="65"/>
  <c r="CG95" i="65" s="1"/>
  <c r="CD95" i="65"/>
  <c r="CE95" i="65" s="1"/>
  <c r="CB95" i="65"/>
  <c r="CC95" i="65" s="1"/>
  <c r="BZ95" i="65"/>
  <c r="CA95" i="65" s="1"/>
  <c r="BX95" i="65"/>
  <c r="BY95" i="65" s="1"/>
  <c r="BV95" i="65"/>
  <c r="BW95" i="65" s="1"/>
  <c r="BT95" i="65"/>
  <c r="BU95" i="65" s="1"/>
  <c r="BR95" i="65"/>
  <c r="BS95" i="65" s="1"/>
  <c r="BM95" i="65"/>
  <c r="AY95" i="65"/>
  <c r="AX95" i="65"/>
  <c r="AW95" i="65"/>
  <c r="AV95" i="65"/>
  <c r="AU95" i="65"/>
  <c r="EB94" i="65"/>
  <c r="EC94" i="65" s="1"/>
  <c r="DZ94" i="65"/>
  <c r="EA94" i="65" s="1"/>
  <c r="DX94" i="65"/>
  <c r="DY94" i="65" s="1"/>
  <c r="DV94" i="65"/>
  <c r="DW94" i="65" s="1"/>
  <c r="DT94" i="65"/>
  <c r="DU94" i="65" s="1"/>
  <c r="DR94" i="65"/>
  <c r="DS94" i="65" s="1"/>
  <c r="DP94" i="65"/>
  <c r="DQ94" i="65" s="1"/>
  <c r="DN94" i="65"/>
  <c r="DO94" i="65" s="1"/>
  <c r="DL94" i="65"/>
  <c r="DM94" i="65" s="1"/>
  <c r="DJ94" i="65"/>
  <c r="DK94" i="65" s="1"/>
  <c r="DH94" i="65"/>
  <c r="DI94" i="65" s="1"/>
  <c r="DF94" i="65"/>
  <c r="DG94" i="65" s="1"/>
  <c r="DD94" i="65"/>
  <c r="DE94" i="65" s="1"/>
  <c r="DB94" i="65"/>
  <c r="DC94" i="65" s="1"/>
  <c r="CZ94" i="65"/>
  <c r="DA94" i="65" s="1"/>
  <c r="CX94" i="65"/>
  <c r="CY94" i="65" s="1"/>
  <c r="CV94" i="65"/>
  <c r="CW94" i="65" s="1"/>
  <c r="CT94" i="65"/>
  <c r="CU94" i="65" s="1"/>
  <c r="CR94" i="65"/>
  <c r="CS94" i="65" s="1"/>
  <c r="CP94" i="65"/>
  <c r="CQ94" i="65" s="1"/>
  <c r="CN94" i="65"/>
  <c r="CO94" i="65" s="1"/>
  <c r="CL94" i="65"/>
  <c r="CM94" i="65" s="1"/>
  <c r="CJ94" i="65"/>
  <c r="CK94" i="65" s="1"/>
  <c r="CH94" i="65"/>
  <c r="CI94" i="65" s="1"/>
  <c r="CF94" i="65"/>
  <c r="CG94" i="65" s="1"/>
  <c r="CD94" i="65"/>
  <c r="CE94" i="65" s="1"/>
  <c r="CB94" i="65"/>
  <c r="CC94" i="65" s="1"/>
  <c r="BZ94" i="65"/>
  <c r="CA94" i="65" s="1"/>
  <c r="BX94" i="65"/>
  <c r="BY94" i="65" s="1"/>
  <c r="BV94" i="65"/>
  <c r="BW94" i="65" s="1"/>
  <c r="BT94" i="65"/>
  <c r="BU94" i="65" s="1"/>
  <c r="BR94" i="65"/>
  <c r="BS94" i="65" s="1"/>
  <c r="BM94" i="65"/>
  <c r="AY94" i="65"/>
  <c r="AX94" i="65"/>
  <c r="AW94" i="65"/>
  <c r="AV94" i="65"/>
  <c r="AU94" i="65"/>
  <c r="EB128" i="65"/>
  <c r="EC128" i="65" s="1"/>
  <c r="DZ128" i="65"/>
  <c r="EA128" i="65" s="1"/>
  <c r="DX128" i="65"/>
  <c r="DY128" i="65" s="1"/>
  <c r="DV128" i="65"/>
  <c r="DW128" i="65" s="1"/>
  <c r="DT128" i="65"/>
  <c r="DU128" i="65" s="1"/>
  <c r="DR128" i="65"/>
  <c r="DS128" i="65" s="1"/>
  <c r="DP128" i="65"/>
  <c r="DQ128" i="65" s="1"/>
  <c r="DN128" i="65"/>
  <c r="DO128" i="65" s="1"/>
  <c r="DL128" i="65"/>
  <c r="DM128" i="65" s="1"/>
  <c r="DJ128" i="65"/>
  <c r="DK128" i="65" s="1"/>
  <c r="DH128" i="65"/>
  <c r="DI128" i="65" s="1"/>
  <c r="DF128" i="65"/>
  <c r="DG128" i="65" s="1"/>
  <c r="DD128" i="65"/>
  <c r="DE128" i="65" s="1"/>
  <c r="DB128" i="65"/>
  <c r="DC128" i="65" s="1"/>
  <c r="CZ128" i="65"/>
  <c r="DA128" i="65" s="1"/>
  <c r="CX128" i="65"/>
  <c r="CY128" i="65" s="1"/>
  <c r="CV128" i="65"/>
  <c r="CW128" i="65" s="1"/>
  <c r="CT128" i="65"/>
  <c r="CU128" i="65" s="1"/>
  <c r="CR128" i="65"/>
  <c r="CS128" i="65" s="1"/>
  <c r="CP128" i="65"/>
  <c r="CQ128" i="65" s="1"/>
  <c r="CN128" i="65"/>
  <c r="CO128" i="65" s="1"/>
  <c r="CL128" i="65"/>
  <c r="CM128" i="65" s="1"/>
  <c r="CJ128" i="65"/>
  <c r="CK128" i="65" s="1"/>
  <c r="CH128" i="65"/>
  <c r="CI128" i="65" s="1"/>
  <c r="CF128" i="65"/>
  <c r="CG128" i="65" s="1"/>
  <c r="CD128" i="65"/>
  <c r="CE128" i="65" s="1"/>
  <c r="CB128" i="65"/>
  <c r="CC128" i="65" s="1"/>
  <c r="BZ128" i="65"/>
  <c r="CA128" i="65" s="1"/>
  <c r="BX128" i="65"/>
  <c r="BY128" i="65" s="1"/>
  <c r="BV128" i="65"/>
  <c r="BW128" i="65" s="1"/>
  <c r="BT128" i="65"/>
  <c r="BU128" i="65" s="1"/>
  <c r="BR128" i="65"/>
  <c r="BS128" i="65" s="1"/>
  <c r="BM128" i="65"/>
  <c r="AY128" i="65"/>
  <c r="AX128" i="65"/>
  <c r="AW128" i="65"/>
  <c r="AV128" i="65"/>
  <c r="AU128" i="65"/>
  <c r="EB93" i="65"/>
  <c r="EC93" i="65" s="1"/>
  <c r="DZ93" i="65"/>
  <c r="EA93" i="65" s="1"/>
  <c r="DX93" i="65"/>
  <c r="DY93" i="65" s="1"/>
  <c r="DV93" i="65"/>
  <c r="DW93" i="65" s="1"/>
  <c r="DT93" i="65"/>
  <c r="DU93" i="65" s="1"/>
  <c r="DR93" i="65"/>
  <c r="DS93" i="65" s="1"/>
  <c r="DP93" i="65"/>
  <c r="DQ93" i="65" s="1"/>
  <c r="DN93" i="65"/>
  <c r="DO93" i="65" s="1"/>
  <c r="DL93" i="65"/>
  <c r="DM93" i="65" s="1"/>
  <c r="DJ93" i="65"/>
  <c r="DK93" i="65" s="1"/>
  <c r="DH93" i="65"/>
  <c r="DI93" i="65" s="1"/>
  <c r="DF93" i="65"/>
  <c r="DG93" i="65" s="1"/>
  <c r="DD93" i="65"/>
  <c r="DE93" i="65" s="1"/>
  <c r="DB93" i="65"/>
  <c r="DC93" i="65" s="1"/>
  <c r="CZ93" i="65"/>
  <c r="DA93" i="65" s="1"/>
  <c r="CX93" i="65"/>
  <c r="CY93" i="65" s="1"/>
  <c r="CV93" i="65"/>
  <c r="CW93" i="65" s="1"/>
  <c r="CT93" i="65"/>
  <c r="CU93" i="65" s="1"/>
  <c r="CR93" i="65"/>
  <c r="CS93" i="65" s="1"/>
  <c r="CP93" i="65"/>
  <c r="CQ93" i="65" s="1"/>
  <c r="CN93" i="65"/>
  <c r="CO93" i="65" s="1"/>
  <c r="CL93" i="65"/>
  <c r="CM93" i="65" s="1"/>
  <c r="CJ93" i="65"/>
  <c r="CK93" i="65" s="1"/>
  <c r="CH93" i="65"/>
  <c r="CI93" i="65" s="1"/>
  <c r="CF93" i="65"/>
  <c r="CG93" i="65" s="1"/>
  <c r="CD93" i="65"/>
  <c r="CE93" i="65" s="1"/>
  <c r="CB93" i="65"/>
  <c r="CC93" i="65" s="1"/>
  <c r="BZ93" i="65"/>
  <c r="CA93" i="65" s="1"/>
  <c r="BX93" i="65"/>
  <c r="BY93" i="65" s="1"/>
  <c r="BV93" i="65"/>
  <c r="BW93" i="65" s="1"/>
  <c r="BT93" i="65"/>
  <c r="BU93" i="65" s="1"/>
  <c r="BR93" i="65"/>
  <c r="BS93" i="65" s="1"/>
  <c r="BM93" i="65"/>
  <c r="AY93" i="65"/>
  <c r="AX93" i="65"/>
  <c r="AW93" i="65"/>
  <c r="AV93" i="65"/>
  <c r="AU93" i="65"/>
  <c r="EB92" i="65"/>
  <c r="EC92" i="65" s="1"/>
  <c r="DZ92" i="65"/>
  <c r="EA92" i="65" s="1"/>
  <c r="DX92" i="65"/>
  <c r="DY92" i="65" s="1"/>
  <c r="DV92" i="65"/>
  <c r="DW92" i="65" s="1"/>
  <c r="DT92" i="65"/>
  <c r="DU92" i="65" s="1"/>
  <c r="DR92" i="65"/>
  <c r="DS92" i="65" s="1"/>
  <c r="DP92" i="65"/>
  <c r="DQ92" i="65" s="1"/>
  <c r="DN92" i="65"/>
  <c r="DO92" i="65" s="1"/>
  <c r="DL92" i="65"/>
  <c r="DM92" i="65" s="1"/>
  <c r="DJ92" i="65"/>
  <c r="DK92" i="65" s="1"/>
  <c r="DH92" i="65"/>
  <c r="DI92" i="65" s="1"/>
  <c r="DF92" i="65"/>
  <c r="DG92" i="65" s="1"/>
  <c r="DD92" i="65"/>
  <c r="DE92" i="65" s="1"/>
  <c r="DB92" i="65"/>
  <c r="DC92" i="65" s="1"/>
  <c r="CZ92" i="65"/>
  <c r="DA92" i="65" s="1"/>
  <c r="CX92" i="65"/>
  <c r="CY92" i="65" s="1"/>
  <c r="CV92" i="65"/>
  <c r="CW92" i="65" s="1"/>
  <c r="CT92" i="65"/>
  <c r="CU92" i="65" s="1"/>
  <c r="CR92" i="65"/>
  <c r="CS92" i="65" s="1"/>
  <c r="CP92" i="65"/>
  <c r="CQ92" i="65" s="1"/>
  <c r="CN92" i="65"/>
  <c r="CO92" i="65" s="1"/>
  <c r="CL92" i="65"/>
  <c r="CM92" i="65" s="1"/>
  <c r="CJ92" i="65"/>
  <c r="CK92" i="65" s="1"/>
  <c r="CH92" i="65"/>
  <c r="CI92" i="65" s="1"/>
  <c r="CF92" i="65"/>
  <c r="CG92" i="65" s="1"/>
  <c r="CD92" i="65"/>
  <c r="CE92" i="65" s="1"/>
  <c r="CB92" i="65"/>
  <c r="CC92" i="65" s="1"/>
  <c r="BZ92" i="65"/>
  <c r="CA92" i="65" s="1"/>
  <c r="BX92" i="65"/>
  <c r="BY92" i="65" s="1"/>
  <c r="BV92" i="65"/>
  <c r="BW92" i="65" s="1"/>
  <c r="BT92" i="65"/>
  <c r="BU92" i="65" s="1"/>
  <c r="BR92" i="65"/>
  <c r="BS92" i="65" s="1"/>
  <c r="BM92" i="65"/>
  <c r="AY92" i="65"/>
  <c r="AX92" i="65"/>
  <c r="AW92" i="65"/>
  <c r="AV92" i="65"/>
  <c r="AU92" i="65"/>
  <c r="EB123" i="65"/>
  <c r="EC123" i="65" s="1"/>
  <c r="DZ123" i="65"/>
  <c r="EA123" i="65" s="1"/>
  <c r="DX123" i="65"/>
  <c r="DY123" i="65" s="1"/>
  <c r="DV123" i="65"/>
  <c r="DW123" i="65" s="1"/>
  <c r="DT123" i="65"/>
  <c r="DU123" i="65" s="1"/>
  <c r="DR123" i="65"/>
  <c r="DS123" i="65" s="1"/>
  <c r="DP123" i="65"/>
  <c r="DQ123" i="65" s="1"/>
  <c r="DN123" i="65"/>
  <c r="DO123" i="65" s="1"/>
  <c r="DL123" i="65"/>
  <c r="DM123" i="65" s="1"/>
  <c r="DJ123" i="65"/>
  <c r="DK123" i="65" s="1"/>
  <c r="DH123" i="65"/>
  <c r="DI123" i="65" s="1"/>
  <c r="DF123" i="65"/>
  <c r="DG123" i="65" s="1"/>
  <c r="DD123" i="65"/>
  <c r="DE123" i="65" s="1"/>
  <c r="DB123" i="65"/>
  <c r="DC123" i="65" s="1"/>
  <c r="CZ123" i="65"/>
  <c r="DA123" i="65" s="1"/>
  <c r="CX123" i="65"/>
  <c r="CY123" i="65" s="1"/>
  <c r="CV123" i="65"/>
  <c r="CW123" i="65" s="1"/>
  <c r="CT123" i="65"/>
  <c r="CU123" i="65" s="1"/>
  <c r="CR123" i="65"/>
  <c r="CS123" i="65" s="1"/>
  <c r="CP123" i="65"/>
  <c r="CQ123" i="65" s="1"/>
  <c r="CN123" i="65"/>
  <c r="CO123" i="65" s="1"/>
  <c r="CL123" i="65"/>
  <c r="CM123" i="65" s="1"/>
  <c r="CJ123" i="65"/>
  <c r="CK123" i="65" s="1"/>
  <c r="CH123" i="65"/>
  <c r="CI123" i="65" s="1"/>
  <c r="CF123" i="65"/>
  <c r="CG123" i="65" s="1"/>
  <c r="CD123" i="65"/>
  <c r="CE123" i="65" s="1"/>
  <c r="CB123" i="65"/>
  <c r="CC123" i="65" s="1"/>
  <c r="BZ123" i="65"/>
  <c r="CA123" i="65" s="1"/>
  <c r="BX123" i="65"/>
  <c r="BY123" i="65" s="1"/>
  <c r="BV123" i="65"/>
  <c r="BW123" i="65" s="1"/>
  <c r="BT123" i="65"/>
  <c r="BU123" i="65" s="1"/>
  <c r="BR123" i="65"/>
  <c r="BS123" i="65" s="1"/>
  <c r="BM123" i="65"/>
  <c r="AY123" i="65"/>
  <c r="AX123" i="65"/>
  <c r="AW123" i="65"/>
  <c r="AV123" i="65"/>
  <c r="AU123" i="65"/>
  <c r="EB91" i="65"/>
  <c r="EC91" i="65" s="1"/>
  <c r="DZ91" i="65"/>
  <c r="EA91" i="65" s="1"/>
  <c r="DX91" i="65"/>
  <c r="DY91" i="65" s="1"/>
  <c r="DV91" i="65"/>
  <c r="DW91" i="65" s="1"/>
  <c r="DT91" i="65"/>
  <c r="DU91" i="65" s="1"/>
  <c r="DR91" i="65"/>
  <c r="DS91" i="65" s="1"/>
  <c r="DP91" i="65"/>
  <c r="DQ91" i="65" s="1"/>
  <c r="DN91" i="65"/>
  <c r="DO91" i="65" s="1"/>
  <c r="DL91" i="65"/>
  <c r="DM91" i="65" s="1"/>
  <c r="DJ91" i="65"/>
  <c r="DK91" i="65" s="1"/>
  <c r="DH91" i="65"/>
  <c r="DI91" i="65" s="1"/>
  <c r="DF91" i="65"/>
  <c r="DG91" i="65" s="1"/>
  <c r="DD91" i="65"/>
  <c r="DE91" i="65" s="1"/>
  <c r="DB91" i="65"/>
  <c r="DC91" i="65" s="1"/>
  <c r="CZ91" i="65"/>
  <c r="DA91" i="65" s="1"/>
  <c r="CX91" i="65"/>
  <c r="CY91" i="65" s="1"/>
  <c r="CV91" i="65"/>
  <c r="CW91" i="65" s="1"/>
  <c r="CT91" i="65"/>
  <c r="CU91" i="65" s="1"/>
  <c r="CR91" i="65"/>
  <c r="CS91" i="65" s="1"/>
  <c r="CP91" i="65"/>
  <c r="CQ91" i="65" s="1"/>
  <c r="CN91" i="65"/>
  <c r="CO91" i="65" s="1"/>
  <c r="CL91" i="65"/>
  <c r="CM91" i="65" s="1"/>
  <c r="CJ91" i="65"/>
  <c r="CK91" i="65" s="1"/>
  <c r="CH91" i="65"/>
  <c r="CI91" i="65" s="1"/>
  <c r="CF91" i="65"/>
  <c r="CG91" i="65" s="1"/>
  <c r="CD91" i="65"/>
  <c r="CE91" i="65" s="1"/>
  <c r="CB91" i="65"/>
  <c r="CC91" i="65" s="1"/>
  <c r="BZ91" i="65"/>
  <c r="CA91" i="65" s="1"/>
  <c r="BX91" i="65"/>
  <c r="BY91" i="65" s="1"/>
  <c r="BV91" i="65"/>
  <c r="BW91" i="65" s="1"/>
  <c r="BT91" i="65"/>
  <c r="BU91" i="65" s="1"/>
  <c r="BR91" i="65"/>
  <c r="BS91" i="65" s="1"/>
  <c r="BM91" i="65"/>
  <c r="AY91" i="65"/>
  <c r="AX91" i="65"/>
  <c r="AW91" i="65"/>
  <c r="AV91" i="65"/>
  <c r="AU91" i="65"/>
  <c r="BH92" i="65" l="1"/>
  <c r="BG92" i="65"/>
  <c r="BD94" i="65"/>
  <c r="BF94" i="65"/>
  <c r="BC94" i="65"/>
  <c r="BH95" i="65"/>
  <c r="BG95" i="65"/>
  <c r="BG91" i="65"/>
  <c r="BH91" i="65"/>
  <c r="BC97" i="65"/>
  <c r="BD97" i="65"/>
  <c r="BF97" i="65"/>
  <c r="BG98" i="65"/>
  <c r="BH98" i="65"/>
  <c r="BF123" i="65"/>
  <c r="BD123" i="65"/>
  <c r="BC123" i="65"/>
  <c r="BH96" i="65"/>
  <c r="BG96" i="65"/>
  <c r="BG123" i="65"/>
  <c r="BH123" i="65"/>
  <c r="BC93" i="65"/>
  <c r="BD93" i="65"/>
  <c r="BF93" i="65"/>
  <c r="BD91" i="65"/>
  <c r="BF91" i="65"/>
  <c r="BC91" i="65"/>
  <c r="BG94" i="65"/>
  <c r="BH94" i="65"/>
  <c r="BH129" i="65"/>
  <c r="BG129" i="65"/>
  <c r="BC96" i="65"/>
  <c r="BD96" i="65"/>
  <c r="BF96" i="65"/>
  <c r="BH97" i="65"/>
  <c r="BG97" i="65"/>
  <c r="BC95" i="65"/>
  <c r="BD95" i="65"/>
  <c r="BF95" i="65"/>
  <c r="BD129" i="65"/>
  <c r="BF129" i="65"/>
  <c r="BC129" i="65"/>
  <c r="BC98" i="65"/>
  <c r="BF98" i="65"/>
  <c r="BD98" i="65"/>
  <c r="BC92" i="65"/>
  <c r="BD92" i="65"/>
  <c r="BF92" i="65"/>
  <c r="BG93" i="65"/>
  <c r="BH93" i="65"/>
  <c r="BF128" i="65"/>
  <c r="BC128" i="65"/>
  <c r="BD128" i="65"/>
  <c r="BG128" i="65"/>
  <c r="BH128" i="65"/>
  <c r="AT91" i="65"/>
  <c r="BE91" i="65" s="1"/>
  <c r="AT97" i="65"/>
  <c r="BE97" i="65" s="1"/>
  <c r="AT93" i="65"/>
  <c r="BE93" i="65" s="1"/>
  <c r="AT98" i="65"/>
  <c r="BE98" i="65" s="1"/>
  <c r="AT95" i="65"/>
  <c r="BE95" i="65" s="1"/>
  <c r="AT123" i="65"/>
  <c r="BE123" i="65" s="1"/>
  <c r="AT128" i="65"/>
  <c r="BE128" i="65" s="1"/>
  <c r="AT129" i="65"/>
  <c r="BE129" i="65" s="1"/>
  <c r="AT94" i="65"/>
  <c r="BE94" i="65" s="1"/>
  <c r="AT92" i="65"/>
  <c r="BE92" i="65" s="1"/>
  <c r="AT96" i="65"/>
  <c r="BE96" i="65" s="1"/>
  <c r="BI110" i="59"/>
  <c r="EC78" i="59"/>
  <c r="ED78" i="59" s="1"/>
  <c r="EA78" i="59"/>
  <c r="EB78" i="59" s="1"/>
  <c r="DY78" i="59"/>
  <c r="DZ78" i="59" s="1"/>
  <c r="DW78" i="59"/>
  <c r="DX78" i="59" s="1"/>
  <c r="DU78" i="59"/>
  <c r="DV78" i="59" s="1"/>
  <c r="DS78" i="59"/>
  <c r="DT78" i="59" s="1"/>
  <c r="DQ78" i="59"/>
  <c r="DR78" i="59" s="1"/>
  <c r="DO78" i="59"/>
  <c r="DP78" i="59" s="1"/>
  <c r="DM78" i="59"/>
  <c r="DN78" i="59" s="1"/>
  <c r="DK78" i="59"/>
  <c r="DL78" i="59" s="1"/>
  <c r="DI78" i="59"/>
  <c r="DJ78" i="59" s="1"/>
  <c r="DG78" i="59"/>
  <c r="DH78" i="59" s="1"/>
  <c r="DE78" i="59"/>
  <c r="DF78" i="59" s="1"/>
  <c r="DC78" i="59"/>
  <c r="DD78" i="59" s="1"/>
  <c r="DA78" i="59"/>
  <c r="DB78" i="59" s="1"/>
  <c r="CY78" i="59"/>
  <c r="CZ78" i="59" s="1"/>
  <c r="CW78" i="59"/>
  <c r="CX78" i="59" s="1"/>
  <c r="CU78" i="59"/>
  <c r="CV78" i="59" s="1"/>
  <c r="CS78" i="59"/>
  <c r="CT78" i="59" s="1"/>
  <c r="CQ78" i="59"/>
  <c r="CR78" i="59" s="1"/>
  <c r="CO78" i="59"/>
  <c r="CP78" i="59" s="1"/>
  <c r="CM78" i="59"/>
  <c r="CN78" i="59" s="1"/>
  <c r="CK78" i="59"/>
  <c r="CL78" i="59" s="1"/>
  <c r="CI78" i="59"/>
  <c r="CJ78" i="59" s="1"/>
  <c r="CG78" i="59"/>
  <c r="CH78" i="59" s="1"/>
  <c r="CE78" i="59"/>
  <c r="CF78" i="59" s="1"/>
  <c r="CC78" i="59"/>
  <c r="CD78" i="59" s="1"/>
  <c r="CA78" i="59"/>
  <c r="CB78" i="59" s="1"/>
  <c r="BY78" i="59"/>
  <c r="BZ78" i="59" s="1"/>
  <c r="BW78" i="59"/>
  <c r="BX78" i="59" s="1"/>
  <c r="BU78" i="59"/>
  <c r="BV78" i="59" s="1"/>
  <c r="BS78" i="59"/>
  <c r="BT78" i="59" s="1"/>
  <c r="BN78" i="59"/>
  <c r="AY78" i="59"/>
  <c r="AX78" i="59"/>
  <c r="AW78" i="59"/>
  <c r="AV78" i="59"/>
  <c r="AU78" i="59"/>
  <c r="EC79" i="59"/>
  <c r="ED79" i="59" s="1"/>
  <c r="EA79" i="59"/>
  <c r="EB79" i="59" s="1"/>
  <c r="DY79" i="59"/>
  <c r="DZ79" i="59" s="1"/>
  <c r="DW79" i="59"/>
  <c r="DX79" i="59" s="1"/>
  <c r="DU79" i="59"/>
  <c r="DV79" i="59" s="1"/>
  <c r="DS79" i="59"/>
  <c r="DT79" i="59" s="1"/>
  <c r="DQ79" i="59"/>
  <c r="DR79" i="59" s="1"/>
  <c r="DO79" i="59"/>
  <c r="DP79" i="59" s="1"/>
  <c r="DM79" i="59"/>
  <c r="DN79" i="59" s="1"/>
  <c r="DK79" i="59"/>
  <c r="DL79" i="59" s="1"/>
  <c r="DI79" i="59"/>
  <c r="DJ79" i="59" s="1"/>
  <c r="DG79" i="59"/>
  <c r="DH79" i="59" s="1"/>
  <c r="DE79" i="59"/>
  <c r="DF79" i="59" s="1"/>
  <c r="DC79" i="59"/>
  <c r="DD79" i="59" s="1"/>
  <c r="DA79" i="59"/>
  <c r="DB79" i="59" s="1"/>
  <c r="CY79" i="59"/>
  <c r="CZ79" i="59" s="1"/>
  <c r="CW79" i="59"/>
  <c r="CX79" i="59" s="1"/>
  <c r="CU79" i="59"/>
  <c r="CV79" i="59" s="1"/>
  <c r="CS79" i="59"/>
  <c r="CT79" i="59" s="1"/>
  <c r="CQ79" i="59"/>
  <c r="CR79" i="59" s="1"/>
  <c r="CO79" i="59"/>
  <c r="CP79" i="59" s="1"/>
  <c r="CM79" i="59"/>
  <c r="CN79" i="59" s="1"/>
  <c r="CK79" i="59"/>
  <c r="CL79" i="59" s="1"/>
  <c r="CI79" i="59"/>
  <c r="CJ79" i="59" s="1"/>
  <c r="CG79" i="59"/>
  <c r="CH79" i="59" s="1"/>
  <c r="CE79" i="59"/>
  <c r="CF79" i="59" s="1"/>
  <c r="CC79" i="59"/>
  <c r="CD79" i="59" s="1"/>
  <c r="CA79" i="59"/>
  <c r="CB79" i="59" s="1"/>
  <c r="BY79" i="59"/>
  <c r="BZ79" i="59" s="1"/>
  <c r="BW79" i="59"/>
  <c r="BX79" i="59" s="1"/>
  <c r="BU79" i="59"/>
  <c r="BV79" i="59" s="1"/>
  <c r="BS79" i="59"/>
  <c r="BT79" i="59" s="1"/>
  <c r="BN79" i="59"/>
  <c r="AY79" i="59"/>
  <c r="AX79" i="59"/>
  <c r="AW79" i="59"/>
  <c r="AV79" i="59"/>
  <c r="AU79" i="59"/>
  <c r="BG79" i="59" l="1"/>
  <c r="BH79" i="59"/>
  <c r="BC78" i="59"/>
  <c r="BF78" i="59"/>
  <c r="BD78" i="59"/>
  <c r="BF79" i="59"/>
  <c r="BC79" i="59"/>
  <c r="BD79" i="59"/>
  <c r="BH78" i="59"/>
  <c r="BG78" i="59"/>
  <c r="BJ95" i="65"/>
  <c r="BN95" i="65" s="1"/>
  <c r="BQ95" i="65" s="1"/>
  <c r="BJ93" i="65"/>
  <c r="BN93" i="65" s="1"/>
  <c r="BQ93" i="65" s="1"/>
  <c r="BJ91" i="65"/>
  <c r="BN91" i="65" s="1"/>
  <c r="BQ91" i="65" s="1"/>
  <c r="BJ96" i="65"/>
  <c r="BN96" i="65" s="1"/>
  <c r="BQ96" i="65" s="1"/>
  <c r="BJ97" i="65"/>
  <c r="BN97" i="65" s="1"/>
  <c r="BQ97" i="65" s="1"/>
  <c r="BJ92" i="65"/>
  <c r="BN92" i="65" s="1"/>
  <c r="BQ92" i="65" s="1"/>
  <c r="BJ128" i="65"/>
  <c r="BN128" i="65" s="1"/>
  <c r="BQ128" i="65" s="1"/>
  <c r="BJ98" i="65"/>
  <c r="BN98" i="65" s="1"/>
  <c r="BQ98" i="65" s="1"/>
  <c r="BJ123" i="65"/>
  <c r="BN123" i="65" s="1"/>
  <c r="BQ123" i="65" s="1"/>
  <c r="BJ129" i="65"/>
  <c r="BN129" i="65" s="1"/>
  <c r="BQ129" i="65" s="1"/>
  <c r="BJ94" i="65"/>
  <c r="BN94" i="65" s="1"/>
  <c r="BQ94" i="65" s="1"/>
  <c r="AT78" i="59"/>
  <c r="BE78" i="59" s="1"/>
  <c r="AT79" i="59"/>
  <c r="BE79" i="59" s="1"/>
  <c r="EC77" i="59"/>
  <c r="ED77" i="59" s="1"/>
  <c r="EA77" i="59"/>
  <c r="EB77" i="59" s="1"/>
  <c r="DY77" i="59"/>
  <c r="DZ77" i="59" s="1"/>
  <c r="DW77" i="59"/>
  <c r="DX77" i="59" s="1"/>
  <c r="DU77" i="59"/>
  <c r="DV77" i="59" s="1"/>
  <c r="DS77" i="59"/>
  <c r="DT77" i="59" s="1"/>
  <c r="DQ77" i="59"/>
  <c r="DR77" i="59" s="1"/>
  <c r="DO77" i="59"/>
  <c r="DP77" i="59" s="1"/>
  <c r="DM77" i="59"/>
  <c r="DN77" i="59" s="1"/>
  <c r="DK77" i="59"/>
  <c r="DL77" i="59" s="1"/>
  <c r="DI77" i="59"/>
  <c r="DJ77" i="59" s="1"/>
  <c r="DG77" i="59"/>
  <c r="DH77" i="59" s="1"/>
  <c r="DE77" i="59"/>
  <c r="DF77" i="59" s="1"/>
  <c r="DC77" i="59"/>
  <c r="DD77" i="59" s="1"/>
  <c r="DA77" i="59"/>
  <c r="DB77" i="59" s="1"/>
  <c r="CY77" i="59"/>
  <c r="CZ77" i="59" s="1"/>
  <c r="CW77" i="59"/>
  <c r="CX77" i="59" s="1"/>
  <c r="CU77" i="59"/>
  <c r="CV77" i="59" s="1"/>
  <c r="CS77" i="59"/>
  <c r="CT77" i="59" s="1"/>
  <c r="CQ77" i="59"/>
  <c r="CR77" i="59" s="1"/>
  <c r="CO77" i="59"/>
  <c r="CP77" i="59" s="1"/>
  <c r="CM77" i="59"/>
  <c r="CN77" i="59" s="1"/>
  <c r="CK77" i="59"/>
  <c r="CL77" i="59" s="1"/>
  <c r="CI77" i="59"/>
  <c r="CJ77" i="59" s="1"/>
  <c r="CG77" i="59"/>
  <c r="CH77" i="59" s="1"/>
  <c r="CE77" i="59"/>
  <c r="CF77" i="59" s="1"/>
  <c r="CC77" i="59"/>
  <c r="CD77" i="59" s="1"/>
  <c r="CA77" i="59"/>
  <c r="CB77" i="59" s="1"/>
  <c r="BY77" i="59"/>
  <c r="BZ77" i="59" s="1"/>
  <c r="BW77" i="59"/>
  <c r="BX77" i="59" s="1"/>
  <c r="BU77" i="59"/>
  <c r="BV77" i="59" s="1"/>
  <c r="BS77" i="59"/>
  <c r="BT77" i="59" s="1"/>
  <c r="BN77" i="59"/>
  <c r="AY77" i="59"/>
  <c r="AX77" i="59"/>
  <c r="AW77" i="59"/>
  <c r="AV77" i="59"/>
  <c r="AU77" i="59"/>
  <c r="EC76" i="59"/>
  <c r="ED76" i="59" s="1"/>
  <c r="EA76" i="59"/>
  <c r="EB76" i="59" s="1"/>
  <c r="DY76" i="59"/>
  <c r="DZ76" i="59" s="1"/>
  <c r="DW76" i="59"/>
  <c r="DX76" i="59" s="1"/>
  <c r="DU76" i="59"/>
  <c r="DV76" i="59" s="1"/>
  <c r="DS76" i="59"/>
  <c r="DT76" i="59" s="1"/>
  <c r="DQ76" i="59"/>
  <c r="DR76" i="59" s="1"/>
  <c r="DO76" i="59"/>
  <c r="DP76" i="59" s="1"/>
  <c r="DM76" i="59"/>
  <c r="DN76" i="59" s="1"/>
  <c r="DK76" i="59"/>
  <c r="DL76" i="59" s="1"/>
  <c r="DI76" i="59"/>
  <c r="DJ76" i="59" s="1"/>
  <c r="DG76" i="59"/>
  <c r="DH76" i="59" s="1"/>
  <c r="DE76" i="59"/>
  <c r="DF76" i="59" s="1"/>
  <c r="DC76" i="59"/>
  <c r="DD76" i="59" s="1"/>
  <c r="DA76" i="59"/>
  <c r="DB76" i="59" s="1"/>
  <c r="CY76" i="59"/>
  <c r="CZ76" i="59" s="1"/>
  <c r="CW76" i="59"/>
  <c r="CX76" i="59" s="1"/>
  <c r="CU76" i="59"/>
  <c r="CV76" i="59" s="1"/>
  <c r="CS76" i="59"/>
  <c r="CT76" i="59" s="1"/>
  <c r="CQ76" i="59"/>
  <c r="CR76" i="59" s="1"/>
  <c r="CO76" i="59"/>
  <c r="CP76" i="59" s="1"/>
  <c r="CM76" i="59"/>
  <c r="CN76" i="59" s="1"/>
  <c r="CK76" i="59"/>
  <c r="CL76" i="59" s="1"/>
  <c r="CI76" i="59"/>
  <c r="CJ76" i="59" s="1"/>
  <c r="CG76" i="59"/>
  <c r="CH76" i="59" s="1"/>
  <c r="CE76" i="59"/>
  <c r="CF76" i="59" s="1"/>
  <c r="CC76" i="59"/>
  <c r="CD76" i="59" s="1"/>
  <c r="CA76" i="59"/>
  <c r="CB76" i="59" s="1"/>
  <c r="BY76" i="59"/>
  <c r="BZ76" i="59" s="1"/>
  <c r="BW76" i="59"/>
  <c r="BX76" i="59" s="1"/>
  <c r="BU76" i="59"/>
  <c r="BV76" i="59" s="1"/>
  <c r="BS76" i="59"/>
  <c r="BT76" i="59" s="1"/>
  <c r="BN76" i="59"/>
  <c r="AY76" i="59"/>
  <c r="AX76" i="59"/>
  <c r="AW76" i="59"/>
  <c r="AV76" i="59"/>
  <c r="AU76" i="59"/>
  <c r="EC75" i="59"/>
  <c r="ED75" i="59" s="1"/>
  <c r="EA75" i="59"/>
  <c r="EB75" i="59" s="1"/>
  <c r="DY75" i="59"/>
  <c r="DZ75" i="59" s="1"/>
  <c r="DW75" i="59"/>
  <c r="DX75" i="59" s="1"/>
  <c r="DU75" i="59"/>
  <c r="DV75" i="59" s="1"/>
  <c r="DS75" i="59"/>
  <c r="DT75" i="59" s="1"/>
  <c r="DQ75" i="59"/>
  <c r="DR75" i="59" s="1"/>
  <c r="DO75" i="59"/>
  <c r="DP75" i="59" s="1"/>
  <c r="DM75" i="59"/>
  <c r="DN75" i="59" s="1"/>
  <c r="DK75" i="59"/>
  <c r="DL75" i="59" s="1"/>
  <c r="DI75" i="59"/>
  <c r="DJ75" i="59" s="1"/>
  <c r="DG75" i="59"/>
  <c r="DH75" i="59" s="1"/>
  <c r="DE75" i="59"/>
  <c r="DF75" i="59" s="1"/>
  <c r="DC75" i="59"/>
  <c r="DD75" i="59" s="1"/>
  <c r="DA75" i="59"/>
  <c r="DB75" i="59" s="1"/>
  <c r="CY75" i="59"/>
  <c r="CZ75" i="59" s="1"/>
  <c r="CW75" i="59"/>
  <c r="CX75" i="59" s="1"/>
  <c r="CU75" i="59"/>
  <c r="CV75" i="59" s="1"/>
  <c r="CS75" i="59"/>
  <c r="CT75" i="59" s="1"/>
  <c r="CQ75" i="59"/>
  <c r="CR75" i="59" s="1"/>
  <c r="CO75" i="59"/>
  <c r="CP75" i="59" s="1"/>
  <c r="CM75" i="59"/>
  <c r="CN75" i="59" s="1"/>
  <c r="CK75" i="59"/>
  <c r="CL75" i="59" s="1"/>
  <c r="CI75" i="59"/>
  <c r="CJ75" i="59" s="1"/>
  <c r="CG75" i="59"/>
  <c r="CH75" i="59" s="1"/>
  <c r="CE75" i="59"/>
  <c r="CF75" i="59" s="1"/>
  <c r="CC75" i="59"/>
  <c r="CD75" i="59" s="1"/>
  <c r="CA75" i="59"/>
  <c r="CB75" i="59" s="1"/>
  <c r="BY75" i="59"/>
  <c r="BZ75" i="59" s="1"/>
  <c r="BW75" i="59"/>
  <c r="BX75" i="59" s="1"/>
  <c r="BU75" i="59"/>
  <c r="BV75" i="59" s="1"/>
  <c r="BS75" i="59"/>
  <c r="BT75" i="59" s="1"/>
  <c r="BN75" i="59"/>
  <c r="AY75" i="59"/>
  <c r="AX75" i="59"/>
  <c r="AW75" i="59"/>
  <c r="AV75" i="59"/>
  <c r="AU75" i="59"/>
  <c r="BA52" i="61"/>
  <c r="BA51" i="61"/>
  <c r="BA50" i="61"/>
  <c r="BA49" i="61"/>
  <c r="BA48" i="61"/>
  <c r="BA47" i="61"/>
  <c r="BA46" i="61"/>
  <c r="BA45" i="61"/>
  <c r="BA44" i="61"/>
  <c r="BA43" i="61"/>
  <c r="BA42" i="61"/>
  <c r="BA41" i="61"/>
  <c r="BA40" i="61"/>
  <c r="BA39" i="61"/>
  <c r="BA32" i="61"/>
  <c r="BA31" i="61"/>
  <c r="BA26" i="61"/>
  <c r="BA25" i="61"/>
  <c r="BA24" i="61"/>
  <c r="BA23" i="61"/>
  <c r="BA22" i="61"/>
  <c r="BA38" i="61"/>
  <c r="BA21" i="61"/>
  <c r="BA37" i="61"/>
  <c r="BA36" i="61"/>
  <c r="BA20" i="61"/>
  <c r="BA19" i="61"/>
  <c r="BA18" i="61"/>
  <c r="BA17" i="61"/>
  <c r="BA16" i="61"/>
  <c r="BA15" i="61"/>
  <c r="BA35" i="61"/>
  <c r="BA34" i="61"/>
  <c r="BA14" i="61"/>
  <c r="BA13" i="61"/>
  <c r="BA33" i="61"/>
  <c r="BA12" i="61"/>
  <c r="BA11" i="61"/>
  <c r="BA10" i="61"/>
  <c r="BA9" i="61"/>
  <c r="BA29" i="61"/>
  <c r="BA8" i="61"/>
  <c r="BA7" i="61"/>
  <c r="BA28" i="61"/>
  <c r="BA27" i="61"/>
  <c r="BA6" i="61"/>
  <c r="BA5" i="61"/>
  <c r="BN106" i="59"/>
  <c r="BN29" i="59"/>
  <c r="BN104" i="59"/>
  <c r="BN103" i="59"/>
  <c r="BN36" i="59"/>
  <c r="BN95" i="59"/>
  <c r="BN102" i="59"/>
  <c r="BN5" i="59"/>
  <c r="BN4" i="59"/>
  <c r="BN74" i="59"/>
  <c r="BN73" i="59"/>
  <c r="BN72" i="59"/>
  <c r="BN71" i="59"/>
  <c r="BN70" i="59"/>
  <c r="BN69" i="59"/>
  <c r="BN68" i="59"/>
  <c r="BN67" i="59"/>
  <c r="BN66" i="59"/>
  <c r="BN65" i="59"/>
  <c r="BN64" i="59"/>
  <c r="BN63" i="59"/>
  <c r="BN62" i="59"/>
  <c r="BN61" i="59"/>
  <c r="BN60" i="59"/>
  <c r="BN58" i="59"/>
  <c r="BN57" i="59"/>
  <c r="BN56" i="59"/>
  <c r="BN55" i="59"/>
  <c r="BN88" i="59"/>
  <c r="BN59" i="59"/>
  <c r="BN99" i="59"/>
  <c r="BN108" i="59"/>
  <c r="BN54" i="59"/>
  <c r="BN53" i="59"/>
  <c r="BN52" i="59"/>
  <c r="BN51" i="59"/>
  <c r="BN50" i="59"/>
  <c r="BN49" i="59"/>
  <c r="BN48" i="59"/>
  <c r="BN47" i="59"/>
  <c r="BN46" i="59"/>
  <c r="BN45" i="59"/>
  <c r="BN44" i="59"/>
  <c r="BN43" i="59"/>
  <c r="BN42" i="59"/>
  <c r="BN41" i="59"/>
  <c r="BN107" i="59"/>
  <c r="BN40" i="59"/>
  <c r="BN39" i="59"/>
  <c r="BN38" i="59"/>
  <c r="BN37" i="59"/>
  <c r="BN35" i="59"/>
  <c r="BN34" i="59"/>
  <c r="BN33" i="59"/>
  <c r="BN32" i="59"/>
  <c r="BN31" i="59"/>
  <c r="BN30" i="59"/>
  <c r="BN28" i="59"/>
  <c r="BN27" i="59"/>
  <c r="BN26" i="59"/>
  <c r="BN101" i="59"/>
  <c r="BN100" i="59"/>
  <c r="BN25" i="59"/>
  <c r="BN24" i="59"/>
  <c r="BN23" i="59"/>
  <c r="BN105" i="59"/>
  <c r="BN22" i="59"/>
  <c r="BN21" i="59"/>
  <c r="BN20" i="59"/>
  <c r="BN19" i="59"/>
  <c r="BN98" i="59"/>
  <c r="BN18" i="59"/>
  <c r="BN17" i="59"/>
  <c r="BN16" i="59"/>
  <c r="BN15" i="59"/>
  <c r="BN14" i="59"/>
  <c r="BN97" i="59"/>
  <c r="BN13" i="59"/>
  <c r="BN12" i="59"/>
  <c r="BN11" i="59"/>
  <c r="BN10" i="59"/>
  <c r="BN9" i="59"/>
  <c r="BN8" i="59"/>
  <c r="BN7" i="59"/>
  <c r="BN6" i="59"/>
  <c r="BM126" i="65"/>
  <c r="BM124" i="65"/>
  <c r="BM15" i="65"/>
  <c r="BM14" i="65"/>
  <c r="BM13" i="65"/>
  <c r="BM12" i="65"/>
  <c r="BM8" i="65"/>
  <c r="BM10" i="65"/>
  <c r="BM115" i="65"/>
  <c r="BM121" i="65"/>
  <c r="BM32" i="65"/>
  <c r="BM90" i="65"/>
  <c r="BM89" i="65"/>
  <c r="BM88" i="65"/>
  <c r="BM87" i="65"/>
  <c r="BM86" i="65"/>
  <c r="BM85" i="65"/>
  <c r="BM84" i="65"/>
  <c r="BM112" i="65"/>
  <c r="BM83" i="65"/>
  <c r="BM79" i="65"/>
  <c r="BM127" i="65"/>
  <c r="BM82" i="65"/>
  <c r="BM81" i="65"/>
  <c r="BM80" i="65"/>
  <c r="BM78" i="65"/>
  <c r="BM111" i="65"/>
  <c r="BM77" i="65"/>
  <c r="BM76" i="65"/>
  <c r="BM75" i="65"/>
  <c r="BM74" i="65"/>
  <c r="BM110" i="65"/>
  <c r="BM73" i="65"/>
  <c r="BM72" i="65"/>
  <c r="BM71" i="65"/>
  <c r="BM70" i="65"/>
  <c r="BM69" i="65"/>
  <c r="BM68" i="65"/>
  <c r="BM67" i="65"/>
  <c r="BM66" i="65"/>
  <c r="BM65" i="65"/>
  <c r="BM64" i="65"/>
  <c r="BM63" i="65"/>
  <c r="BM62" i="65"/>
  <c r="BM122" i="65"/>
  <c r="BM61" i="65"/>
  <c r="BM60" i="65"/>
  <c r="BM59" i="65"/>
  <c r="BM58" i="65"/>
  <c r="BM57" i="65"/>
  <c r="BM56" i="65"/>
  <c r="BM55" i="65"/>
  <c r="BM54" i="65"/>
  <c r="BM53" i="65"/>
  <c r="BM52" i="65"/>
  <c r="BM51" i="65"/>
  <c r="BM50" i="65"/>
  <c r="BM49" i="65"/>
  <c r="BM48" i="65"/>
  <c r="BM47" i="65"/>
  <c r="BM46" i="65"/>
  <c r="BM45" i="65"/>
  <c r="BM44" i="65"/>
  <c r="BM125" i="65"/>
  <c r="BM43" i="65"/>
  <c r="BM42" i="65"/>
  <c r="BM41" i="65"/>
  <c r="BM40" i="65"/>
  <c r="BM39" i="65"/>
  <c r="BM120" i="65"/>
  <c r="BM38" i="65"/>
  <c r="BM37" i="65"/>
  <c r="BM36" i="65"/>
  <c r="BM35" i="65"/>
  <c r="BM119" i="65"/>
  <c r="BM34" i="65"/>
  <c r="BM33" i="65"/>
  <c r="BM31" i="65"/>
  <c r="BM30" i="65"/>
  <c r="BM29" i="65"/>
  <c r="BM28" i="65"/>
  <c r="BM27" i="65"/>
  <c r="BM26" i="65"/>
  <c r="BM25" i="65"/>
  <c r="BM24" i="65"/>
  <c r="BM23" i="65"/>
  <c r="BM118" i="65"/>
  <c r="BM22" i="65"/>
  <c r="BM21" i="65"/>
  <c r="BM20" i="65"/>
  <c r="BM117" i="65"/>
  <c r="BM19" i="65"/>
  <c r="BM18" i="65"/>
  <c r="BM116" i="65"/>
  <c r="BM17" i="65"/>
  <c r="BM16" i="65"/>
  <c r="BM11" i="65"/>
  <c r="BM9" i="65"/>
  <c r="BM7" i="65"/>
  <c r="BM114" i="65"/>
  <c r="BM6" i="65"/>
  <c r="BM5" i="65"/>
  <c r="BM4" i="65"/>
  <c r="BG76" i="59" l="1"/>
  <c r="BH76" i="59"/>
  <c r="BC77" i="59"/>
  <c r="BD77" i="59"/>
  <c r="BF77" i="59"/>
  <c r="BD75" i="59"/>
  <c r="BF75" i="59"/>
  <c r="BC75" i="59"/>
  <c r="BG75" i="59"/>
  <c r="BH75" i="59"/>
  <c r="BC76" i="59"/>
  <c r="BD76" i="59"/>
  <c r="BF76" i="59"/>
  <c r="BG77" i="59"/>
  <c r="BH77" i="59"/>
  <c r="BK78" i="59"/>
  <c r="BO78" i="59" s="1"/>
  <c r="BR78" i="59" s="1"/>
  <c r="BK79" i="59"/>
  <c r="BO79" i="59" s="1"/>
  <c r="BR79" i="59" s="1"/>
  <c r="AT75" i="59"/>
  <c r="BE75" i="59" s="1"/>
  <c r="AT76" i="59"/>
  <c r="BE76" i="59" s="1"/>
  <c r="AT77" i="59"/>
  <c r="BE77" i="59" s="1"/>
  <c r="AV126" i="65"/>
  <c r="AU126" i="65"/>
  <c r="AV124" i="65"/>
  <c r="AU124" i="65"/>
  <c r="AV15" i="65"/>
  <c r="AU15" i="65"/>
  <c r="AV14" i="65"/>
  <c r="AU14" i="65"/>
  <c r="AV13" i="65"/>
  <c r="AU13" i="65"/>
  <c r="AV12" i="65"/>
  <c r="AU12" i="65"/>
  <c r="AV8" i="65"/>
  <c r="AU8" i="65"/>
  <c r="AV10" i="65"/>
  <c r="AU10" i="65"/>
  <c r="AV115" i="65"/>
  <c r="AU115" i="65"/>
  <c r="AV121" i="65"/>
  <c r="AU121" i="65"/>
  <c r="AV32" i="65"/>
  <c r="AU32" i="65"/>
  <c r="AV90" i="65"/>
  <c r="AU90" i="65"/>
  <c r="AV89" i="65"/>
  <c r="AU89" i="65"/>
  <c r="AV88" i="65"/>
  <c r="AU88" i="65"/>
  <c r="AV87" i="65"/>
  <c r="AU87" i="65"/>
  <c r="AV86" i="65"/>
  <c r="AU86" i="65"/>
  <c r="AV85" i="65"/>
  <c r="AU85" i="65"/>
  <c r="AV84" i="65"/>
  <c r="AU84" i="65"/>
  <c r="AV112" i="65"/>
  <c r="AU112" i="65"/>
  <c r="AV83" i="65"/>
  <c r="AU83" i="65"/>
  <c r="AV79" i="65"/>
  <c r="AU79" i="65"/>
  <c r="AV127" i="65"/>
  <c r="AU127" i="65"/>
  <c r="AV82" i="65"/>
  <c r="AU82" i="65"/>
  <c r="AV81" i="65"/>
  <c r="AU81" i="65"/>
  <c r="AV80" i="65"/>
  <c r="AU80" i="65"/>
  <c r="AV78" i="65"/>
  <c r="AU78" i="65"/>
  <c r="AV111" i="65"/>
  <c r="AU111" i="65"/>
  <c r="AV77" i="65"/>
  <c r="AU77" i="65"/>
  <c r="AV76" i="65"/>
  <c r="AU76" i="65"/>
  <c r="AV75" i="65"/>
  <c r="AU75" i="65"/>
  <c r="AV74" i="65"/>
  <c r="AU74" i="65"/>
  <c r="AV110" i="65"/>
  <c r="AU110" i="65"/>
  <c r="AV73" i="65"/>
  <c r="AU73" i="65"/>
  <c r="AV72" i="65"/>
  <c r="AU72" i="65"/>
  <c r="AV71" i="65"/>
  <c r="AU71" i="65"/>
  <c r="AV70" i="65"/>
  <c r="AU70" i="65"/>
  <c r="AV69" i="65"/>
  <c r="AU69" i="65"/>
  <c r="AV68" i="65"/>
  <c r="AU68" i="65"/>
  <c r="AV67" i="65"/>
  <c r="AU67" i="65"/>
  <c r="AV66" i="65"/>
  <c r="AU66" i="65"/>
  <c r="AV65" i="65"/>
  <c r="AU65" i="65"/>
  <c r="AV64" i="65"/>
  <c r="AU64" i="65"/>
  <c r="AV63" i="65"/>
  <c r="AU63" i="65"/>
  <c r="AV62" i="65"/>
  <c r="AU62" i="65"/>
  <c r="AV122" i="65"/>
  <c r="AU122" i="65"/>
  <c r="AV61" i="65"/>
  <c r="AU61" i="65"/>
  <c r="AV60" i="65"/>
  <c r="AU60" i="65"/>
  <c r="AV59" i="65"/>
  <c r="AU59" i="65"/>
  <c r="AV58" i="65"/>
  <c r="AU58" i="65"/>
  <c r="AV57" i="65"/>
  <c r="AU57" i="65"/>
  <c r="AV56" i="65"/>
  <c r="AU56" i="65"/>
  <c r="AV55" i="65"/>
  <c r="AU55" i="65"/>
  <c r="AV54" i="65"/>
  <c r="AU54" i="65"/>
  <c r="AV53" i="65"/>
  <c r="AU53" i="65"/>
  <c r="AV52" i="65"/>
  <c r="AU52" i="65"/>
  <c r="AV51" i="65"/>
  <c r="AU51" i="65"/>
  <c r="AV50" i="65"/>
  <c r="AU50" i="65"/>
  <c r="AV49" i="65"/>
  <c r="AU49" i="65"/>
  <c r="AV48" i="65"/>
  <c r="AU48" i="65"/>
  <c r="AV47" i="65"/>
  <c r="AU47" i="65"/>
  <c r="AV46" i="65"/>
  <c r="AU46" i="65"/>
  <c r="AV45" i="65"/>
  <c r="AU45" i="65"/>
  <c r="AV44" i="65"/>
  <c r="AU44" i="65"/>
  <c r="AV125" i="65"/>
  <c r="AU125" i="65"/>
  <c r="AV43" i="65"/>
  <c r="AU43" i="65"/>
  <c r="AV42" i="65"/>
  <c r="AU42" i="65"/>
  <c r="AV41" i="65"/>
  <c r="AU41" i="65"/>
  <c r="AV40" i="65"/>
  <c r="AU40" i="65"/>
  <c r="AV39" i="65"/>
  <c r="AU39" i="65"/>
  <c r="AV120" i="65"/>
  <c r="AU120" i="65"/>
  <c r="AV38" i="65"/>
  <c r="AU38" i="65"/>
  <c r="AV37" i="65"/>
  <c r="AU37" i="65"/>
  <c r="AV36" i="65"/>
  <c r="AU36" i="65"/>
  <c r="AV35" i="65"/>
  <c r="AU35" i="65"/>
  <c r="AV119" i="65"/>
  <c r="AU119" i="65"/>
  <c r="AV34" i="65"/>
  <c r="AU34" i="65"/>
  <c r="AV33" i="65"/>
  <c r="AU33" i="65"/>
  <c r="AV31" i="65"/>
  <c r="AU31" i="65"/>
  <c r="AV30" i="65"/>
  <c r="AU30" i="65"/>
  <c r="AV29" i="65"/>
  <c r="AU29" i="65"/>
  <c r="AV28" i="65"/>
  <c r="AU28" i="65"/>
  <c r="AV27" i="65"/>
  <c r="AU27" i="65"/>
  <c r="AV26" i="65"/>
  <c r="AU26" i="65"/>
  <c r="AV25" i="65"/>
  <c r="AU25" i="65"/>
  <c r="AV24" i="65"/>
  <c r="AU24" i="65"/>
  <c r="AV23" i="65"/>
  <c r="AU23" i="65"/>
  <c r="AV118" i="65"/>
  <c r="AU118" i="65"/>
  <c r="AV22" i="65"/>
  <c r="AU22" i="65"/>
  <c r="AV21" i="65"/>
  <c r="AU21" i="65"/>
  <c r="AV20" i="65"/>
  <c r="AU20" i="65"/>
  <c r="AV117" i="65"/>
  <c r="AU117" i="65"/>
  <c r="AV19" i="65"/>
  <c r="AU19" i="65"/>
  <c r="AV18" i="65"/>
  <c r="AU18" i="65"/>
  <c r="AV116" i="65"/>
  <c r="AU116" i="65"/>
  <c r="AV17" i="65"/>
  <c r="AU17" i="65"/>
  <c r="AV16" i="65"/>
  <c r="AU16" i="65"/>
  <c r="AV11" i="65"/>
  <c r="AU11" i="65"/>
  <c r="AV9" i="65"/>
  <c r="AU9" i="65"/>
  <c r="AV7" i="65"/>
  <c r="AU7" i="65"/>
  <c r="AV114" i="65"/>
  <c r="AU114" i="65"/>
  <c r="AV6" i="65"/>
  <c r="AU6" i="65"/>
  <c r="AV5" i="65"/>
  <c r="AU5" i="65"/>
  <c r="AV4" i="65"/>
  <c r="AU4" i="65"/>
  <c r="AU74" i="59"/>
  <c r="AU73" i="59"/>
  <c r="AU72" i="59"/>
  <c r="AU71" i="59"/>
  <c r="AU70" i="59"/>
  <c r="AU69" i="59"/>
  <c r="AU68" i="59"/>
  <c r="AU67" i="59"/>
  <c r="AU66" i="59"/>
  <c r="AU65" i="59"/>
  <c r="AU64" i="59"/>
  <c r="AU63" i="59"/>
  <c r="AU62" i="59"/>
  <c r="AU61" i="59"/>
  <c r="AU60" i="59"/>
  <c r="AU58" i="59"/>
  <c r="AU57" i="59"/>
  <c r="AU56" i="59"/>
  <c r="AU55" i="59"/>
  <c r="AU88" i="59"/>
  <c r="AU59" i="59"/>
  <c r="AU99" i="59"/>
  <c r="AU108" i="59"/>
  <c r="AU54" i="59"/>
  <c r="AU53" i="59"/>
  <c r="AU52" i="59"/>
  <c r="AU51" i="59"/>
  <c r="AU50" i="59"/>
  <c r="AU49" i="59"/>
  <c r="AU48" i="59"/>
  <c r="AU47" i="59"/>
  <c r="AU46" i="59"/>
  <c r="AU45" i="59"/>
  <c r="AU44" i="59"/>
  <c r="AU43" i="59"/>
  <c r="AU42" i="59"/>
  <c r="AU41" i="59"/>
  <c r="AU107" i="59"/>
  <c r="AU40" i="59"/>
  <c r="AU39" i="59"/>
  <c r="AU38" i="59"/>
  <c r="AU37" i="59"/>
  <c r="AU35" i="59"/>
  <c r="AU34" i="59"/>
  <c r="AU33" i="59"/>
  <c r="AU32" i="59"/>
  <c r="AU31" i="59"/>
  <c r="AU30" i="59"/>
  <c r="AU28" i="59"/>
  <c r="AU27" i="59"/>
  <c r="AU26" i="59"/>
  <c r="AU101" i="59"/>
  <c r="AU100" i="59"/>
  <c r="AU25" i="59"/>
  <c r="AU24" i="59"/>
  <c r="AU23" i="59"/>
  <c r="AU105" i="59"/>
  <c r="AU22" i="59"/>
  <c r="AU21" i="59"/>
  <c r="AU20" i="59"/>
  <c r="AU19" i="59"/>
  <c r="AU98" i="59"/>
  <c r="AU18" i="59"/>
  <c r="AU17" i="59"/>
  <c r="AU16" i="59"/>
  <c r="AU15" i="59"/>
  <c r="AU14" i="59"/>
  <c r="AU97" i="59"/>
  <c r="AU13" i="59"/>
  <c r="AU12" i="59"/>
  <c r="AU11" i="59"/>
  <c r="AU10" i="59"/>
  <c r="AU9" i="59"/>
  <c r="AU8" i="59"/>
  <c r="AU7" i="59"/>
  <c r="AU6" i="59"/>
  <c r="AA54" i="61"/>
  <c r="BK77" i="59" l="1"/>
  <c r="BO77" i="59" s="1"/>
  <c r="BR77" i="59" s="1"/>
  <c r="BK76" i="59"/>
  <c r="BO76" i="59" s="1"/>
  <c r="BR76" i="59" s="1"/>
  <c r="BK75" i="59"/>
  <c r="BO75" i="59" s="1"/>
  <c r="BR75" i="59" s="1"/>
  <c r="EC71" i="59"/>
  <c r="ED71" i="59" s="1"/>
  <c r="EA71" i="59"/>
  <c r="EB71" i="59" s="1"/>
  <c r="DY71" i="59"/>
  <c r="DZ71" i="59" s="1"/>
  <c r="DW71" i="59"/>
  <c r="DX71" i="59" s="1"/>
  <c r="DU71" i="59"/>
  <c r="DV71" i="59" s="1"/>
  <c r="DS71" i="59"/>
  <c r="DT71" i="59" s="1"/>
  <c r="DQ71" i="59"/>
  <c r="DR71" i="59" s="1"/>
  <c r="DO71" i="59"/>
  <c r="DP71" i="59" s="1"/>
  <c r="DM71" i="59"/>
  <c r="DN71" i="59" s="1"/>
  <c r="DK71" i="59"/>
  <c r="DL71" i="59" s="1"/>
  <c r="DI71" i="59"/>
  <c r="DJ71" i="59" s="1"/>
  <c r="DG71" i="59"/>
  <c r="DH71" i="59" s="1"/>
  <c r="DE71" i="59"/>
  <c r="DF71" i="59" s="1"/>
  <c r="DC71" i="59"/>
  <c r="DD71" i="59" s="1"/>
  <c r="DA71" i="59"/>
  <c r="DB71" i="59" s="1"/>
  <c r="CY71" i="59"/>
  <c r="CZ71" i="59" s="1"/>
  <c r="CW71" i="59"/>
  <c r="CX71" i="59" s="1"/>
  <c r="CU71" i="59"/>
  <c r="CV71" i="59" s="1"/>
  <c r="CS71" i="59"/>
  <c r="CT71" i="59" s="1"/>
  <c r="CQ71" i="59"/>
  <c r="CR71" i="59" s="1"/>
  <c r="CO71" i="59"/>
  <c r="CP71" i="59" s="1"/>
  <c r="CM71" i="59"/>
  <c r="CN71" i="59" s="1"/>
  <c r="CK71" i="59"/>
  <c r="CL71" i="59" s="1"/>
  <c r="CI71" i="59"/>
  <c r="CJ71" i="59" s="1"/>
  <c r="CG71" i="59"/>
  <c r="CH71" i="59" s="1"/>
  <c r="CE71" i="59"/>
  <c r="CF71" i="59" s="1"/>
  <c r="CC71" i="59"/>
  <c r="CD71" i="59" s="1"/>
  <c r="CA71" i="59"/>
  <c r="CB71" i="59" s="1"/>
  <c r="BY71" i="59"/>
  <c r="BZ71" i="59" s="1"/>
  <c r="BW71" i="59"/>
  <c r="BX71" i="59" s="1"/>
  <c r="BU71" i="59"/>
  <c r="BV71" i="59" s="1"/>
  <c r="BS71" i="59"/>
  <c r="BT71" i="59" s="1"/>
  <c r="AY71" i="59"/>
  <c r="AX71" i="59"/>
  <c r="AW71" i="59"/>
  <c r="AV71" i="59"/>
  <c r="EC70" i="59"/>
  <c r="ED70" i="59" s="1"/>
  <c r="EA70" i="59"/>
  <c r="EB70" i="59" s="1"/>
  <c r="DY70" i="59"/>
  <c r="DZ70" i="59" s="1"/>
  <c r="DW70" i="59"/>
  <c r="DX70" i="59" s="1"/>
  <c r="DU70" i="59"/>
  <c r="DV70" i="59" s="1"/>
  <c r="DS70" i="59"/>
  <c r="DT70" i="59" s="1"/>
  <c r="DQ70" i="59"/>
  <c r="DR70" i="59" s="1"/>
  <c r="DO70" i="59"/>
  <c r="DP70" i="59" s="1"/>
  <c r="DM70" i="59"/>
  <c r="DN70" i="59" s="1"/>
  <c r="DK70" i="59"/>
  <c r="DL70" i="59" s="1"/>
  <c r="DI70" i="59"/>
  <c r="DJ70" i="59" s="1"/>
  <c r="DG70" i="59"/>
  <c r="DH70" i="59" s="1"/>
  <c r="DE70" i="59"/>
  <c r="DF70" i="59" s="1"/>
  <c r="DC70" i="59"/>
  <c r="DD70" i="59" s="1"/>
  <c r="DA70" i="59"/>
  <c r="DB70" i="59" s="1"/>
  <c r="CY70" i="59"/>
  <c r="CZ70" i="59" s="1"/>
  <c r="CW70" i="59"/>
  <c r="CX70" i="59" s="1"/>
  <c r="CU70" i="59"/>
  <c r="CV70" i="59" s="1"/>
  <c r="CS70" i="59"/>
  <c r="CT70" i="59" s="1"/>
  <c r="CQ70" i="59"/>
  <c r="CR70" i="59" s="1"/>
  <c r="CO70" i="59"/>
  <c r="CP70" i="59" s="1"/>
  <c r="CM70" i="59"/>
  <c r="CN70" i="59" s="1"/>
  <c r="CK70" i="59"/>
  <c r="CL70" i="59" s="1"/>
  <c r="CI70" i="59"/>
  <c r="CJ70" i="59" s="1"/>
  <c r="CG70" i="59"/>
  <c r="CH70" i="59" s="1"/>
  <c r="CE70" i="59"/>
  <c r="CF70" i="59" s="1"/>
  <c r="CC70" i="59"/>
  <c r="CD70" i="59" s="1"/>
  <c r="CA70" i="59"/>
  <c r="CB70" i="59" s="1"/>
  <c r="BY70" i="59"/>
  <c r="BZ70" i="59" s="1"/>
  <c r="BW70" i="59"/>
  <c r="BX70" i="59" s="1"/>
  <c r="BU70" i="59"/>
  <c r="BV70" i="59" s="1"/>
  <c r="BS70" i="59"/>
  <c r="BT70" i="59" s="1"/>
  <c r="AY70" i="59"/>
  <c r="AX70" i="59"/>
  <c r="AW70" i="59"/>
  <c r="AV70" i="59"/>
  <c r="EC69" i="59"/>
  <c r="ED69" i="59" s="1"/>
  <c r="EA69" i="59"/>
  <c r="EB69" i="59" s="1"/>
  <c r="DY69" i="59"/>
  <c r="DZ69" i="59" s="1"/>
  <c r="DW69" i="59"/>
  <c r="DX69" i="59" s="1"/>
  <c r="DU69" i="59"/>
  <c r="DV69" i="59" s="1"/>
  <c r="DS69" i="59"/>
  <c r="DT69" i="59" s="1"/>
  <c r="DQ69" i="59"/>
  <c r="DR69" i="59" s="1"/>
  <c r="DO69" i="59"/>
  <c r="DP69" i="59" s="1"/>
  <c r="DM69" i="59"/>
  <c r="DN69" i="59" s="1"/>
  <c r="DK69" i="59"/>
  <c r="DL69" i="59" s="1"/>
  <c r="DI69" i="59"/>
  <c r="DJ69" i="59" s="1"/>
  <c r="DG69" i="59"/>
  <c r="DH69" i="59" s="1"/>
  <c r="DE69" i="59"/>
  <c r="DF69" i="59" s="1"/>
  <c r="DC69" i="59"/>
  <c r="DD69" i="59" s="1"/>
  <c r="DA69" i="59"/>
  <c r="DB69" i="59" s="1"/>
  <c r="CY69" i="59"/>
  <c r="CZ69" i="59" s="1"/>
  <c r="CW69" i="59"/>
  <c r="CX69" i="59" s="1"/>
  <c r="CU69" i="59"/>
  <c r="CV69" i="59" s="1"/>
  <c r="CS69" i="59"/>
  <c r="CT69" i="59" s="1"/>
  <c r="CQ69" i="59"/>
  <c r="CR69" i="59" s="1"/>
  <c r="CO69" i="59"/>
  <c r="CP69" i="59" s="1"/>
  <c r="CM69" i="59"/>
  <c r="CN69" i="59" s="1"/>
  <c r="CK69" i="59"/>
  <c r="CL69" i="59" s="1"/>
  <c r="CI69" i="59"/>
  <c r="CJ69" i="59" s="1"/>
  <c r="CG69" i="59"/>
  <c r="CH69" i="59" s="1"/>
  <c r="CE69" i="59"/>
  <c r="CF69" i="59" s="1"/>
  <c r="CC69" i="59"/>
  <c r="CD69" i="59" s="1"/>
  <c r="CA69" i="59"/>
  <c r="CB69" i="59" s="1"/>
  <c r="BY69" i="59"/>
  <c r="BZ69" i="59" s="1"/>
  <c r="BW69" i="59"/>
  <c r="BX69" i="59" s="1"/>
  <c r="BU69" i="59"/>
  <c r="BV69" i="59" s="1"/>
  <c r="BS69" i="59"/>
  <c r="BT69" i="59" s="1"/>
  <c r="AY69" i="59"/>
  <c r="AX69" i="59"/>
  <c r="AW69" i="59"/>
  <c r="AV69" i="59"/>
  <c r="BC70" i="59" l="1"/>
  <c r="BD70" i="59"/>
  <c r="BF70" i="59"/>
  <c r="BC71" i="59"/>
  <c r="BD71" i="59"/>
  <c r="BF71" i="59"/>
  <c r="BG69" i="59"/>
  <c r="BH69" i="59"/>
  <c r="BG71" i="59"/>
  <c r="BH71" i="59"/>
  <c r="BH70" i="59"/>
  <c r="BG70" i="59"/>
  <c r="BF69" i="59"/>
  <c r="BC69" i="59"/>
  <c r="BD69" i="59"/>
  <c r="AT69" i="59"/>
  <c r="BE69" i="59" s="1"/>
  <c r="AT71" i="59"/>
  <c r="BE71" i="59" s="1"/>
  <c r="AT70" i="59"/>
  <c r="BE70" i="59" s="1"/>
  <c r="BK71" i="59" l="1"/>
  <c r="BO71" i="59" s="1"/>
  <c r="BR71" i="59" s="1"/>
  <c r="BK69" i="59"/>
  <c r="BO69" i="59" s="1"/>
  <c r="BR69" i="59" s="1"/>
  <c r="BK70" i="59"/>
  <c r="BO70" i="59" s="1"/>
  <c r="BR70" i="59" s="1"/>
  <c r="V110" i="59"/>
  <c r="EB90" i="65" l="1"/>
  <c r="EC90" i="65" s="1"/>
  <c r="DZ90" i="65"/>
  <c r="EA90" i="65" s="1"/>
  <c r="DX90" i="65"/>
  <c r="DY90" i="65" s="1"/>
  <c r="DV90" i="65"/>
  <c r="DW90" i="65" s="1"/>
  <c r="DT90" i="65"/>
  <c r="DU90" i="65" s="1"/>
  <c r="DR90" i="65"/>
  <c r="DS90" i="65" s="1"/>
  <c r="DP90" i="65"/>
  <c r="DQ90" i="65" s="1"/>
  <c r="DN90" i="65"/>
  <c r="DO90" i="65" s="1"/>
  <c r="DL90" i="65"/>
  <c r="DM90" i="65" s="1"/>
  <c r="DJ90" i="65"/>
  <c r="DK90" i="65" s="1"/>
  <c r="DH90" i="65"/>
  <c r="DI90" i="65" s="1"/>
  <c r="DF90" i="65"/>
  <c r="DG90" i="65" s="1"/>
  <c r="DD90" i="65"/>
  <c r="DE90" i="65" s="1"/>
  <c r="DB90" i="65"/>
  <c r="DC90" i="65" s="1"/>
  <c r="CZ90" i="65"/>
  <c r="DA90" i="65" s="1"/>
  <c r="CX90" i="65"/>
  <c r="CY90" i="65" s="1"/>
  <c r="CV90" i="65"/>
  <c r="CW90" i="65" s="1"/>
  <c r="CT90" i="65"/>
  <c r="CU90" i="65" s="1"/>
  <c r="CR90" i="65"/>
  <c r="CS90" i="65" s="1"/>
  <c r="CP90" i="65"/>
  <c r="CQ90" i="65" s="1"/>
  <c r="CN90" i="65"/>
  <c r="CO90" i="65" s="1"/>
  <c r="CL90" i="65"/>
  <c r="CM90" i="65" s="1"/>
  <c r="CJ90" i="65"/>
  <c r="CK90" i="65" s="1"/>
  <c r="CH90" i="65"/>
  <c r="CI90" i="65" s="1"/>
  <c r="CF90" i="65"/>
  <c r="CG90" i="65" s="1"/>
  <c r="CD90" i="65"/>
  <c r="CE90" i="65" s="1"/>
  <c r="CB90" i="65"/>
  <c r="CC90" i="65" s="1"/>
  <c r="BZ90" i="65"/>
  <c r="CA90" i="65" s="1"/>
  <c r="BX90" i="65"/>
  <c r="BY90" i="65" s="1"/>
  <c r="BV90" i="65"/>
  <c r="BW90" i="65" s="1"/>
  <c r="BT90" i="65"/>
  <c r="BU90" i="65" s="1"/>
  <c r="BR90" i="65"/>
  <c r="BS90" i="65" s="1"/>
  <c r="AY90" i="65"/>
  <c r="AX90" i="65"/>
  <c r="AW90" i="65"/>
  <c r="EB89" i="65"/>
  <c r="EC89" i="65" s="1"/>
  <c r="DZ89" i="65"/>
  <c r="EA89" i="65" s="1"/>
  <c r="DX89" i="65"/>
  <c r="DY89" i="65" s="1"/>
  <c r="DV89" i="65"/>
  <c r="DW89" i="65" s="1"/>
  <c r="DT89" i="65"/>
  <c r="DU89" i="65" s="1"/>
  <c r="DR89" i="65"/>
  <c r="DS89" i="65" s="1"/>
  <c r="DP89" i="65"/>
  <c r="DQ89" i="65" s="1"/>
  <c r="DN89" i="65"/>
  <c r="DO89" i="65" s="1"/>
  <c r="DL89" i="65"/>
  <c r="DM89" i="65" s="1"/>
  <c r="DJ89" i="65"/>
  <c r="DK89" i="65" s="1"/>
  <c r="DH89" i="65"/>
  <c r="DI89" i="65" s="1"/>
  <c r="DF89" i="65"/>
  <c r="DG89" i="65" s="1"/>
  <c r="DD89" i="65"/>
  <c r="DE89" i="65" s="1"/>
  <c r="DB89" i="65"/>
  <c r="DC89" i="65" s="1"/>
  <c r="CZ89" i="65"/>
  <c r="DA89" i="65" s="1"/>
  <c r="CX89" i="65"/>
  <c r="CY89" i="65" s="1"/>
  <c r="CV89" i="65"/>
  <c r="CW89" i="65" s="1"/>
  <c r="CT89" i="65"/>
  <c r="CU89" i="65" s="1"/>
  <c r="CR89" i="65"/>
  <c r="CS89" i="65" s="1"/>
  <c r="CP89" i="65"/>
  <c r="CQ89" i="65" s="1"/>
  <c r="CN89" i="65"/>
  <c r="CO89" i="65" s="1"/>
  <c r="CL89" i="65"/>
  <c r="CM89" i="65" s="1"/>
  <c r="CJ89" i="65"/>
  <c r="CK89" i="65" s="1"/>
  <c r="CH89" i="65"/>
  <c r="CI89" i="65" s="1"/>
  <c r="CF89" i="65"/>
  <c r="CG89" i="65" s="1"/>
  <c r="CD89" i="65"/>
  <c r="CE89" i="65" s="1"/>
  <c r="CB89" i="65"/>
  <c r="CC89" i="65" s="1"/>
  <c r="BZ89" i="65"/>
  <c r="CA89" i="65" s="1"/>
  <c r="BX89" i="65"/>
  <c r="BY89" i="65" s="1"/>
  <c r="BV89" i="65"/>
  <c r="BW89" i="65" s="1"/>
  <c r="BT89" i="65"/>
  <c r="BU89" i="65" s="1"/>
  <c r="BR89" i="65"/>
  <c r="BS89" i="65" s="1"/>
  <c r="AY89" i="65"/>
  <c r="AX89" i="65"/>
  <c r="AW89" i="65"/>
  <c r="EB88" i="65"/>
  <c r="EC88" i="65" s="1"/>
  <c r="DZ88" i="65"/>
  <c r="EA88" i="65" s="1"/>
  <c r="DX88" i="65"/>
  <c r="DY88" i="65" s="1"/>
  <c r="DV88" i="65"/>
  <c r="DW88" i="65" s="1"/>
  <c r="DT88" i="65"/>
  <c r="DU88" i="65" s="1"/>
  <c r="DR88" i="65"/>
  <c r="DS88" i="65" s="1"/>
  <c r="DP88" i="65"/>
  <c r="DQ88" i="65" s="1"/>
  <c r="DN88" i="65"/>
  <c r="DO88" i="65" s="1"/>
  <c r="DL88" i="65"/>
  <c r="DM88" i="65" s="1"/>
  <c r="DJ88" i="65"/>
  <c r="DK88" i="65" s="1"/>
  <c r="DH88" i="65"/>
  <c r="DI88" i="65" s="1"/>
  <c r="DF88" i="65"/>
  <c r="DG88" i="65" s="1"/>
  <c r="DD88" i="65"/>
  <c r="DE88" i="65" s="1"/>
  <c r="DB88" i="65"/>
  <c r="DC88" i="65" s="1"/>
  <c r="CZ88" i="65"/>
  <c r="DA88" i="65" s="1"/>
  <c r="CX88" i="65"/>
  <c r="CY88" i="65" s="1"/>
  <c r="CV88" i="65"/>
  <c r="CW88" i="65" s="1"/>
  <c r="CT88" i="65"/>
  <c r="CU88" i="65" s="1"/>
  <c r="CR88" i="65"/>
  <c r="CS88" i="65" s="1"/>
  <c r="CP88" i="65"/>
  <c r="CQ88" i="65" s="1"/>
  <c r="CN88" i="65"/>
  <c r="CO88" i="65" s="1"/>
  <c r="CL88" i="65"/>
  <c r="CM88" i="65" s="1"/>
  <c r="CJ88" i="65"/>
  <c r="CK88" i="65" s="1"/>
  <c r="CH88" i="65"/>
  <c r="CI88" i="65" s="1"/>
  <c r="CF88" i="65"/>
  <c r="CG88" i="65" s="1"/>
  <c r="CD88" i="65"/>
  <c r="CE88" i="65" s="1"/>
  <c r="CB88" i="65"/>
  <c r="CC88" i="65" s="1"/>
  <c r="BZ88" i="65"/>
  <c r="CA88" i="65" s="1"/>
  <c r="BX88" i="65"/>
  <c r="BY88" i="65" s="1"/>
  <c r="BV88" i="65"/>
  <c r="BW88" i="65" s="1"/>
  <c r="BT88" i="65"/>
  <c r="BU88" i="65" s="1"/>
  <c r="BR88" i="65"/>
  <c r="BS88" i="65" s="1"/>
  <c r="AY88" i="65"/>
  <c r="AX88" i="65"/>
  <c r="AW88" i="65"/>
  <c r="EB87" i="65"/>
  <c r="EC87" i="65" s="1"/>
  <c r="DZ87" i="65"/>
  <c r="EA87" i="65" s="1"/>
  <c r="DX87" i="65"/>
  <c r="DY87" i="65" s="1"/>
  <c r="DV87" i="65"/>
  <c r="DW87" i="65" s="1"/>
  <c r="DT87" i="65"/>
  <c r="DU87" i="65" s="1"/>
  <c r="DR87" i="65"/>
  <c r="DS87" i="65" s="1"/>
  <c r="DP87" i="65"/>
  <c r="DQ87" i="65" s="1"/>
  <c r="DN87" i="65"/>
  <c r="DO87" i="65" s="1"/>
  <c r="DL87" i="65"/>
  <c r="DM87" i="65" s="1"/>
  <c r="DJ87" i="65"/>
  <c r="DK87" i="65" s="1"/>
  <c r="DH87" i="65"/>
  <c r="DI87" i="65" s="1"/>
  <c r="DF87" i="65"/>
  <c r="DG87" i="65" s="1"/>
  <c r="DD87" i="65"/>
  <c r="DE87" i="65" s="1"/>
  <c r="DB87" i="65"/>
  <c r="DC87" i="65" s="1"/>
  <c r="CZ87" i="65"/>
  <c r="DA87" i="65" s="1"/>
  <c r="CX87" i="65"/>
  <c r="CY87" i="65" s="1"/>
  <c r="CV87" i="65"/>
  <c r="CW87" i="65" s="1"/>
  <c r="CT87" i="65"/>
  <c r="CU87" i="65" s="1"/>
  <c r="CR87" i="65"/>
  <c r="CS87" i="65" s="1"/>
  <c r="CP87" i="65"/>
  <c r="CQ87" i="65" s="1"/>
  <c r="CN87" i="65"/>
  <c r="CO87" i="65" s="1"/>
  <c r="CL87" i="65"/>
  <c r="CM87" i="65" s="1"/>
  <c r="CJ87" i="65"/>
  <c r="CK87" i="65" s="1"/>
  <c r="CH87" i="65"/>
  <c r="CI87" i="65" s="1"/>
  <c r="CF87" i="65"/>
  <c r="CG87" i="65" s="1"/>
  <c r="CD87" i="65"/>
  <c r="CE87" i="65" s="1"/>
  <c r="CB87" i="65"/>
  <c r="CC87" i="65" s="1"/>
  <c r="BZ87" i="65"/>
  <c r="CA87" i="65" s="1"/>
  <c r="BX87" i="65"/>
  <c r="BY87" i="65" s="1"/>
  <c r="BV87" i="65"/>
  <c r="BW87" i="65" s="1"/>
  <c r="BT87" i="65"/>
  <c r="BU87" i="65" s="1"/>
  <c r="BR87" i="65"/>
  <c r="BS87" i="65" s="1"/>
  <c r="AY87" i="65"/>
  <c r="AX87" i="65"/>
  <c r="AW87" i="65"/>
  <c r="EB86" i="65"/>
  <c r="EC86" i="65" s="1"/>
  <c r="DZ86" i="65"/>
  <c r="EA86" i="65" s="1"/>
  <c r="DX86" i="65"/>
  <c r="DY86" i="65" s="1"/>
  <c r="DV86" i="65"/>
  <c r="DW86" i="65" s="1"/>
  <c r="DT86" i="65"/>
  <c r="DU86" i="65" s="1"/>
  <c r="DR86" i="65"/>
  <c r="DS86" i="65" s="1"/>
  <c r="DP86" i="65"/>
  <c r="DQ86" i="65" s="1"/>
  <c r="DN86" i="65"/>
  <c r="DO86" i="65" s="1"/>
  <c r="DL86" i="65"/>
  <c r="DM86" i="65" s="1"/>
  <c r="DJ86" i="65"/>
  <c r="DK86" i="65" s="1"/>
  <c r="DH86" i="65"/>
  <c r="DI86" i="65" s="1"/>
  <c r="DF86" i="65"/>
  <c r="DG86" i="65" s="1"/>
  <c r="DD86" i="65"/>
  <c r="DE86" i="65" s="1"/>
  <c r="DB86" i="65"/>
  <c r="DC86" i="65" s="1"/>
  <c r="CZ86" i="65"/>
  <c r="DA86" i="65" s="1"/>
  <c r="CX86" i="65"/>
  <c r="CY86" i="65" s="1"/>
  <c r="CV86" i="65"/>
  <c r="CW86" i="65" s="1"/>
  <c r="CT86" i="65"/>
  <c r="CU86" i="65" s="1"/>
  <c r="CR86" i="65"/>
  <c r="CS86" i="65" s="1"/>
  <c r="CP86" i="65"/>
  <c r="CQ86" i="65" s="1"/>
  <c r="CN86" i="65"/>
  <c r="CO86" i="65" s="1"/>
  <c r="CL86" i="65"/>
  <c r="CM86" i="65" s="1"/>
  <c r="CJ86" i="65"/>
  <c r="CK86" i="65" s="1"/>
  <c r="CH86" i="65"/>
  <c r="CI86" i="65" s="1"/>
  <c r="CF86" i="65"/>
  <c r="CG86" i="65" s="1"/>
  <c r="CD86" i="65"/>
  <c r="CE86" i="65" s="1"/>
  <c r="CB86" i="65"/>
  <c r="CC86" i="65" s="1"/>
  <c r="BZ86" i="65"/>
  <c r="CA86" i="65" s="1"/>
  <c r="BX86" i="65"/>
  <c r="BY86" i="65" s="1"/>
  <c r="BV86" i="65"/>
  <c r="BW86" i="65" s="1"/>
  <c r="BT86" i="65"/>
  <c r="BU86" i="65" s="1"/>
  <c r="BR86" i="65"/>
  <c r="BS86" i="65" s="1"/>
  <c r="AY86" i="65"/>
  <c r="AX86" i="65"/>
  <c r="AW86" i="65"/>
  <c r="AE131" i="65"/>
  <c r="EB85" i="65"/>
  <c r="EC85" i="65" s="1"/>
  <c r="DZ85" i="65"/>
  <c r="EA85" i="65" s="1"/>
  <c r="DX85" i="65"/>
  <c r="DY85" i="65" s="1"/>
  <c r="DV85" i="65"/>
  <c r="DW85" i="65" s="1"/>
  <c r="DT85" i="65"/>
  <c r="DU85" i="65" s="1"/>
  <c r="DR85" i="65"/>
  <c r="DS85" i="65" s="1"/>
  <c r="DP85" i="65"/>
  <c r="DQ85" i="65" s="1"/>
  <c r="DN85" i="65"/>
  <c r="DO85" i="65" s="1"/>
  <c r="DL85" i="65"/>
  <c r="DM85" i="65" s="1"/>
  <c r="DJ85" i="65"/>
  <c r="DK85" i="65" s="1"/>
  <c r="DH85" i="65"/>
  <c r="DI85" i="65" s="1"/>
  <c r="DF85" i="65"/>
  <c r="DG85" i="65" s="1"/>
  <c r="DD85" i="65"/>
  <c r="DE85" i="65" s="1"/>
  <c r="DB85" i="65"/>
  <c r="DC85" i="65" s="1"/>
  <c r="CZ85" i="65"/>
  <c r="DA85" i="65" s="1"/>
  <c r="CX85" i="65"/>
  <c r="CY85" i="65" s="1"/>
  <c r="CV85" i="65"/>
  <c r="CW85" i="65" s="1"/>
  <c r="CT85" i="65"/>
  <c r="CU85" i="65" s="1"/>
  <c r="CR85" i="65"/>
  <c r="CS85" i="65" s="1"/>
  <c r="CP85" i="65"/>
  <c r="CQ85" i="65" s="1"/>
  <c r="CN85" i="65"/>
  <c r="CO85" i="65" s="1"/>
  <c r="CL85" i="65"/>
  <c r="CM85" i="65" s="1"/>
  <c r="CJ85" i="65"/>
  <c r="CK85" i="65" s="1"/>
  <c r="CH85" i="65"/>
  <c r="CI85" i="65" s="1"/>
  <c r="CF85" i="65"/>
  <c r="CG85" i="65" s="1"/>
  <c r="CD85" i="65"/>
  <c r="CE85" i="65" s="1"/>
  <c r="CB85" i="65"/>
  <c r="CC85" i="65" s="1"/>
  <c r="BZ85" i="65"/>
  <c r="CA85" i="65" s="1"/>
  <c r="BX85" i="65"/>
  <c r="BY85" i="65" s="1"/>
  <c r="BV85" i="65"/>
  <c r="BW85" i="65" s="1"/>
  <c r="BT85" i="65"/>
  <c r="BU85" i="65" s="1"/>
  <c r="BR85" i="65"/>
  <c r="BS85" i="65" s="1"/>
  <c r="AY85" i="65"/>
  <c r="AX85" i="65"/>
  <c r="AW85" i="65"/>
  <c r="EB84" i="65"/>
  <c r="EC84" i="65" s="1"/>
  <c r="DZ84" i="65"/>
  <c r="EA84" i="65" s="1"/>
  <c r="DX84" i="65"/>
  <c r="DY84" i="65" s="1"/>
  <c r="DV84" i="65"/>
  <c r="DW84" i="65" s="1"/>
  <c r="DT84" i="65"/>
  <c r="DU84" i="65" s="1"/>
  <c r="DR84" i="65"/>
  <c r="DS84" i="65" s="1"/>
  <c r="DP84" i="65"/>
  <c r="DQ84" i="65" s="1"/>
  <c r="DN84" i="65"/>
  <c r="DO84" i="65" s="1"/>
  <c r="DL84" i="65"/>
  <c r="DM84" i="65" s="1"/>
  <c r="DJ84" i="65"/>
  <c r="DK84" i="65" s="1"/>
  <c r="DH84" i="65"/>
  <c r="DI84" i="65" s="1"/>
  <c r="DF84" i="65"/>
  <c r="DG84" i="65" s="1"/>
  <c r="DD84" i="65"/>
  <c r="DE84" i="65" s="1"/>
  <c r="DB84" i="65"/>
  <c r="DC84" i="65" s="1"/>
  <c r="CZ84" i="65"/>
  <c r="DA84" i="65" s="1"/>
  <c r="CX84" i="65"/>
  <c r="CY84" i="65" s="1"/>
  <c r="CV84" i="65"/>
  <c r="CW84" i="65" s="1"/>
  <c r="CT84" i="65"/>
  <c r="CU84" i="65" s="1"/>
  <c r="CR84" i="65"/>
  <c r="CS84" i="65" s="1"/>
  <c r="CP84" i="65"/>
  <c r="CQ84" i="65" s="1"/>
  <c r="CN84" i="65"/>
  <c r="CO84" i="65" s="1"/>
  <c r="CL84" i="65"/>
  <c r="CM84" i="65" s="1"/>
  <c r="CJ84" i="65"/>
  <c r="CK84" i="65" s="1"/>
  <c r="CH84" i="65"/>
  <c r="CI84" i="65" s="1"/>
  <c r="CF84" i="65"/>
  <c r="CG84" i="65" s="1"/>
  <c r="CD84" i="65"/>
  <c r="CE84" i="65" s="1"/>
  <c r="CB84" i="65"/>
  <c r="CC84" i="65" s="1"/>
  <c r="BZ84" i="65"/>
  <c r="CA84" i="65" s="1"/>
  <c r="BX84" i="65"/>
  <c r="BY84" i="65" s="1"/>
  <c r="BV84" i="65"/>
  <c r="BW84" i="65" s="1"/>
  <c r="BT84" i="65"/>
  <c r="BU84" i="65" s="1"/>
  <c r="BR84" i="65"/>
  <c r="BS84" i="65" s="1"/>
  <c r="AY84" i="65"/>
  <c r="AX84" i="65"/>
  <c r="AW84" i="65"/>
  <c r="EB112" i="65"/>
  <c r="EC112" i="65" s="1"/>
  <c r="DZ112" i="65"/>
  <c r="EA112" i="65" s="1"/>
  <c r="DX112" i="65"/>
  <c r="DY112" i="65" s="1"/>
  <c r="DV112" i="65"/>
  <c r="DW112" i="65" s="1"/>
  <c r="DT112" i="65"/>
  <c r="DU112" i="65" s="1"/>
  <c r="DR112" i="65"/>
  <c r="DS112" i="65" s="1"/>
  <c r="DP112" i="65"/>
  <c r="DQ112" i="65" s="1"/>
  <c r="DN112" i="65"/>
  <c r="DO112" i="65" s="1"/>
  <c r="DL112" i="65"/>
  <c r="DM112" i="65" s="1"/>
  <c r="DJ112" i="65"/>
  <c r="DK112" i="65" s="1"/>
  <c r="DH112" i="65"/>
  <c r="DI112" i="65" s="1"/>
  <c r="DF112" i="65"/>
  <c r="DG112" i="65" s="1"/>
  <c r="DD112" i="65"/>
  <c r="DE112" i="65" s="1"/>
  <c r="DB112" i="65"/>
  <c r="DC112" i="65" s="1"/>
  <c r="CZ112" i="65"/>
  <c r="DA112" i="65" s="1"/>
  <c r="CX112" i="65"/>
  <c r="CY112" i="65" s="1"/>
  <c r="CV112" i="65"/>
  <c r="CW112" i="65" s="1"/>
  <c r="CT112" i="65"/>
  <c r="CU112" i="65" s="1"/>
  <c r="CR112" i="65"/>
  <c r="CS112" i="65" s="1"/>
  <c r="CP112" i="65"/>
  <c r="CQ112" i="65" s="1"/>
  <c r="CN112" i="65"/>
  <c r="CO112" i="65" s="1"/>
  <c r="CL112" i="65"/>
  <c r="CM112" i="65" s="1"/>
  <c r="CJ112" i="65"/>
  <c r="CK112" i="65" s="1"/>
  <c r="CH112" i="65"/>
  <c r="CI112" i="65" s="1"/>
  <c r="CF112" i="65"/>
  <c r="CG112" i="65" s="1"/>
  <c r="CD112" i="65"/>
  <c r="CE112" i="65" s="1"/>
  <c r="CB112" i="65"/>
  <c r="CC112" i="65" s="1"/>
  <c r="BZ112" i="65"/>
  <c r="CA112" i="65" s="1"/>
  <c r="BX112" i="65"/>
  <c r="BY112" i="65" s="1"/>
  <c r="BV112" i="65"/>
  <c r="BW112" i="65" s="1"/>
  <c r="BT112" i="65"/>
  <c r="BU112" i="65" s="1"/>
  <c r="BR112" i="65"/>
  <c r="BS112" i="65" s="1"/>
  <c r="AY112" i="65"/>
  <c r="AX112" i="65"/>
  <c r="AW112" i="65"/>
  <c r="EB83" i="65"/>
  <c r="EC83" i="65" s="1"/>
  <c r="DZ83" i="65"/>
  <c r="EA83" i="65" s="1"/>
  <c r="DX83" i="65"/>
  <c r="DY83" i="65" s="1"/>
  <c r="DV83" i="65"/>
  <c r="DW83" i="65" s="1"/>
  <c r="DT83" i="65"/>
  <c r="DU83" i="65" s="1"/>
  <c r="DR83" i="65"/>
  <c r="DS83" i="65" s="1"/>
  <c r="DP83" i="65"/>
  <c r="DQ83" i="65" s="1"/>
  <c r="DN83" i="65"/>
  <c r="DO83" i="65" s="1"/>
  <c r="DL83" i="65"/>
  <c r="DM83" i="65" s="1"/>
  <c r="DJ83" i="65"/>
  <c r="DK83" i="65" s="1"/>
  <c r="DH83" i="65"/>
  <c r="DI83" i="65" s="1"/>
  <c r="DF83" i="65"/>
  <c r="DG83" i="65" s="1"/>
  <c r="DD83" i="65"/>
  <c r="DE83" i="65" s="1"/>
  <c r="DB83" i="65"/>
  <c r="DC83" i="65" s="1"/>
  <c r="CZ83" i="65"/>
  <c r="DA83" i="65" s="1"/>
  <c r="CX83" i="65"/>
  <c r="CY83" i="65" s="1"/>
  <c r="CV83" i="65"/>
  <c r="CW83" i="65" s="1"/>
  <c r="CT83" i="65"/>
  <c r="CU83" i="65" s="1"/>
  <c r="CR83" i="65"/>
  <c r="CS83" i="65" s="1"/>
  <c r="CP83" i="65"/>
  <c r="CQ83" i="65" s="1"/>
  <c r="CN83" i="65"/>
  <c r="CO83" i="65" s="1"/>
  <c r="CL83" i="65"/>
  <c r="CM83" i="65" s="1"/>
  <c r="CJ83" i="65"/>
  <c r="CK83" i="65" s="1"/>
  <c r="CH83" i="65"/>
  <c r="CI83" i="65" s="1"/>
  <c r="CF83" i="65"/>
  <c r="CG83" i="65" s="1"/>
  <c r="CD83" i="65"/>
  <c r="CE83" i="65" s="1"/>
  <c r="CB83" i="65"/>
  <c r="CC83" i="65" s="1"/>
  <c r="BZ83" i="65"/>
  <c r="CA83" i="65" s="1"/>
  <c r="BX83" i="65"/>
  <c r="BY83" i="65" s="1"/>
  <c r="BV83" i="65"/>
  <c r="BW83" i="65" s="1"/>
  <c r="BT83" i="65"/>
  <c r="BU83" i="65" s="1"/>
  <c r="BR83" i="65"/>
  <c r="BS83" i="65" s="1"/>
  <c r="AY83" i="65"/>
  <c r="AX83" i="65"/>
  <c r="AW83" i="65"/>
  <c r="BF88" i="65" l="1"/>
  <c r="BC88" i="65"/>
  <c r="BD88" i="65"/>
  <c r="BH83" i="65"/>
  <c r="BG83" i="65"/>
  <c r="BH87" i="65"/>
  <c r="BG87" i="65"/>
  <c r="BG89" i="65"/>
  <c r="BH89" i="65"/>
  <c r="BD84" i="65"/>
  <c r="BF84" i="65"/>
  <c r="BC84" i="65"/>
  <c r="BF90" i="65"/>
  <c r="BD90" i="65"/>
  <c r="BC90" i="65"/>
  <c r="BG84" i="65"/>
  <c r="BH84" i="65"/>
  <c r="BG86" i="65"/>
  <c r="BH86" i="65"/>
  <c r="BG88" i="65"/>
  <c r="BH88" i="65"/>
  <c r="BG90" i="65"/>
  <c r="BH90" i="65"/>
  <c r="BC89" i="65"/>
  <c r="BF89" i="65"/>
  <c r="BD89" i="65"/>
  <c r="BG112" i="65"/>
  <c r="BH112" i="65"/>
  <c r="BG85" i="65"/>
  <c r="BH85" i="65"/>
  <c r="BF86" i="65"/>
  <c r="BC86" i="65"/>
  <c r="BD86" i="65"/>
  <c r="BC87" i="65"/>
  <c r="BD87" i="65"/>
  <c r="BF87" i="65"/>
  <c r="BC83" i="65"/>
  <c r="BF83" i="65"/>
  <c r="BD83" i="65"/>
  <c r="BC112" i="65"/>
  <c r="BD112" i="65"/>
  <c r="BF112" i="65"/>
  <c r="BC85" i="65"/>
  <c r="BF85" i="65"/>
  <c r="BD85" i="65"/>
  <c r="AT87" i="65"/>
  <c r="BE87" i="65" s="1"/>
  <c r="AT112" i="65"/>
  <c r="BE112" i="65" s="1"/>
  <c r="AT84" i="65"/>
  <c r="BE84" i="65" s="1"/>
  <c r="AT88" i="65"/>
  <c r="BE88" i="65" s="1"/>
  <c r="AT89" i="65"/>
  <c r="BE89" i="65" s="1"/>
  <c r="AT90" i="65"/>
  <c r="BE90" i="65" s="1"/>
  <c r="AT86" i="65"/>
  <c r="BE86" i="65" s="1"/>
  <c r="AT85" i="65"/>
  <c r="BE85" i="65" s="1"/>
  <c r="AT83" i="65"/>
  <c r="BE83" i="65" s="1"/>
  <c r="EC64" i="59"/>
  <c r="ED64" i="59" s="1"/>
  <c r="EA64" i="59"/>
  <c r="EB64" i="59" s="1"/>
  <c r="DY64" i="59"/>
  <c r="DZ64" i="59" s="1"/>
  <c r="DW64" i="59"/>
  <c r="DX64" i="59" s="1"/>
  <c r="DU64" i="59"/>
  <c r="DV64" i="59" s="1"/>
  <c r="DS64" i="59"/>
  <c r="DT64" i="59" s="1"/>
  <c r="DQ64" i="59"/>
  <c r="DR64" i="59" s="1"/>
  <c r="DO64" i="59"/>
  <c r="DP64" i="59" s="1"/>
  <c r="DM64" i="59"/>
  <c r="DN64" i="59" s="1"/>
  <c r="DK64" i="59"/>
  <c r="DL64" i="59" s="1"/>
  <c r="DI64" i="59"/>
  <c r="DJ64" i="59" s="1"/>
  <c r="DG64" i="59"/>
  <c r="DH64" i="59" s="1"/>
  <c r="DE64" i="59"/>
  <c r="DF64" i="59" s="1"/>
  <c r="DC64" i="59"/>
  <c r="DD64" i="59" s="1"/>
  <c r="DA64" i="59"/>
  <c r="DB64" i="59" s="1"/>
  <c r="CY64" i="59"/>
  <c r="CZ64" i="59" s="1"/>
  <c r="CW64" i="59"/>
  <c r="CX64" i="59" s="1"/>
  <c r="CU64" i="59"/>
  <c r="CV64" i="59" s="1"/>
  <c r="CS64" i="59"/>
  <c r="CT64" i="59" s="1"/>
  <c r="CQ64" i="59"/>
  <c r="CR64" i="59" s="1"/>
  <c r="CO64" i="59"/>
  <c r="CP64" i="59" s="1"/>
  <c r="CM64" i="59"/>
  <c r="CN64" i="59" s="1"/>
  <c r="CK64" i="59"/>
  <c r="CL64" i="59" s="1"/>
  <c r="CI64" i="59"/>
  <c r="CJ64" i="59" s="1"/>
  <c r="CG64" i="59"/>
  <c r="CH64" i="59" s="1"/>
  <c r="CE64" i="59"/>
  <c r="CF64" i="59" s="1"/>
  <c r="CC64" i="59"/>
  <c r="CD64" i="59" s="1"/>
  <c r="CA64" i="59"/>
  <c r="CB64" i="59" s="1"/>
  <c r="BY64" i="59"/>
  <c r="BZ64" i="59" s="1"/>
  <c r="BW64" i="59"/>
  <c r="BX64" i="59" s="1"/>
  <c r="BU64" i="59"/>
  <c r="BV64" i="59" s="1"/>
  <c r="BS64" i="59"/>
  <c r="BT64" i="59" s="1"/>
  <c r="AY64" i="59"/>
  <c r="AX64" i="59"/>
  <c r="AW64" i="59"/>
  <c r="AV64" i="59"/>
  <c r="EC61" i="59"/>
  <c r="ED61" i="59" s="1"/>
  <c r="EA61" i="59"/>
  <c r="EB61" i="59" s="1"/>
  <c r="DY61" i="59"/>
  <c r="DZ61" i="59" s="1"/>
  <c r="DW61" i="59"/>
  <c r="DX61" i="59" s="1"/>
  <c r="DU61" i="59"/>
  <c r="DV61" i="59" s="1"/>
  <c r="DS61" i="59"/>
  <c r="DT61" i="59" s="1"/>
  <c r="DQ61" i="59"/>
  <c r="DR61" i="59" s="1"/>
  <c r="DO61" i="59"/>
  <c r="DP61" i="59" s="1"/>
  <c r="DM61" i="59"/>
  <c r="DN61" i="59" s="1"/>
  <c r="DK61" i="59"/>
  <c r="DL61" i="59" s="1"/>
  <c r="DI61" i="59"/>
  <c r="DJ61" i="59" s="1"/>
  <c r="DG61" i="59"/>
  <c r="DH61" i="59" s="1"/>
  <c r="DE61" i="59"/>
  <c r="DF61" i="59" s="1"/>
  <c r="DC61" i="59"/>
  <c r="DD61" i="59" s="1"/>
  <c r="DA61" i="59"/>
  <c r="DB61" i="59" s="1"/>
  <c r="CY61" i="59"/>
  <c r="CZ61" i="59" s="1"/>
  <c r="CW61" i="59"/>
  <c r="CX61" i="59" s="1"/>
  <c r="CU61" i="59"/>
  <c r="CV61" i="59" s="1"/>
  <c r="CS61" i="59"/>
  <c r="CT61" i="59" s="1"/>
  <c r="CQ61" i="59"/>
  <c r="CR61" i="59" s="1"/>
  <c r="CO61" i="59"/>
  <c r="CP61" i="59" s="1"/>
  <c r="CM61" i="59"/>
  <c r="CN61" i="59" s="1"/>
  <c r="CK61" i="59"/>
  <c r="CL61" i="59" s="1"/>
  <c r="CI61" i="59"/>
  <c r="CJ61" i="59" s="1"/>
  <c r="CG61" i="59"/>
  <c r="CH61" i="59" s="1"/>
  <c r="CE61" i="59"/>
  <c r="CF61" i="59" s="1"/>
  <c r="CC61" i="59"/>
  <c r="CD61" i="59" s="1"/>
  <c r="CA61" i="59"/>
  <c r="CB61" i="59" s="1"/>
  <c r="BY61" i="59"/>
  <c r="BZ61" i="59" s="1"/>
  <c r="BW61" i="59"/>
  <c r="BX61" i="59" s="1"/>
  <c r="BU61" i="59"/>
  <c r="BV61" i="59" s="1"/>
  <c r="BS61" i="59"/>
  <c r="BT61" i="59" s="1"/>
  <c r="AY61" i="59"/>
  <c r="AX61" i="59"/>
  <c r="AW61" i="59"/>
  <c r="AV61" i="59"/>
  <c r="EC62" i="59"/>
  <c r="ED62" i="59" s="1"/>
  <c r="EA62" i="59"/>
  <c r="EB62" i="59" s="1"/>
  <c r="DY62" i="59"/>
  <c r="DZ62" i="59" s="1"/>
  <c r="DW62" i="59"/>
  <c r="DX62" i="59" s="1"/>
  <c r="DU62" i="59"/>
  <c r="DV62" i="59" s="1"/>
  <c r="DS62" i="59"/>
  <c r="DT62" i="59" s="1"/>
  <c r="DQ62" i="59"/>
  <c r="DR62" i="59" s="1"/>
  <c r="DO62" i="59"/>
  <c r="DP62" i="59" s="1"/>
  <c r="DM62" i="59"/>
  <c r="DN62" i="59" s="1"/>
  <c r="DK62" i="59"/>
  <c r="DL62" i="59" s="1"/>
  <c r="DI62" i="59"/>
  <c r="DJ62" i="59" s="1"/>
  <c r="DG62" i="59"/>
  <c r="DH62" i="59" s="1"/>
  <c r="DE62" i="59"/>
  <c r="DF62" i="59" s="1"/>
  <c r="DC62" i="59"/>
  <c r="DD62" i="59" s="1"/>
  <c r="DA62" i="59"/>
  <c r="DB62" i="59" s="1"/>
  <c r="CY62" i="59"/>
  <c r="CZ62" i="59" s="1"/>
  <c r="CW62" i="59"/>
  <c r="CX62" i="59" s="1"/>
  <c r="CU62" i="59"/>
  <c r="CV62" i="59" s="1"/>
  <c r="CS62" i="59"/>
  <c r="CT62" i="59" s="1"/>
  <c r="CQ62" i="59"/>
  <c r="CR62" i="59" s="1"/>
  <c r="CO62" i="59"/>
  <c r="CP62" i="59" s="1"/>
  <c r="CM62" i="59"/>
  <c r="CN62" i="59" s="1"/>
  <c r="CK62" i="59"/>
  <c r="CL62" i="59" s="1"/>
  <c r="CI62" i="59"/>
  <c r="CJ62" i="59" s="1"/>
  <c r="CG62" i="59"/>
  <c r="CH62" i="59" s="1"/>
  <c r="CE62" i="59"/>
  <c r="CF62" i="59" s="1"/>
  <c r="CC62" i="59"/>
  <c r="CD62" i="59" s="1"/>
  <c r="CA62" i="59"/>
  <c r="CB62" i="59" s="1"/>
  <c r="BY62" i="59"/>
  <c r="BZ62" i="59" s="1"/>
  <c r="BW62" i="59"/>
  <c r="BX62" i="59" s="1"/>
  <c r="BU62" i="59"/>
  <c r="BV62" i="59" s="1"/>
  <c r="BS62" i="59"/>
  <c r="BT62" i="59" s="1"/>
  <c r="AY62" i="59"/>
  <c r="AX62" i="59"/>
  <c r="AW62" i="59"/>
  <c r="AV62" i="59"/>
  <c r="EC63" i="59"/>
  <c r="ED63" i="59" s="1"/>
  <c r="EA63" i="59"/>
  <c r="EB63" i="59" s="1"/>
  <c r="DY63" i="59"/>
  <c r="DZ63" i="59" s="1"/>
  <c r="DW63" i="59"/>
  <c r="DX63" i="59" s="1"/>
  <c r="DU63" i="59"/>
  <c r="DV63" i="59" s="1"/>
  <c r="DS63" i="59"/>
  <c r="DT63" i="59" s="1"/>
  <c r="DQ63" i="59"/>
  <c r="DR63" i="59" s="1"/>
  <c r="DO63" i="59"/>
  <c r="DP63" i="59" s="1"/>
  <c r="DM63" i="59"/>
  <c r="DN63" i="59" s="1"/>
  <c r="DK63" i="59"/>
  <c r="DL63" i="59" s="1"/>
  <c r="DI63" i="59"/>
  <c r="DJ63" i="59" s="1"/>
  <c r="DG63" i="59"/>
  <c r="DH63" i="59" s="1"/>
  <c r="DE63" i="59"/>
  <c r="DF63" i="59" s="1"/>
  <c r="DC63" i="59"/>
  <c r="DD63" i="59" s="1"/>
  <c r="DA63" i="59"/>
  <c r="DB63" i="59" s="1"/>
  <c r="CY63" i="59"/>
  <c r="CZ63" i="59" s="1"/>
  <c r="CW63" i="59"/>
  <c r="CX63" i="59" s="1"/>
  <c r="CU63" i="59"/>
  <c r="CV63" i="59" s="1"/>
  <c r="CS63" i="59"/>
  <c r="CT63" i="59" s="1"/>
  <c r="CQ63" i="59"/>
  <c r="CR63" i="59" s="1"/>
  <c r="CO63" i="59"/>
  <c r="CP63" i="59" s="1"/>
  <c r="CM63" i="59"/>
  <c r="CN63" i="59" s="1"/>
  <c r="CK63" i="59"/>
  <c r="CL63" i="59" s="1"/>
  <c r="CI63" i="59"/>
  <c r="CJ63" i="59" s="1"/>
  <c r="CG63" i="59"/>
  <c r="CH63" i="59" s="1"/>
  <c r="CE63" i="59"/>
  <c r="CF63" i="59" s="1"/>
  <c r="CC63" i="59"/>
  <c r="CD63" i="59" s="1"/>
  <c r="CA63" i="59"/>
  <c r="CB63" i="59" s="1"/>
  <c r="BY63" i="59"/>
  <c r="BZ63" i="59" s="1"/>
  <c r="BW63" i="59"/>
  <c r="BX63" i="59" s="1"/>
  <c r="BU63" i="59"/>
  <c r="BV63" i="59" s="1"/>
  <c r="BS63" i="59"/>
  <c r="BT63" i="59" s="1"/>
  <c r="AY63" i="59"/>
  <c r="AX63" i="59"/>
  <c r="AW63" i="59"/>
  <c r="AV63" i="59"/>
  <c r="BF64" i="59" l="1"/>
  <c r="BC64" i="59"/>
  <c r="BD64" i="59"/>
  <c r="BC61" i="59"/>
  <c r="BD61" i="59"/>
  <c r="BF61" i="59"/>
  <c r="BC63" i="59"/>
  <c r="BD63" i="59"/>
  <c r="BF63" i="59"/>
  <c r="BG64" i="59"/>
  <c r="BH64" i="59"/>
  <c r="BG61" i="59"/>
  <c r="BH61" i="59"/>
  <c r="BH63" i="59"/>
  <c r="BG63" i="59"/>
  <c r="BG62" i="59"/>
  <c r="BH62" i="59"/>
  <c r="BC62" i="59"/>
  <c r="BD62" i="59"/>
  <c r="BF62" i="59"/>
  <c r="AT62" i="59"/>
  <c r="BE62" i="59" s="1"/>
  <c r="BJ83" i="65"/>
  <c r="BN83" i="65" s="1"/>
  <c r="BQ83" i="65" s="1"/>
  <c r="BJ89" i="65"/>
  <c r="BN89" i="65" s="1"/>
  <c r="BQ89" i="65" s="1"/>
  <c r="BJ88" i="65"/>
  <c r="BN88" i="65" s="1"/>
  <c r="BQ88" i="65" s="1"/>
  <c r="BJ90" i="65"/>
  <c r="BN90" i="65" s="1"/>
  <c r="BQ90" i="65" s="1"/>
  <c r="BJ112" i="65"/>
  <c r="BN112" i="65" s="1"/>
  <c r="BQ112" i="65" s="1"/>
  <c r="BJ84" i="65"/>
  <c r="BN84" i="65" s="1"/>
  <c r="BQ84" i="65" s="1"/>
  <c r="BJ87" i="65"/>
  <c r="BN87" i="65" s="1"/>
  <c r="BQ87" i="65" s="1"/>
  <c r="BJ86" i="65"/>
  <c r="BN86" i="65" s="1"/>
  <c r="BQ86" i="65" s="1"/>
  <c r="BJ85" i="65"/>
  <c r="BN85" i="65" s="1"/>
  <c r="BQ85" i="65" s="1"/>
  <c r="AT61" i="59"/>
  <c r="BE61" i="59" s="1"/>
  <c r="AT63" i="59"/>
  <c r="BE63" i="59" s="1"/>
  <c r="AT64" i="59"/>
  <c r="BE64" i="59" s="1"/>
  <c r="AW54" i="61"/>
  <c r="BP131" i="65"/>
  <c r="BO131" i="65"/>
  <c r="BL131" i="65"/>
  <c r="BK131" i="65"/>
  <c r="BI131" i="65"/>
  <c r="BA131" i="65"/>
  <c r="AZ131" i="65"/>
  <c r="AS131" i="65"/>
  <c r="AR131" i="65"/>
  <c r="AQ131" i="65"/>
  <c r="AP131" i="65"/>
  <c r="AO131" i="65"/>
  <c r="AN131" i="65"/>
  <c r="AL131" i="65"/>
  <c r="AK131" i="65"/>
  <c r="AJ131" i="65"/>
  <c r="AI131" i="65"/>
  <c r="AH131" i="65"/>
  <c r="AG131" i="65"/>
  <c r="AF131" i="65"/>
  <c r="AD131" i="65"/>
  <c r="AC131" i="65"/>
  <c r="AB131" i="65"/>
  <c r="AA131" i="65"/>
  <c r="Z131" i="65"/>
  <c r="Y131" i="65"/>
  <c r="W131" i="65"/>
  <c r="V131" i="65"/>
  <c r="U131" i="65"/>
  <c r="T131" i="65"/>
  <c r="S131" i="65"/>
  <c r="R131" i="65"/>
  <c r="Q131" i="65"/>
  <c r="P131" i="65"/>
  <c r="O131" i="65"/>
  <c r="N131" i="65"/>
  <c r="M131" i="65"/>
  <c r="L131" i="65"/>
  <c r="K131" i="65"/>
  <c r="J131" i="65"/>
  <c r="I131" i="65"/>
  <c r="H131" i="65"/>
  <c r="G131" i="65"/>
  <c r="F131" i="65"/>
  <c r="EB126" i="65"/>
  <c r="EC126" i="65" s="1"/>
  <c r="DZ126" i="65"/>
  <c r="EA126" i="65" s="1"/>
  <c r="DX126" i="65"/>
  <c r="DY126" i="65" s="1"/>
  <c r="DV126" i="65"/>
  <c r="DW126" i="65" s="1"/>
  <c r="DT126" i="65"/>
  <c r="DU126" i="65" s="1"/>
  <c r="DR126" i="65"/>
  <c r="DS126" i="65" s="1"/>
  <c r="DP126" i="65"/>
  <c r="DQ126" i="65" s="1"/>
  <c r="DN126" i="65"/>
  <c r="DO126" i="65" s="1"/>
  <c r="DL126" i="65"/>
  <c r="DM126" i="65" s="1"/>
  <c r="DJ126" i="65"/>
  <c r="DK126" i="65" s="1"/>
  <c r="DH126" i="65"/>
  <c r="DI126" i="65" s="1"/>
  <c r="DF126" i="65"/>
  <c r="DG126" i="65" s="1"/>
  <c r="DD126" i="65"/>
  <c r="DE126" i="65" s="1"/>
  <c r="DB126" i="65"/>
  <c r="DC126" i="65" s="1"/>
  <c r="CZ126" i="65"/>
  <c r="DA126" i="65" s="1"/>
  <c r="CX126" i="65"/>
  <c r="CY126" i="65" s="1"/>
  <c r="CV126" i="65"/>
  <c r="CW126" i="65" s="1"/>
  <c r="CT126" i="65"/>
  <c r="CU126" i="65" s="1"/>
  <c r="CR126" i="65"/>
  <c r="CS126" i="65" s="1"/>
  <c r="CP126" i="65"/>
  <c r="CQ126" i="65" s="1"/>
  <c r="CN126" i="65"/>
  <c r="CO126" i="65" s="1"/>
  <c r="CL126" i="65"/>
  <c r="CM126" i="65" s="1"/>
  <c r="CJ126" i="65"/>
  <c r="CK126" i="65" s="1"/>
  <c r="CH126" i="65"/>
  <c r="CI126" i="65" s="1"/>
  <c r="CF126" i="65"/>
  <c r="CG126" i="65" s="1"/>
  <c r="CD126" i="65"/>
  <c r="CE126" i="65" s="1"/>
  <c r="CB126" i="65"/>
  <c r="CC126" i="65" s="1"/>
  <c r="BZ126" i="65"/>
  <c r="CA126" i="65" s="1"/>
  <c r="BX126" i="65"/>
  <c r="BY126" i="65" s="1"/>
  <c r="BV126" i="65"/>
  <c r="BW126" i="65" s="1"/>
  <c r="BT126" i="65"/>
  <c r="BU126" i="65" s="1"/>
  <c r="BR126" i="65"/>
  <c r="BS126" i="65" s="1"/>
  <c r="AY126" i="65"/>
  <c r="AX126" i="65"/>
  <c r="AW126" i="65"/>
  <c r="EB124" i="65"/>
  <c r="EC124" i="65" s="1"/>
  <c r="DZ124" i="65"/>
  <c r="EA124" i="65" s="1"/>
  <c r="DX124" i="65"/>
  <c r="DY124" i="65" s="1"/>
  <c r="DV124" i="65"/>
  <c r="DW124" i="65" s="1"/>
  <c r="DT124" i="65"/>
  <c r="DU124" i="65" s="1"/>
  <c r="DR124" i="65"/>
  <c r="DS124" i="65" s="1"/>
  <c r="DP124" i="65"/>
  <c r="DQ124" i="65" s="1"/>
  <c r="DN124" i="65"/>
  <c r="DO124" i="65" s="1"/>
  <c r="DL124" i="65"/>
  <c r="DM124" i="65" s="1"/>
  <c r="DJ124" i="65"/>
  <c r="DK124" i="65" s="1"/>
  <c r="DH124" i="65"/>
  <c r="DI124" i="65" s="1"/>
  <c r="DF124" i="65"/>
  <c r="DG124" i="65" s="1"/>
  <c r="DD124" i="65"/>
  <c r="DE124" i="65" s="1"/>
  <c r="DB124" i="65"/>
  <c r="DC124" i="65" s="1"/>
  <c r="CZ124" i="65"/>
  <c r="DA124" i="65" s="1"/>
  <c r="CX124" i="65"/>
  <c r="CY124" i="65" s="1"/>
  <c r="CV124" i="65"/>
  <c r="CW124" i="65" s="1"/>
  <c r="CT124" i="65"/>
  <c r="CU124" i="65" s="1"/>
  <c r="CR124" i="65"/>
  <c r="CS124" i="65" s="1"/>
  <c r="CP124" i="65"/>
  <c r="CQ124" i="65" s="1"/>
  <c r="CN124" i="65"/>
  <c r="CO124" i="65" s="1"/>
  <c r="CL124" i="65"/>
  <c r="CM124" i="65" s="1"/>
  <c r="CJ124" i="65"/>
  <c r="CK124" i="65" s="1"/>
  <c r="CH124" i="65"/>
  <c r="CI124" i="65" s="1"/>
  <c r="CF124" i="65"/>
  <c r="CG124" i="65" s="1"/>
  <c r="CD124" i="65"/>
  <c r="CE124" i="65" s="1"/>
  <c r="CB124" i="65"/>
  <c r="CC124" i="65" s="1"/>
  <c r="BZ124" i="65"/>
  <c r="CA124" i="65" s="1"/>
  <c r="BX124" i="65"/>
  <c r="BY124" i="65" s="1"/>
  <c r="BV124" i="65"/>
  <c r="BW124" i="65" s="1"/>
  <c r="BT124" i="65"/>
  <c r="BU124" i="65" s="1"/>
  <c r="BR124" i="65"/>
  <c r="BS124" i="65" s="1"/>
  <c r="AY124" i="65"/>
  <c r="AX124" i="65"/>
  <c r="AW124" i="65"/>
  <c r="EB11" i="65"/>
  <c r="EC11" i="65" s="1"/>
  <c r="DZ11" i="65"/>
  <c r="EA11" i="65" s="1"/>
  <c r="DX11" i="65"/>
  <c r="DY11" i="65" s="1"/>
  <c r="DV11" i="65"/>
  <c r="DW11" i="65" s="1"/>
  <c r="DT11" i="65"/>
  <c r="DU11" i="65" s="1"/>
  <c r="DR11" i="65"/>
  <c r="DS11" i="65" s="1"/>
  <c r="DP11" i="65"/>
  <c r="DQ11" i="65" s="1"/>
  <c r="DN11" i="65"/>
  <c r="DO11" i="65" s="1"/>
  <c r="DL11" i="65"/>
  <c r="DM11" i="65" s="1"/>
  <c r="DJ11" i="65"/>
  <c r="DK11" i="65" s="1"/>
  <c r="DH11" i="65"/>
  <c r="DI11" i="65" s="1"/>
  <c r="DF11" i="65"/>
  <c r="DG11" i="65" s="1"/>
  <c r="DD11" i="65"/>
  <c r="DE11" i="65" s="1"/>
  <c r="DB11" i="65"/>
  <c r="DC11" i="65" s="1"/>
  <c r="CZ11" i="65"/>
  <c r="DA11" i="65" s="1"/>
  <c r="CX11" i="65"/>
  <c r="CY11" i="65" s="1"/>
  <c r="CV11" i="65"/>
  <c r="CW11" i="65" s="1"/>
  <c r="CT11" i="65"/>
  <c r="CU11" i="65" s="1"/>
  <c r="CR11" i="65"/>
  <c r="CS11" i="65" s="1"/>
  <c r="CP11" i="65"/>
  <c r="CQ11" i="65" s="1"/>
  <c r="CN11" i="65"/>
  <c r="CO11" i="65" s="1"/>
  <c r="CL11" i="65"/>
  <c r="CM11" i="65" s="1"/>
  <c r="CJ11" i="65"/>
  <c r="CK11" i="65" s="1"/>
  <c r="CH11" i="65"/>
  <c r="CI11" i="65" s="1"/>
  <c r="CF11" i="65"/>
  <c r="CG11" i="65" s="1"/>
  <c r="CD11" i="65"/>
  <c r="CE11" i="65" s="1"/>
  <c r="CB11" i="65"/>
  <c r="CC11" i="65" s="1"/>
  <c r="BZ11" i="65"/>
  <c r="CA11" i="65" s="1"/>
  <c r="BX11" i="65"/>
  <c r="BY11" i="65" s="1"/>
  <c r="BV11" i="65"/>
  <c r="BW11" i="65" s="1"/>
  <c r="BT11" i="65"/>
  <c r="BU11" i="65" s="1"/>
  <c r="BR11" i="65"/>
  <c r="BS11" i="65" s="1"/>
  <c r="AY11" i="65"/>
  <c r="AX11" i="65"/>
  <c r="AW11" i="65"/>
  <c r="EB8" i="65"/>
  <c r="EC8" i="65" s="1"/>
  <c r="DZ8" i="65"/>
  <c r="EA8" i="65" s="1"/>
  <c r="DX8" i="65"/>
  <c r="DY8" i="65" s="1"/>
  <c r="DV8" i="65"/>
  <c r="DW8" i="65" s="1"/>
  <c r="DT8" i="65"/>
  <c r="DU8" i="65" s="1"/>
  <c r="DR8" i="65"/>
  <c r="DS8" i="65" s="1"/>
  <c r="DP8" i="65"/>
  <c r="DQ8" i="65" s="1"/>
  <c r="DN8" i="65"/>
  <c r="DO8" i="65" s="1"/>
  <c r="DL8" i="65"/>
  <c r="DM8" i="65" s="1"/>
  <c r="DJ8" i="65"/>
  <c r="DK8" i="65" s="1"/>
  <c r="DH8" i="65"/>
  <c r="DI8" i="65" s="1"/>
  <c r="DF8" i="65"/>
  <c r="DG8" i="65" s="1"/>
  <c r="DD8" i="65"/>
  <c r="DE8" i="65" s="1"/>
  <c r="DB8" i="65"/>
  <c r="DC8" i="65" s="1"/>
  <c r="CZ8" i="65"/>
  <c r="DA8" i="65" s="1"/>
  <c r="CX8" i="65"/>
  <c r="CY8" i="65" s="1"/>
  <c r="CV8" i="65"/>
  <c r="CW8" i="65" s="1"/>
  <c r="CT8" i="65"/>
  <c r="CU8" i="65" s="1"/>
  <c r="CR8" i="65"/>
  <c r="CS8" i="65" s="1"/>
  <c r="CP8" i="65"/>
  <c r="CQ8" i="65" s="1"/>
  <c r="CN8" i="65"/>
  <c r="CO8" i="65" s="1"/>
  <c r="CL8" i="65"/>
  <c r="CM8" i="65" s="1"/>
  <c r="CJ8" i="65"/>
  <c r="CK8" i="65" s="1"/>
  <c r="CH8" i="65"/>
  <c r="CI8" i="65" s="1"/>
  <c r="CF8" i="65"/>
  <c r="CG8" i="65" s="1"/>
  <c r="CD8" i="65"/>
  <c r="CE8" i="65" s="1"/>
  <c r="CB8" i="65"/>
  <c r="CC8" i="65" s="1"/>
  <c r="BZ8" i="65"/>
  <c r="CA8" i="65" s="1"/>
  <c r="BX8" i="65"/>
  <c r="BY8" i="65" s="1"/>
  <c r="BV8" i="65"/>
  <c r="BW8" i="65" s="1"/>
  <c r="BT8" i="65"/>
  <c r="BU8" i="65" s="1"/>
  <c r="BR8" i="65"/>
  <c r="BS8" i="65" s="1"/>
  <c r="AY8" i="65"/>
  <c r="AX8" i="65"/>
  <c r="AW8" i="65"/>
  <c r="EB75" i="65"/>
  <c r="EC75" i="65" s="1"/>
  <c r="DZ75" i="65"/>
  <c r="EA75" i="65" s="1"/>
  <c r="DX75" i="65"/>
  <c r="DY75" i="65" s="1"/>
  <c r="DV75" i="65"/>
  <c r="DW75" i="65" s="1"/>
  <c r="DT75" i="65"/>
  <c r="DU75" i="65" s="1"/>
  <c r="DR75" i="65"/>
  <c r="DS75" i="65" s="1"/>
  <c r="DP75" i="65"/>
  <c r="DQ75" i="65" s="1"/>
  <c r="DN75" i="65"/>
  <c r="DO75" i="65" s="1"/>
  <c r="DL75" i="65"/>
  <c r="DM75" i="65" s="1"/>
  <c r="DJ75" i="65"/>
  <c r="DK75" i="65" s="1"/>
  <c r="DH75" i="65"/>
  <c r="DI75" i="65" s="1"/>
  <c r="DF75" i="65"/>
  <c r="DG75" i="65" s="1"/>
  <c r="DD75" i="65"/>
  <c r="DE75" i="65" s="1"/>
  <c r="DB75" i="65"/>
  <c r="DC75" i="65" s="1"/>
  <c r="CZ75" i="65"/>
  <c r="DA75" i="65" s="1"/>
  <c r="CX75" i="65"/>
  <c r="CY75" i="65" s="1"/>
  <c r="CV75" i="65"/>
  <c r="CW75" i="65" s="1"/>
  <c r="CT75" i="65"/>
  <c r="CU75" i="65" s="1"/>
  <c r="CR75" i="65"/>
  <c r="CS75" i="65" s="1"/>
  <c r="CP75" i="65"/>
  <c r="CQ75" i="65" s="1"/>
  <c r="CN75" i="65"/>
  <c r="CO75" i="65" s="1"/>
  <c r="CL75" i="65"/>
  <c r="CM75" i="65" s="1"/>
  <c r="CJ75" i="65"/>
  <c r="CK75" i="65" s="1"/>
  <c r="CH75" i="65"/>
  <c r="CI75" i="65" s="1"/>
  <c r="CF75" i="65"/>
  <c r="CG75" i="65" s="1"/>
  <c r="CD75" i="65"/>
  <c r="CE75" i="65" s="1"/>
  <c r="CB75" i="65"/>
  <c r="CC75" i="65" s="1"/>
  <c r="BZ75" i="65"/>
  <c r="CA75" i="65" s="1"/>
  <c r="BX75" i="65"/>
  <c r="BY75" i="65" s="1"/>
  <c r="BV75" i="65"/>
  <c r="BW75" i="65" s="1"/>
  <c r="BT75" i="65"/>
  <c r="BU75" i="65" s="1"/>
  <c r="BR75" i="65"/>
  <c r="BS75" i="65" s="1"/>
  <c r="AY75" i="65"/>
  <c r="AX75" i="65"/>
  <c r="AW75" i="65"/>
  <c r="EB82" i="65"/>
  <c r="EC82" i="65" s="1"/>
  <c r="DZ82" i="65"/>
  <c r="EA82" i="65" s="1"/>
  <c r="DX82" i="65"/>
  <c r="DY82" i="65" s="1"/>
  <c r="DV82" i="65"/>
  <c r="DW82" i="65" s="1"/>
  <c r="DT82" i="65"/>
  <c r="DU82" i="65" s="1"/>
  <c r="DR82" i="65"/>
  <c r="DS82" i="65" s="1"/>
  <c r="DP82" i="65"/>
  <c r="DQ82" i="65" s="1"/>
  <c r="DN82" i="65"/>
  <c r="DO82" i="65" s="1"/>
  <c r="DL82" i="65"/>
  <c r="DM82" i="65" s="1"/>
  <c r="DJ82" i="65"/>
  <c r="DK82" i="65" s="1"/>
  <c r="DH82" i="65"/>
  <c r="DI82" i="65" s="1"/>
  <c r="DF82" i="65"/>
  <c r="DG82" i="65" s="1"/>
  <c r="DD82" i="65"/>
  <c r="DE82" i="65" s="1"/>
  <c r="DB82" i="65"/>
  <c r="DC82" i="65" s="1"/>
  <c r="CZ82" i="65"/>
  <c r="DA82" i="65" s="1"/>
  <c r="CX82" i="65"/>
  <c r="CY82" i="65" s="1"/>
  <c r="CV82" i="65"/>
  <c r="CW82" i="65" s="1"/>
  <c r="CT82" i="65"/>
  <c r="CU82" i="65" s="1"/>
  <c r="CR82" i="65"/>
  <c r="CS82" i="65" s="1"/>
  <c r="CP82" i="65"/>
  <c r="CQ82" i="65" s="1"/>
  <c r="CN82" i="65"/>
  <c r="CO82" i="65" s="1"/>
  <c r="CL82" i="65"/>
  <c r="CM82" i="65" s="1"/>
  <c r="CJ82" i="65"/>
  <c r="CK82" i="65" s="1"/>
  <c r="CH82" i="65"/>
  <c r="CI82" i="65" s="1"/>
  <c r="CF82" i="65"/>
  <c r="CG82" i="65" s="1"/>
  <c r="CD82" i="65"/>
  <c r="CE82" i="65" s="1"/>
  <c r="CB82" i="65"/>
  <c r="CC82" i="65" s="1"/>
  <c r="BZ82" i="65"/>
  <c r="CA82" i="65" s="1"/>
  <c r="BX82" i="65"/>
  <c r="BY82" i="65" s="1"/>
  <c r="BV82" i="65"/>
  <c r="BW82" i="65" s="1"/>
  <c r="BT82" i="65"/>
  <c r="BU82" i="65" s="1"/>
  <c r="BR82" i="65"/>
  <c r="BS82" i="65" s="1"/>
  <c r="AY82" i="65"/>
  <c r="AX82" i="65"/>
  <c r="AW82" i="65"/>
  <c r="EB81" i="65"/>
  <c r="EC81" i="65" s="1"/>
  <c r="DZ81" i="65"/>
  <c r="EA81" i="65" s="1"/>
  <c r="DX81" i="65"/>
  <c r="DY81" i="65" s="1"/>
  <c r="DV81" i="65"/>
  <c r="DW81" i="65" s="1"/>
  <c r="DT81" i="65"/>
  <c r="DU81" i="65" s="1"/>
  <c r="DR81" i="65"/>
  <c r="DS81" i="65" s="1"/>
  <c r="DP81" i="65"/>
  <c r="DQ81" i="65" s="1"/>
  <c r="DN81" i="65"/>
  <c r="DO81" i="65" s="1"/>
  <c r="DL81" i="65"/>
  <c r="DM81" i="65" s="1"/>
  <c r="DJ81" i="65"/>
  <c r="DK81" i="65" s="1"/>
  <c r="DH81" i="65"/>
  <c r="DI81" i="65" s="1"/>
  <c r="DF81" i="65"/>
  <c r="DG81" i="65" s="1"/>
  <c r="DD81" i="65"/>
  <c r="DE81" i="65" s="1"/>
  <c r="DB81" i="65"/>
  <c r="DC81" i="65" s="1"/>
  <c r="CZ81" i="65"/>
  <c r="DA81" i="65" s="1"/>
  <c r="CX81" i="65"/>
  <c r="CY81" i="65" s="1"/>
  <c r="CV81" i="65"/>
  <c r="CW81" i="65" s="1"/>
  <c r="CT81" i="65"/>
  <c r="CU81" i="65" s="1"/>
  <c r="CR81" i="65"/>
  <c r="CS81" i="65" s="1"/>
  <c r="CP81" i="65"/>
  <c r="CQ81" i="65" s="1"/>
  <c r="CN81" i="65"/>
  <c r="CO81" i="65" s="1"/>
  <c r="CL81" i="65"/>
  <c r="CM81" i="65" s="1"/>
  <c r="CJ81" i="65"/>
  <c r="CK81" i="65" s="1"/>
  <c r="CH81" i="65"/>
  <c r="CI81" i="65" s="1"/>
  <c r="CF81" i="65"/>
  <c r="CG81" i="65" s="1"/>
  <c r="CD81" i="65"/>
  <c r="CE81" i="65" s="1"/>
  <c r="CB81" i="65"/>
  <c r="CC81" i="65" s="1"/>
  <c r="BZ81" i="65"/>
  <c r="CA81" i="65" s="1"/>
  <c r="BX81" i="65"/>
  <c r="BY81" i="65" s="1"/>
  <c r="BV81" i="65"/>
  <c r="BW81" i="65" s="1"/>
  <c r="BT81" i="65"/>
  <c r="BU81" i="65" s="1"/>
  <c r="BR81" i="65"/>
  <c r="BS81" i="65" s="1"/>
  <c r="AY81" i="65"/>
  <c r="AX81" i="65"/>
  <c r="AW81" i="65"/>
  <c r="EB80" i="65"/>
  <c r="EC80" i="65" s="1"/>
  <c r="DZ80" i="65"/>
  <c r="EA80" i="65" s="1"/>
  <c r="DX80" i="65"/>
  <c r="DY80" i="65" s="1"/>
  <c r="DV80" i="65"/>
  <c r="DW80" i="65" s="1"/>
  <c r="DT80" i="65"/>
  <c r="DU80" i="65" s="1"/>
  <c r="DR80" i="65"/>
  <c r="DS80" i="65" s="1"/>
  <c r="DP80" i="65"/>
  <c r="DQ80" i="65" s="1"/>
  <c r="DN80" i="65"/>
  <c r="DO80" i="65" s="1"/>
  <c r="DL80" i="65"/>
  <c r="DM80" i="65" s="1"/>
  <c r="DJ80" i="65"/>
  <c r="DK80" i="65" s="1"/>
  <c r="DH80" i="65"/>
  <c r="DI80" i="65" s="1"/>
  <c r="DF80" i="65"/>
  <c r="DG80" i="65" s="1"/>
  <c r="DD80" i="65"/>
  <c r="DE80" i="65" s="1"/>
  <c r="DB80" i="65"/>
  <c r="DC80" i="65" s="1"/>
  <c r="CZ80" i="65"/>
  <c r="DA80" i="65" s="1"/>
  <c r="CX80" i="65"/>
  <c r="CY80" i="65" s="1"/>
  <c r="CV80" i="65"/>
  <c r="CW80" i="65" s="1"/>
  <c r="CT80" i="65"/>
  <c r="CU80" i="65" s="1"/>
  <c r="CR80" i="65"/>
  <c r="CS80" i="65" s="1"/>
  <c r="CP80" i="65"/>
  <c r="CQ80" i="65" s="1"/>
  <c r="CN80" i="65"/>
  <c r="CO80" i="65" s="1"/>
  <c r="CL80" i="65"/>
  <c r="CM80" i="65" s="1"/>
  <c r="CJ80" i="65"/>
  <c r="CK80" i="65" s="1"/>
  <c r="CH80" i="65"/>
  <c r="CI80" i="65" s="1"/>
  <c r="CF80" i="65"/>
  <c r="CG80" i="65" s="1"/>
  <c r="CD80" i="65"/>
  <c r="CE80" i="65" s="1"/>
  <c r="CB80" i="65"/>
  <c r="CC80" i="65" s="1"/>
  <c r="BZ80" i="65"/>
  <c r="CA80" i="65" s="1"/>
  <c r="BX80" i="65"/>
  <c r="BY80" i="65" s="1"/>
  <c r="BV80" i="65"/>
  <c r="BW80" i="65" s="1"/>
  <c r="BT80" i="65"/>
  <c r="BU80" i="65" s="1"/>
  <c r="BR80" i="65"/>
  <c r="BS80" i="65" s="1"/>
  <c r="AY80" i="65"/>
  <c r="AX80" i="65"/>
  <c r="AW80" i="65"/>
  <c r="EB79" i="65"/>
  <c r="EC79" i="65" s="1"/>
  <c r="DZ79" i="65"/>
  <c r="EA79" i="65" s="1"/>
  <c r="DX79" i="65"/>
  <c r="DY79" i="65" s="1"/>
  <c r="DV79" i="65"/>
  <c r="DW79" i="65" s="1"/>
  <c r="DT79" i="65"/>
  <c r="DU79" i="65" s="1"/>
  <c r="DR79" i="65"/>
  <c r="DS79" i="65" s="1"/>
  <c r="DP79" i="65"/>
  <c r="DQ79" i="65" s="1"/>
  <c r="DN79" i="65"/>
  <c r="DO79" i="65" s="1"/>
  <c r="DL79" i="65"/>
  <c r="DM79" i="65" s="1"/>
  <c r="DJ79" i="65"/>
  <c r="DK79" i="65" s="1"/>
  <c r="DH79" i="65"/>
  <c r="DI79" i="65" s="1"/>
  <c r="DF79" i="65"/>
  <c r="DG79" i="65" s="1"/>
  <c r="DD79" i="65"/>
  <c r="DE79" i="65" s="1"/>
  <c r="DB79" i="65"/>
  <c r="DC79" i="65" s="1"/>
  <c r="CZ79" i="65"/>
  <c r="DA79" i="65" s="1"/>
  <c r="CX79" i="65"/>
  <c r="CY79" i="65" s="1"/>
  <c r="CV79" i="65"/>
  <c r="CW79" i="65" s="1"/>
  <c r="CT79" i="65"/>
  <c r="CU79" i="65" s="1"/>
  <c r="CR79" i="65"/>
  <c r="CS79" i="65" s="1"/>
  <c r="CP79" i="65"/>
  <c r="CQ79" i="65" s="1"/>
  <c r="CN79" i="65"/>
  <c r="CO79" i="65" s="1"/>
  <c r="CL79" i="65"/>
  <c r="CM79" i="65" s="1"/>
  <c r="CJ79" i="65"/>
  <c r="CK79" i="65" s="1"/>
  <c r="CH79" i="65"/>
  <c r="CI79" i="65" s="1"/>
  <c r="CF79" i="65"/>
  <c r="CG79" i="65" s="1"/>
  <c r="CD79" i="65"/>
  <c r="CE79" i="65" s="1"/>
  <c r="CB79" i="65"/>
  <c r="CC79" i="65" s="1"/>
  <c r="BZ79" i="65"/>
  <c r="CA79" i="65" s="1"/>
  <c r="BX79" i="65"/>
  <c r="BY79" i="65" s="1"/>
  <c r="BV79" i="65"/>
  <c r="BW79" i="65" s="1"/>
  <c r="BT79" i="65"/>
  <c r="BU79" i="65" s="1"/>
  <c r="BR79" i="65"/>
  <c r="BS79" i="65" s="1"/>
  <c r="AY79" i="65"/>
  <c r="AX79" i="65"/>
  <c r="AW79" i="65"/>
  <c r="EB78" i="65"/>
  <c r="EC78" i="65" s="1"/>
  <c r="DZ78" i="65"/>
  <c r="EA78" i="65" s="1"/>
  <c r="DX78" i="65"/>
  <c r="DY78" i="65" s="1"/>
  <c r="DV78" i="65"/>
  <c r="DW78" i="65" s="1"/>
  <c r="DT78" i="65"/>
  <c r="DU78" i="65" s="1"/>
  <c r="DR78" i="65"/>
  <c r="DS78" i="65" s="1"/>
  <c r="DP78" i="65"/>
  <c r="DQ78" i="65" s="1"/>
  <c r="DN78" i="65"/>
  <c r="DO78" i="65" s="1"/>
  <c r="DL78" i="65"/>
  <c r="DM78" i="65" s="1"/>
  <c r="DJ78" i="65"/>
  <c r="DK78" i="65" s="1"/>
  <c r="DH78" i="65"/>
  <c r="DI78" i="65" s="1"/>
  <c r="DF78" i="65"/>
  <c r="DG78" i="65" s="1"/>
  <c r="DD78" i="65"/>
  <c r="DE78" i="65" s="1"/>
  <c r="DB78" i="65"/>
  <c r="DC78" i="65" s="1"/>
  <c r="CZ78" i="65"/>
  <c r="DA78" i="65" s="1"/>
  <c r="CX78" i="65"/>
  <c r="CY78" i="65" s="1"/>
  <c r="CV78" i="65"/>
  <c r="CW78" i="65" s="1"/>
  <c r="CT78" i="65"/>
  <c r="CU78" i="65" s="1"/>
  <c r="CR78" i="65"/>
  <c r="CS78" i="65" s="1"/>
  <c r="CP78" i="65"/>
  <c r="CQ78" i="65" s="1"/>
  <c r="CN78" i="65"/>
  <c r="CO78" i="65" s="1"/>
  <c r="CL78" i="65"/>
  <c r="CM78" i="65" s="1"/>
  <c r="CJ78" i="65"/>
  <c r="CK78" i="65" s="1"/>
  <c r="CH78" i="65"/>
  <c r="CI78" i="65" s="1"/>
  <c r="CF78" i="65"/>
  <c r="CG78" i="65" s="1"/>
  <c r="CD78" i="65"/>
  <c r="CE78" i="65" s="1"/>
  <c r="CB78" i="65"/>
  <c r="CC78" i="65" s="1"/>
  <c r="BZ78" i="65"/>
  <c r="CA78" i="65" s="1"/>
  <c r="BX78" i="65"/>
  <c r="BY78" i="65" s="1"/>
  <c r="BV78" i="65"/>
  <c r="BW78" i="65" s="1"/>
  <c r="BT78" i="65"/>
  <c r="BU78" i="65" s="1"/>
  <c r="BR78" i="65"/>
  <c r="BS78" i="65" s="1"/>
  <c r="AY78" i="65"/>
  <c r="AX78" i="65"/>
  <c r="AW78" i="65"/>
  <c r="EB111" i="65"/>
  <c r="EC111" i="65" s="1"/>
  <c r="DZ111" i="65"/>
  <c r="EA111" i="65" s="1"/>
  <c r="DX111" i="65"/>
  <c r="DY111" i="65" s="1"/>
  <c r="DV111" i="65"/>
  <c r="DW111" i="65" s="1"/>
  <c r="DT111" i="65"/>
  <c r="DU111" i="65" s="1"/>
  <c r="DR111" i="65"/>
  <c r="DS111" i="65" s="1"/>
  <c r="DP111" i="65"/>
  <c r="DQ111" i="65" s="1"/>
  <c r="DN111" i="65"/>
  <c r="DO111" i="65" s="1"/>
  <c r="DL111" i="65"/>
  <c r="DM111" i="65" s="1"/>
  <c r="DJ111" i="65"/>
  <c r="DK111" i="65" s="1"/>
  <c r="DH111" i="65"/>
  <c r="DI111" i="65" s="1"/>
  <c r="DF111" i="65"/>
  <c r="DG111" i="65" s="1"/>
  <c r="DD111" i="65"/>
  <c r="DE111" i="65" s="1"/>
  <c r="DB111" i="65"/>
  <c r="DC111" i="65" s="1"/>
  <c r="CZ111" i="65"/>
  <c r="DA111" i="65" s="1"/>
  <c r="CX111" i="65"/>
  <c r="CY111" i="65" s="1"/>
  <c r="CV111" i="65"/>
  <c r="CW111" i="65" s="1"/>
  <c r="CT111" i="65"/>
  <c r="CU111" i="65" s="1"/>
  <c r="CR111" i="65"/>
  <c r="CS111" i="65" s="1"/>
  <c r="CP111" i="65"/>
  <c r="CQ111" i="65" s="1"/>
  <c r="CN111" i="65"/>
  <c r="CO111" i="65" s="1"/>
  <c r="CL111" i="65"/>
  <c r="CM111" i="65" s="1"/>
  <c r="CJ111" i="65"/>
  <c r="CK111" i="65" s="1"/>
  <c r="CH111" i="65"/>
  <c r="CI111" i="65" s="1"/>
  <c r="CF111" i="65"/>
  <c r="CG111" i="65" s="1"/>
  <c r="CD111" i="65"/>
  <c r="CE111" i="65" s="1"/>
  <c r="CB111" i="65"/>
  <c r="CC111" i="65" s="1"/>
  <c r="BZ111" i="65"/>
  <c r="CA111" i="65" s="1"/>
  <c r="BX111" i="65"/>
  <c r="BY111" i="65" s="1"/>
  <c r="BV111" i="65"/>
  <c r="BW111" i="65" s="1"/>
  <c r="BT111" i="65"/>
  <c r="BU111" i="65" s="1"/>
  <c r="BR111" i="65"/>
  <c r="BS111" i="65" s="1"/>
  <c r="AY111" i="65"/>
  <c r="AX111" i="65"/>
  <c r="AW111" i="65"/>
  <c r="EB127" i="65"/>
  <c r="EC127" i="65" s="1"/>
  <c r="DZ127" i="65"/>
  <c r="EA127" i="65" s="1"/>
  <c r="DX127" i="65"/>
  <c r="DY127" i="65" s="1"/>
  <c r="DV127" i="65"/>
  <c r="DW127" i="65" s="1"/>
  <c r="DT127" i="65"/>
  <c r="DU127" i="65" s="1"/>
  <c r="DR127" i="65"/>
  <c r="DS127" i="65" s="1"/>
  <c r="DP127" i="65"/>
  <c r="DQ127" i="65" s="1"/>
  <c r="DN127" i="65"/>
  <c r="DO127" i="65" s="1"/>
  <c r="DL127" i="65"/>
  <c r="DM127" i="65" s="1"/>
  <c r="DJ127" i="65"/>
  <c r="DK127" i="65" s="1"/>
  <c r="DH127" i="65"/>
  <c r="DI127" i="65" s="1"/>
  <c r="DF127" i="65"/>
  <c r="DG127" i="65" s="1"/>
  <c r="DD127" i="65"/>
  <c r="DE127" i="65" s="1"/>
  <c r="DB127" i="65"/>
  <c r="DC127" i="65" s="1"/>
  <c r="CZ127" i="65"/>
  <c r="DA127" i="65" s="1"/>
  <c r="CX127" i="65"/>
  <c r="CY127" i="65" s="1"/>
  <c r="CV127" i="65"/>
  <c r="CW127" i="65" s="1"/>
  <c r="CT127" i="65"/>
  <c r="CU127" i="65" s="1"/>
  <c r="CR127" i="65"/>
  <c r="CS127" i="65" s="1"/>
  <c r="CP127" i="65"/>
  <c r="CQ127" i="65" s="1"/>
  <c r="CN127" i="65"/>
  <c r="CO127" i="65" s="1"/>
  <c r="CL127" i="65"/>
  <c r="CM127" i="65" s="1"/>
  <c r="CJ127" i="65"/>
  <c r="CK127" i="65" s="1"/>
  <c r="CH127" i="65"/>
  <c r="CI127" i="65" s="1"/>
  <c r="CF127" i="65"/>
  <c r="CG127" i="65" s="1"/>
  <c r="CD127" i="65"/>
  <c r="CE127" i="65" s="1"/>
  <c r="CB127" i="65"/>
  <c r="CC127" i="65" s="1"/>
  <c r="BZ127" i="65"/>
  <c r="CA127" i="65" s="1"/>
  <c r="BX127" i="65"/>
  <c r="BY127" i="65" s="1"/>
  <c r="BV127" i="65"/>
  <c r="BW127" i="65" s="1"/>
  <c r="BT127" i="65"/>
  <c r="BU127" i="65" s="1"/>
  <c r="BR127" i="65"/>
  <c r="BS127" i="65" s="1"/>
  <c r="AY127" i="65"/>
  <c r="AX127" i="65"/>
  <c r="AW127" i="65"/>
  <c r="EB77" i="65"/>
  <c r="EC77" i="65" s="1"/>
  <c r="DZ77" i="65"/>
  <c r="EA77" i="65" s="1"/>
  <c r="DX77" i="65"/>
  <c r="DY77" i="65" s="1"/>
  <c r="DV77" i="65"/>
  <c r="DW77" i="65" s="1"/>
  <c r="DT77" i="65"/>
  <c r="DU77" i="65" s="1"/>
  <c r="DR77" i="65"/>
  <c r="DS77" i="65" s="1"/>
  <c r="DP77" i="65"/>
  <c r="DQ77" i="65" s="1"/>
  <c r="DN77" i="65"/>
  <c r="DO77" i="65" s="1"/>
  <c r="DL77" i="65"/>
  <c r="DM77" i="65" s="1"/>
  <c r="DJ77" i="65"/>
  <c r="DK77" i="65" s="1"/>
  <c r="DH77" i="65"/>
  <c r="DI77" i="65" s="1"/>
  <c r="DF77" i="65"/>
  <c r="DG77" i="65" s="1"/>
  <c r="DD77" i="65"/>
  <c r="DE77" i="65" s="1"/>
  <c r="DB77" i="65"/>
  <c r="DC77" i="65" s="1"/>
  <c r="CZ77" i="65"/>
  <c r="DA77" i="65" s="1"/>
  <c r="CX77" i="65"/>
  <c r="CY77" i="65" s="1"/>
  <c r="CV77" i="65"/>
  <c r="CW77" i="65" s="1"/>
  <c r="CT77" i="65"/>
  <c r="CU77" i="65" s="1"/>
  <c r="CR77" i="65"/>
  <c r="CS77" i="65" s="1"/>
  <c r="CP77" i="65"/>
  <c r="CQ77" i="65" s="1"/>
  <c r="CN77" i="65"/>
  <c r="CO77" i="65" s="1"/>
  <c r="CL77" i="65"/>
  <c r="CM77" i="65" s="1"/>
  <c r="CJ77" i="65"/>
  <c r="CK77" i="65" s="1"/>
  <c r="CH77" i="65"/>
  <c r="CI77" i="65" s="1"/>
  <c r="CF77" i="65"/>
  <c r="CG77" i="65" s="1"/>
  <c r="CD77" i="65"/>
  <c r="CE77" i="65" s="1"/>
  <c r="CB77" i="65"/>
  <c r="CC77" i="65" s="1"/>
  <c r="BZ77" i="65"/>
  <c r="CA77" i="65" s="1"/>
  <c r="BX77" i="65"/>
  <c r="BY77" i="65" s="1"/>
  <c r="BV77" i="65"/>
  <c r="BW77" i="65" s="1"/>
  <c r="BT77" i="65"/>
  <c r="BU77" i="65" s="1"/>
  <c r="BR77" i="65"/>
  <c r="BS77" i="65" s="1"/>
  <c r="AY77" i="65"/>
  <c r="AX77" i="65"/>
  <c r="AW77" i="65"/>
  <c r="EB76" i="65"/>
  <c r="EC76" i="65" s="1"/>
  <c r="DZ76" i="65"/>
  <c r="EA76" i="65" s="1"/>
  <c r="DX76" i="65"/>
  <c r="DY76" i="65" s="1"/>
  <c r="DV76" i="65"/>
  <c r="DW76" i="65" s="1"/>
  <c r="DT76" i="65"/>
  <c r="DU76" i="65" s="1"/>
  <c r="DR76" i="65"/>
  <c r="DS76" i="65" s="1"/>
  <c r="DP76" i="65"/>
  <c r="DQ76" i="65" s="1"/>
  <c r="DN76" i="65"/>
  <c r="DO76" i="65" s="1"/>
  <c r="DL76" i="65"/>
  <c r="DM76" i="65" s="1"/>
  <c r="DJ76" i="65"/>
  <c r="DK76" i="65" s="1"/>
  <c r="DH76" i="65"/>
  <c r="DI76" i="65" s="1"/>
  <c r="DF76" i="65"/>
  <c r="DG76" i="65" s="1"/>
  <c r="DD76" i="65"/>
  <c r="DE76" i="65" s="1"/>
  <c r="DB76" i="65"/>
  <c r="DC76" i="65" s="1"/>
  <c r="CZ76" i="65"/>
  <c r="DA76" i="65" s="1"/>
  <c r="CX76" i="65"/>
  <c r="CY76" i="65" s="1"/>
  <c r="CV76" i="65"/>
  <c r="CW76" i="65" s="1"/>
  <c r="CT76" i="65"/>
  <c r="CU76" i="65" s="1"/>
  <c r="CR76" i="65"/>
  <c r="CS76" i="65" s="1"/>
  <c r="CP76" i="65"/>
  <c r="CQ76" i="65" s="1"/>
  <c r="CN76" i="65"/>
  <c r="CO76" i="65" s="1"/>
  <c r="CL76" i="65"/>
  <c r="CM76" i="65" s="1"/>
  <c r="CJ76" i="65"/>
  <c r="CK76" i="65" s="1"/>
  <c r="CH76" i="65"/>
  <c r="CI76" i="65" s="1"/>
  <c r="CF76" i="65"/>
  <c r="CG76" i="65" s="1"/>
  <c r="CD76" i="65"/>
  <c r="CE76" i="65" s="1"/>
  <c r="CB76" i="65"/>
  <c r="CC76" i="65" s="1"/>
  <c r="BZ76" i="65"/>
  <c r="CA76" i="65" s="1"/>
  <c r="BX76" i="65"/>
  <c r="BY76" i="65" s="1"/>
  <c r="BV76" i="65"/>
  <c r="BW76" i="65" s="1"/>
  <c r="BT76" i="65"/>
  <c r="BU76" i="65" s="1"/>
  <c r="BR76" i="65"/>
  <c r="BS76" i="65" s="1"/>
  <c r="AY76" i="65"/>
  <c r="AX76" i="65"/>
  <c r="AW76" i="65"/>
  <c r="EB74" i="65"/>
  <c r="EC74" i="65" s="1"/>
  <c r="DZ74" i="65"/>
  <c r="EA74" i="65" s="1"/>
  <c r="DX74" i="65"/>
  <c r="DY74" i="65" s="1"/>
  <c r="DV74" i="65"/>
  <c r="DW74" i="65" s="1"/>
  <c r="DT74" i="65"/>
  <c r="DU74" i="65" s="1"/>
  <c r="DR74" i="65"/>
  <c r="DS74" i="65" s="1"/>
  <c r="DP74" i="65"/>
  <c r="DQ74" i="65" s="1"/>
  <c r="DN74" i="65"/>
  <c r="DO74" i="65" s="1"/>
  <c r="DL74" i="65"/>
  <c r="DM74" i="65" s="1"/>
  <c r="DJ74" i="65"/>
  <c r="DK74" i="65" s="1"/>
  <c r="DH74" i="65"/>
  <c r="DI74" i="65" s="1"/>
  <c r="DF74" i="65"/>
  <c r="DG74" i="65" s="1"/>
  <c r="DD74" i="65"/>
  <c r="DE74" i="65" s="1"/>
  <c r="DB74" i="65"/>
  <c r="DC74" i="65" s="1"/>
  <c r="CZ74" i="65"/>
  <c r="DA74" i="65" s="1"/>
  <c r="CX74" i="65"/>
  <c r="CY74" i="65" s="1"/>
  <c r="CV74" i="65"/>
  <c r="CW74" i="65" s="1"/>
  <c r="CT74" i="65"/>
  <c r="CU74" i="65" s="1"/>
  <c r="CR74" i="65"/>
  <c r="CS74" i="65" s="1"/>
  <c r="CP74" i="65"/>
  <c r="CQ74" i="65" s="1"/>
  <c r="CN74" i="65"/>
  <c r="CO74" i="65" s="1"/>
  <c r="CL74" i="65"/>
  <c r="CM74" i="65" s="1"/>
  <c r="CJ74" i="65"/>
  <c r="CK74" i="65" s="1"/>
  <c r="CH74" i="65"/>
  <c r="CI74" i="65" s="1"/>
  <c r="CF74" i="65"/>
  <c r="CG74" i="65" s="1"/>
  <c r="CD74" i="65"/>
  <c r="CE74" i="65" s="1"/>
  <c r="CB74" i="65"/>
  <c r="CC74" i="65" s="1"/>
  <c r="BZ74" i="65"/>
  <c r="CA74" i="65" s="1"/>
  <c r="BX74" i="65"/>
  <c r="BY74" i="65" s="1"/>
  <c r="BV74" i="65"/>
  <c r="BW74" i="65" s="1"/>
  <c r="BT74" i="65"/>
  <c r="BU74" i="65" s="1"/>
  <c r="BR74" i="65"/>
  <c r="BS74" i="65" s="1"/>
  <c r="AY74" i="65"/>
  <c r="AX74" i="65"/>
  <c r="AW74" i="65"/>
  <c r="EB110" i="65"/>
  <c r="EC110" i="65" s="1"/>
  <c r="DZ110" i="65"/>
  <c r="EA110" i="65" s="1"/>
  <c r="DX110" i="65"/>
  <c r="DY110" i="65" s="1"/>
  <c r="DV110" i="65"/>
  <c r="DW110" i="65" s="1"/>
  <c r="DT110" i="65"/>
  <c r="DU110" i="65" s="1"/>
  <c r="DR110" i="65"/>
  <c r="DS110" i="65" s="1"/>
  <c r="DP110" i="65"/>
  <c r="DQ110" i="65" s="1"/>
  <c r="DN110" i="65"/>
  <c r="DO110" i="65" s="1"/>
  <c r="DL110" i="65"/>
  <c r="DM110" i="65" s="1"/>
  <c r="DJ110" i="65"/>
  <c r="DK110" i="65" s="1"/>
  <c r="DH110" i="65"/>
  <c r="DI110" i="65" s="1"/>
  <c r="DF110" i="65"/>
  <c r="DG110" i="65" s="1"/>
  <c r="DD110" i="65"/>
  <c r="DE110" i="65" s="1"/>
  <c r="DB110" i="65"/>
  <c r="DC110" i="65" s="1"/>
  <c r="CZ110" i="65"/>
  <c r="DA110" i="65" s="1"/>
  <c r="CX110" i="65"/>
  <c r="CY110" i="65" s="1"/>
  <c r="CV110" i="65"/>
  <c r="CW110" i="65" s="1"/>
  <c r="CT110" i="65"/>
  <c r="CU110" i="65" s="1"/>
  <c r="CR110" i="65"/>
  <c r="CS110" i="65" s="1"/>
  <c r="CP110" i="65"/>
  <c r="CQ110" i="65" s="1"/>
  <c r="CN110" i="65"/>
  <c r="CO110" i="65" s="1"/>
  <c r="CL110" i="65"/>
  <c r="CM110" i="65" s="1"/>
  <c r="CJ110" i="65"/>
  <c r="CK110" i="65" s="1"/>
  <c r="CH110" i="65"/>
  <c r="CI110" i="65" s="1"/>
  <c r="CF110" i="65"/>
  <c r="CG110" i="65" s="1"/>
  <c r="CD110" i="65"/>
  <c r="CE110" i="65" s="1"/>
  <c r="CB110" i="65"/>
  <c r="CC110" i="65" s="1"/>
  <c r="BZ110" i="65"/>
  <c r="CA110" i="65" s="1"/>
  <c r="BX110" i="65"/>
  <c r="BY110" i="65" s="1"/>
  <c r="BV110" i="65"/>
  <c r="BW110" i="65" s="1"/>
  <c r="BT110" i="65"/>
  <c r="BU110" i="65" s="1"/>
  <c r="BR110" i="65"/>
  <c r="BS110" i="65" s="1"/>
  <c r="AY110" i="65"/>
  <c r="AX110" i="65"/>
  <c r="AW110" i="65"/>
  <c r="EB73" i="65"/>
  <c r="EC73" i="65" s="1"/>
  <c r="DZ73" i="65"/>
  <c r="EA73" i="65" s="1"/>
  <c r="DX73" i="65"/>
  <c r="DY73" i="65" s="1"/>
  <c r="DV73" i="65"/>
  <c r="DW73" i="65" s="1"/>
  <c r="DT73" i="65"/>
  <c r="DU73" i="65" s="1"/>
  <c r="DR73" i="65"/>
  <c r="DS73" i="65" s="1"/>
  <c r="DP73" i="65"/>
  <c r="DQ73" i="65" s="1"/>
  <c r="DN73" i="65"/>
  <c r="DO73" i="65" s="1"/>
  <c r="DL73" i="65"/>
  <c r="DM73" i="65" s="1"/>
  <c r="DJ73" i="65"/>
  <c r="DK73" i="65" s="1"/>
  <c r="DH73" i="65"/>
  <c r="DI73" i="65" s="1"/>
  <c r="DF73" i="65"/>
  <c r="DG73" i="65" s="1"/>
  <c r="DD73" i="65"/>
  <c r="DE73" i="65" s="1"/>
  <c r="DB73" i="65"/>
  <c r="DC73" i="65" s="1"/>
  <c r="CZ73" i="65"/>
  <c r="DA73" i="65" s="1"/>
  <c r="CX73" i="65"/>
  <c r="CY73" i="65" s="1"/>
  <c r="CV73" i="65"/>
  <c r="CW73" i="65" s="1"/>
  <c r="CT73" i="65"/>
  <c r="CU73" i="65" s="1"/>
  <c r="CR73" i="65"/>
  <c r="CS73" i="65" s="1"/>
  <c r="CP73" i="65"/>
  <c r="CQ73" i="65" s="1"/>
  <c r="CN73" i="65"/>
  <c r="CO73" i="65" s="1"/>
  <c r="CL73" i="65"/>
  <c r="CM73" i="65" s="1"/>
  <c r="CJ73" i="65"/>
  <c r="CK73" i="65" s="1"/>
  <c r="CH73" i="65"/>
  <c r="CI73" i="65" s="1"/>
  <c r="CF73" i="65"/>
  <c r="CG73" i="65" s="1"/>
  <c r="CD73" i="65"/>
  <c r="CE73" i="65" s="1"/>
  <c r="CB73" i="65"/>
  <c r="CC73" i="65" s="1"/>
  <c r="BZ73" i="65"/>
  <c r="CA73" i="65" s="1"/>
  <c r="BX73" i="65"/>
  <c r="BY73" i="65" s="1"/>
  <c r="BV73" i="65"/>
  <c r="BW73" i="65" s="1"/>
  <c r="BT73" i="65"/>
  <c r="BU73" i="65" s="1"/>
  <c r="BR73" i="65"/>
  <c r="BS73" i="65" s="1"/>
  <c r="AY73" i="65"/>
  <c r="AX73" i="65"/>
  <c r="AW73" i="65"/>
  <c r="EB72" i="65"/>
  <c r="EC72" i="65" s="1"/>
  <c r="DZ72" i="65"/>
  <c r="EA72" i="65" s="1"/>
  <c r="DX72" i="65"/>
  <c r="DY72" i="65" s="1"/>
  <c r="DV72" i="65"/>
  <c r="DW72" i="65" s="1"/>
  <c r="DT72" i="65"/>
  <c r="DU72" i="65" s="1"/>
  <c r="DR72" i="65"/>
  <c r="DS72" i="65" s="1"/>
  <c r="DP72" i="65"/>
  <c r="DQ72" i="65" s="1"/>
  <c r="DN72" i="65"/>
  <c r="DO72" i="65" s="1"/>
  <c r="DL72" i="65"/>
  <c r="DM72" i="65" s="1"/>
  <c r="DJ72" i="65"/>
  <c r="DK72" i="65" s="1"/>
  <c r="DH72" i="65"/>
  <c r="DI72" i="65" s="1"/>
  <c r="DF72" i="65"/>
  <c r="DG72" i="65" s="1"/>
  <c r="DD72" i="65"/>
  <c r="DE72" i="65" s="1"/>
  <c r="DB72" i="65"/>
  <c r="DC72" i="65" s="1"/>
  <c r="CZ72" i="65"/>
  <c r="DA72" i="65" s="1"/>
  <c r="CX72" i="65"/>
  <c r="CY72" i="65" s="1"/>
  <c r="CV72" i="65"/>
  <c r="CW72" i="65" s="1"/>
  <c r="CT72" i="65"/>
  <c r="CU72" i="65" s="1"/>
  <c r="CR72" i="65"/>
  <c r="CS72" i="65" s="1"/>
  <c r="CP72" i="65"/>
  <c r="CQ72" i="65" s="1"/>
  <c r="CN72" i="65"/>
  <c r="CO72" i="65" s="1"/>
  <c r="CL72" i="65"/>
  <c r="CM72" i="65" s="1"/>
  <c r="CJ72" i="65"/>
  <c r="CK72" i="65" s="1"/>
  <c r="CH72" i="65"/>
  <c r="CI72" i="65" s="1"/>
  <c r="CF72" i="65"/>
  <c r="CG72" i="65" s="1"/>
  <c r="CD72" i="65"/>
  <c r="CE72" i="65" s="1"/>
  <c r="CB72" i="65"/>
  <c r="CC72" i="65" s="1"/>
  <c r="BZ72" i="65"/>
  <c r="CA72" i="65" s="1"/>
  <c r="BX72" i="65"/>
  <c r="BY72" i="65" s="1"/>
  <c r="BV72" i="65"/>
  <c r="BW72" i="65" s="1"/>
  <c r="BT72" i="65"/>
  <c r="BU72" i="65" s="1"/>
  <c r="BR72" i="65"/>
  <c r="BS72" i="65" s="1"/>
  <c r="AY72" i="65"/>
  <c r="AX72" i="65"/>
  <c r="AW72" i="65"/>
  <c r="EB71" i="65"/>
  <c r="EC71" i="65" s="1"/>
  <c r="DZ71" i="65"/>
  <c r="EA71" i="65" s="1"/>
  <c r="DX71" i="65"/>
  <c r="DY71" i="65" s="1"/>
  <c r="DV71" i="65"/>
  <c r="DW71" i="65" s="1"/>
  <c r="DT71" i="65"/>
  <c r="DU71" i="65" s="1"/>
  <c r="DR71" i="65"/>
  <c r="DS71" i="65" s="1"/>
  <c r="DP71" i="65"/>
  <c r="DQ71" i="65" s="1"/>
  <c r="DN71" i="65"/>
  <c r="DO71" i="65" s="1"/>
  <c r="DL71" i="65"/>
  <c r="DM71" i="65" s="1"/>
  <c r="DJ71" i="65"/>
  <c r="DK71" i="65" s="1"/>
  <c r="DH71" i="65"/>
  <c r="DI71" i="65" s="1"/>
  <c r="DF71" i="65"/>
  <c r="DG71" i="65" s="1"/>
  <c r="DD71" i="65"/>
  <c r="DE71" i="65" s="1"/>
  <c r="DB71" i="65"/>
  <c r="DC71" i="65" s="1"/>
  <c r="CZ71" i="65"/>
  <c r="DA71" i="65" s="1"/>
  <c r="CX71" i="65"/>
  <c r="CY71" i="65" s="1"/>
  <c r="CV71" i="65"/>
  <c r="CW71" i="65" s="1"/>
  <c r="CT71" i="65"/>
  <c r="CU71" i="65" s="1"/>
  <c r="CR71" i="65"/>
  <c r="CS71" i="65" s="1"/>
  <c r="CP71" i="65"/>
  <c r="CQ71" i="65" s="1"/>
  <c r="CN71" i="65"/>
  <c r="CO71" i="65" s="1"/>
  <c r="CL71" i="65"/>
  <c r="CM71" i="65" s="1"/>
  <c r="CJ71" i="65"/>
  <c r="CK71" i="65" s="1"/>
  <c r="CH71" i="65"/>
  <c r="CI71" i="65" s="1"/>
  <c r="CF71" i="65"/>
  <c r="CG71" i="65" s="1"/>
  <c r="CD71" i="65"/>
  <c r="CE71" i="65" s="1"/>
  <c r="CB71" i="65"/>
  <c r="CC71" i="65" s="1"/>
  <c r="BZ71" i="65"/>
  <c r="CA71" i="65" s="1"/>
  <c r="BX71" i="65"/>
  <c r="BY71" i="65" s="1"/>
  <c r="BV71" i="65"/>
  <c r="BW71" i="65" s="1"/>
  <c r="BT71" i="65"/>
  <c r="BU71" i="65" s="1"/>
  <c r="BR71" i="65"/>
  <c r="BS71" i="65" s="1"/>
  <c r="AY71" i="65"/>
  <c r="AX71" i="65"/>
  <c r="AW71" i="65"/>
  <c r="EB70" i="65"/>
  <c r="EC70" i="65" s="1"/>
  <c r="DZ70" i="65"/>
  <c r="EA70" i="65" s="1"/>
  <c r="DX70" i="65"/>
  <c r="DY70" i="65" s="1"/>
  <c r="DV70" i="65"/>
  <c r="DW70" i="65" s="1"/>
  <c r="DT70" i="65"/>
  <c r="DU70" i="65" s="1"/>
  <c r="DR70" i="65"/>
  <c r="DS70" i="65" s="1"/>
  <c r="DP70" i="65"/>
  <c r="DQ70" i="65" s="1"/>
  <c r="DN70" i="65"/>
  <c r="DO70" i="65" s="1"/>
  <c r="DL70" i="65"/>
  <c r="DM70" i="65" s="1"/>
  <c r="DJ70" i="65"/>
  <c r="DK70" i="65" s="1"/>
  <c r="DH70" i="65"/>
  <c r="DI70" i="65" s="1"/>
  <c r="DF70" i="65"/>
  <c r="DG70" i="65" s="1"/>
  <c r="DD70" i="65"/>
  <c r="DE70" i="65" s="1"/>
  <c r="DB70" i="65"/>
  <c r="DC70" i="65" s="1"/>
  <c r="CZ70" i="65"/>
  <c r="DA70" i="65" s="1"/>
  <c r="CX70" i="65"/>
  <c r="CY70" i="65" s="1"/>
  <c r="CV70" i="65"/>
  <c r="CW70" i="65" s="1"/>
  <c r="CT70" i="65"/>
  <c r="CU70" i="65" s="1"/>
  <c r="CR70" i="65"/>
  <c r="CS70" i="65" s="1"/>
  <c r="CP70" i="65"/>
  <c r="CQ70" i="65" s="1"/>
  <c r="CN70" i="65"/>
  <c r="CO70" i="65" s="1"/>
  <c r="CL70" i="65"/>
  <c r="CM70" i="65" s="1"/>
  <c r="CJ70" i="65"/>
  <c r="CK70" i="65" s="1"/>
  <c r="CH70" i="65"/>
  <c r="CI70" i="65" s="1"/>
  <c r="CF70" i="65"/>
  <c r="CG70" i="65" s="1"/>
  <c r="CD70" i="65"/>
  <c r="CE70" i="65" s="1"/>
  <c r="CB70" i="65"/>
  <c r="CC70" i="65" s="1"/>
  <c r="BZ70" i="65"/>
  <c r="CA70" i="65" s="1"/>
  <c r="BX70" i="65"/>
  <c r="BY70" i="65" s="1"/>
  <c r="BV70" i="65"/>
  <c r="BW70" i="65" s="1"/>
  <c r="BT70" i="65"/>
  <c r="BU70" i="65" s="1"/>
  <c r="BR70" i="65"/>
  <c r="BS70" i="65" s="1"/>
  <c r="AY70" i="65"/>
  <c r="AX70" i="65"/>
  <c r="AW70" i="65"/>
  <c r="EB69" i="65"/>
  <c r="EC69" i="65" s="1"/>
  <c r="DZ69" i="65"/>
  <c r="EA69" i="65" s="1"/>
  <c r="DX69" i="65"/>
  <c r="DY69" i="65" s="1"/>
  <c r="DV69" i="65"/>
  <c r="DW69" i="65" s="1"/>
  <c r="DT69" i="65"/>
  <c r="DU69" i="65" s="1"/>
  <c r="DR69" i="65"/>
  <c r="DS69" i="65" s="1"/>
  <c r="DP69" i="65"/>
  <c r="DQ69" i="65" s="1"/>
  <c r="DN69" i="65"/>
  <c r="DO69" i="65" s="1"/>
  <c r="DL69" i="65"/>
  <c r="DM69" i="65" s="1"/>
  <c r="DJ69" i="65"/>
  <c r="DK69" i="65" s="1"/>
  <c r="DH69" i="65"/>
  <c r="DI69" i="65" s="1"/>
  <c r="DF69" i="65"/>
  <c r="DG69" i="65" s="1"/>
  <c r="DD69" i="65"/>
  <c r="DE69" i="65" s="1"/>
  <c r="DB69" i="65"/>
  <c r="DC69" i="65" s="1"/>
  <c r="CZ69" i="65"/>
  <c r="DA69" i="65" s="1"/>
  <c r="CX69" i="65"/>
  <c r="CY69" i="65" s="1"/>
  <c r="CV69" i="65"/>
  <c r="CW69" i="65" s="1"/>
  <c r="CT69" i="65"/>
  <c r="CU69" i="65" s="1"/>
  <c r="CR69" i="65"/>
  <c r="CS69" i="65" s="1"/>
  <c r="CP69" i="65"/>
  <c r="CQ69" i="65" s="1"/>
  <c r="CN69" i="65"/>
  <c r="CO69" i="65" s="1"/>
  <c r="CL69" i="65"/>
  <c r="CM69" i="65" s="1"/>
  <c r="CJ69" i="65"/>
  <c r="CK69" i="65" s="1"/>
  <c r="CH69" i="65"/>
  <c r="CI69" i="65" s="1"/>
  <c r="CF69" i="65"/>
  <c r="CG69" i="65" s="1"/>
  <c r="CD69" i="65"/>
  <c r="CE69" i="65" s="1"/>
  <c r="CB69" i="65"/>
  <c r="CC69" i="65" s="1"/>
  <c r="BZ69" i="65"/>
  <c r="CA69" i="65" s="1"/>
  <c r="BX69" i="65"/>
  <c r="BY69" i="65" s="1"/>
  <c r="BV69" i="65"/>
  <c r="BW69" i="65" s="1"/>
  <c r="BT69" i="65"/>
  <c r="BU69" i="65" s="1"/>
  <c r="BR69" i="65"/>
  <c r="BS69" i="65" s="1"/>
  <c r="AY69" i="65"/>
  <c r="AX69" i="65"/>
  <c r="AW69" i="65"/>
  <c r="EB68" i="65"/>
  <c r="EC68" i="65" s="1"/>
  <c r="DZ68" i="65"/>
  <c r="EA68" i="65" s="1"/>
  <c r="DX68" i="65"/>
  <c r="DY68" i="65" s="1"/>
  <c r="DV68" i="65"/>
  <c r="DW68" i="65" s="1"/>
  <c r="DT68" i="65"/>
  <c r="DU68" i="65" s="1"/>
  <c r="DR68" i="65"/>
  <c r="DS68" i="65" s="1"/>
  <c r="DP68" i="65"/>
  <c r="DQ68" i="65" s="1"/>
  <c r="DN68" i="65"/>
  <c r="DO68" i="65" s="1"/>
  <c r="DL68" i="65"/>
  <c r="DM68" i="65" s="1"/>
  <c r="DJ68" i="65"/>
  <c r="DK68" i="65" s="1"/>
  <c r="DH68" i="65"/>
  <c r="DI68" i="65" s="1"/>
  <c r="DF68" i="65"/>
  <c r="DG68" i="65" s="1"/>
  <c r="DD68" i="65"/>
  <c r="DE68" i="65" s="1"/>
  <c r="DB68" i="65"/>
  <c r="DC68" i="65" s="1"/>
  <c r="CZ68" i="65"/>
  <c r="DA68" i="65" s="1"/>
  <c r="CX68" i="65"/>
  <c r="CY68" i="65" s="1"/>
  <c r="CV68" i="65"/>
  <c r="CW68" i="65" s="1"/>
  <c r="CT68" i="65"/>
  <c r="CU68" i="65" s="1"/>
  <c r="CR68" i="65"/>
  <c r="CS68" i="65" s="1"/>
  <c r="CP68" i="65"/>
  <c r="CQ68" i="65" s="1"/>
  <c r="CN68" i="65"/>
  <c r="CO68" i="65" s="1"/>
  <c r="CL68" i="65"/>
  <c r="CM68" i="65" s="1"/>
  <c r="CJ68" i="65"/>
  <c r="CK68" i="65" s="1"/>
  <c r="CH68" i="65"/>
  <c r="CI68" i="65" s="1"/>
  <c r="CF68" i="65"/>
  <c r="CG68" i="65" s="1"/>
  <c r="CD68" i="65"/>
  <c r="CE68" i="65" s="1"/>
  <c r="CB68" i="65"/>
  <c r="CC68" i="65" s="1"/>
  <c r="BZ68" i="65"/>
  <c r="CA68" i="65" s="1"/>
  <c r="BX68" i="65"/>
  <c r="BY68" i="65" s="1"/>
  <c r="BV68" i="65"/>
  <c r="BW68" i="65" s="1"/>
  <c r="BT68" i="65"/>
  <c r="BU68" i="65" s="1"/>
  <c r="BR68" i="65"/>
  <c r="BS68" i="65" s="1"/>
  <c r="AY68" i="65"/>
  <c r="AX68" i="65"/>
  <c r="AW68" i="65"/>
  <c r="EB67" i="65"/>
  <c r="EC67" i="65" s="1"/>
  <c r="DZ67" i="65"/>
  <c r="EA67" i="65" s="1"/>
  <c r="DX67" i="65"/>
  <c r="DY67" i="65" s="1"/>
  <c r="DV67" i="65"/>
  <c r="DW67" i="65" s="1"/>
  <c r="DT67" i="65"/>
  <c r="DU67" i="65" s="1"/>
  <c r="DR67" i="65"/>
  <c r="DS67" i="65" s="1"/>
  <c r="DP67" i="65"/>
  <c r="DQ67" i="65" s="1"/>
  <c r="DN67" i="65"/>
  <c r="DO67" i="65" s="1"/>
  <c r="DL67" i="65"/>
  <c r="DM67" i="65" s="1"/>
  <c r="DJ67" i="65"/>
  <c r="DK67" i="65" s="1"/>
  <c r="DH67" i="65"/>
  <c r="DI67" i="65" s="1"/>
  <c r="DF67" i="65"/>
  <c r="DG67" i="65" s="1"/>
  <c r="DD67" i="65"/>
  <c r="DE67" i="65" s="1"/>
  <c r="DB67" i="65"/>
  <c r="DC67" i="65" s="1"/>
  <c r="CZ67" i="65"/>
  <c r="DA67" i="65" s="1"/>
  <c r="CX67" i="65"/>
  <c r="CY67" i="65" s="1"/>
  <c r="CV67" i="65"/>
  <c r="CW67" i="65" s="1"/>
  <c r="CT67" i="65"/>
  <c r="CU67" i="65" s="1"/>
  <c r="CR67" i="65"/>
  <c r="CS67" i="65" s="1"/>
  <c r="CP67" i="65"/>
  <c r="CQ67" i="65" s="1"/>
  <c r="CN67" i="65"/>
  <c r="CO67" i="65" s="1"/>
  <c r="CL67" i="65"/>
  <c r="CM67" i="65" s="1"/>
  <c r="CJ67" i="65"/>
  <c r="CK67" i="65" s="1"/>
  <c r="CH67" i="65"/>
  <c r="CI67" i="65" s="1"/>
  <c r="CF67" i="65"/>
  <c r="CG67" i="65" s="1"/>
  <c r="CD67" i="65"/>
  <c r="CE67" i="65" s="1"/>
  <c r="CB67" i="65"/>
  <c r="CC67" i="65" s="1"/>
  <c r="BZ67" i="65"/>
  <c r="CA67" i="65" s="1"/>
  <c r="BX67" i="65"/>
  <c r="BY67" i="65" s="1"/>
  <c r="BV67" i="65"/>
  <c r="BW67" i="65" s="1"/>
  <c r="BT67" i="65"/>
  <c r="BU67" i="65" s="1"/>
  <c r="BR67" i="65"/>
  <c r="BS67" i="65" s="1"/>
  <c r="AY67" i="65"/>
  <c r="AX67" i="65"/>
  <c r="AW67" i="65"/>
  <c r="EB66" i="65"/>
  <c r="EC66" i="65" s="1"/>
  <c r="DZ66" i="65"/>
  <c r="EA66" i="65" s="1"/>
  <c r="DX66" i="65"/>
  <c r="DY66" i="65" s="1"/>
  <c r="DV66" i="65"/>
  <c r="DW66" i="65" s="1"/>
  <c r="DT66" i="65"/>
  <c r="DU66" i="65" s="1"/>
  <c r="DR66" i="65"/>
  <c r="DS66" i="65" s="1"/>
  <c r="DP66" i="65"/>
  <c r="DQ66" i="65" s="1"/>
  <c r="DN66" i="65"/>
  <c r="DO66" i="65" s="1"/>
  <c r="DL66" i="65"/>
  <c r="DM66" i="65" s="1"/>
  <c r="DJ66" i="65"/>
  <c r="DK66" i="65" s="1"/>
  <c r="DH66" i="65"/>
  <c r="DI66" i="65" s="1"/>
  <c r="DF66" i="65"/>
  <c r="DG66" i="65" s="1"/>
  <c r="DD66" i="65"/>
  <c r="DE66" i="65" s="1"/>
  <c r="DB66" i="65"/>
  <c r="DC66" i="65" s="1"/>
  <c r="CZ66" i="65"/>
  <c r="DA66" i="65" s="1"/>
  <c r="CX66" i="65"/>
  <c r="CY66" i="65" s="1"/>
  <c r="CV66" i="65"/>
  <c r="CW66" i="65" s="1"/>
  <c r="CT66" i="65"/>
  <c r="CU66" i="65" s="1"/>
  <c r="CR66" i="65"/>
  <c r="CS66" i="65" s="1"/>
  <c r="CP66" i="65"/>
  <c r="CQ66" i="65" s="1"/>
  <c r="CN66" i="65"/>
  <c r="CO66" i="65" s="1"/>
  <c r="CL66" i="65"/>
  <c r="CM66" i="65" s="1"/>
  <c r="CJ66" i="65"/>
  <c r="CK66" i="65" s="1"/>
  <c r="CH66" i="65"/>
  <c r="CI66" i="65" s="1"/>
  <c r="CF66" i="65"/>
  <c r="CG66" i="65" s="1"/>
  <c r="CD66" i="65"/>
  <c r="CE66" i="65" s="1"/>
  <c r="CB66" i="65"/>
  <c r="CC66" i="65" s="1"/>
  <c r="BZ66" i="65"/>
  <c r="CA66" i="65" s="1"/>
  <c r="BX66" i="65"/>
  <c r="BY66" i="65" s="1"/>
  <c r="BV66" i="65"/>
  <c r="BW66" i="65" s="1"/>
  <c r="BT66" i="65"/>
  <c r="BU66" i="65" s="1"/>
  <c r="BR66" i="65"/>
  <c r="BS66" i="65" s="1"/>
  <c r="AY66" i="65"/>
  <c r="AX66" i="65"/>
  <c r="AW66" i="65"/>
  <c r="EB65" i="65"/>
  <c r="EC65" i="65" s="1"/>
  <c r="DZ65" i="65"/>
  <c r="EA65" i="65" s="1"/>
  <c r="DX65" i="65"/>
  <c r="DY65" i="65" s="1"/>
  <c r="DV65" i="65"/>
  <c r="DW65" i="65" s="1"/>
  <c r="DT65" i="65"/>
  <c r="DU65" i="65" s="1"/>
  <c r="DR65" i="65"/>
  <c r="DS65" i="65" s="1"/>
  <c r="DP65" i="65"/>
  <c r="DQ65" i="65" s="1"/>
  <c r="DN65" i="65"/>
  <c r="DO65" i="65" s="1"/>
  <c r="DL65" i="65"/>
  <c r="DM65" i="65" s="1"/>
  <c r="DJ65" i="65"/>
  <c r="DK65" i="65" s="1"/>
  <c r="DH65" i="65"/>
  <c r="DI65" i="65" s="1"/>
  <c r="DF65" i="65"/>
  <c r="DG65" i="65" s="1"/>
  <c r="DD65" i="65"/>
  <c r="DE65" i="65" s="1"/>
  <c r="DB65" i="65"/>
  <c r="DC65" i="65" s="1"/>
  <c r="CZ65" i="65"/>
  <c r="DA65" i="65" s="1"/>
  <c r="CX65" i="65"/>
  <c r="CY65" i="65" s="1"/>
  <c r="CV65" i="65"/>
  <c r="CW65" i="65" s="1"/>
  <c r="CT65" i="65"/>
  <c r="CU65" i="65" s="1"/>
  <c r="CR65" i="65"/>
  <c r="CS65" i="65" s="1"/>
  <c r="CP65" i="65"/>
  <c r="CQ65" i="65" s="1"/>
  <c r="CN65" i="65"/>
  <c r="CO65" i="65" s="1"/>
  <c r="CL65" i="65"/>
  <c r="CM65" i="65" s="1"/>
  <c r="CJ65" i="65"/>
  <c r="CK65" i="65" s="1"/>
  <c r="CH65" i="65"/>
  <c r="CI65" i="65" s="1"/>
  <c r="CF65" i="65"/>
  <c r="CG65" i="65" s="1"/>
  <c r="CD65" i="65"/>
  <c r="CE65" i="65" s="1"/>
  <c r="CB65" i="65"/>
  <c r="CC65" i="65" s="1"/>
  <c r="BZ65" i="65"/>
  <c r="CA65" i="65" s="1"/>
  <c r="BX65" i="65"/>
  <c r="BY65" i="65" s="1"/>
  <c r="BV65" i="65"/>
  <c r="BW65" i="65" s="1"/>
  <c r="BT65" i="65"/>
  <c r="BU65" i="65" s="1"/>
  <c r="BR65" i="65"/>
  <c r="BS65" i="65" s="1"/>
  <c r="AY65" i="65"/>
  <c r="AX65" i="65"/>
  <c r="AW65" i="65"/>
  <c r="EB64" i="65"/>
  <c r="EC64" i="65" s="1"/>
  <c r="DZ64" i="65"/>
  <c r="EA64" i="65" s="1"/>
  <c r="DX64" i="65"/>
  <c r="DY64" i="65" s="1"/>
  <c r="DV64" i="65"/>
  <c r="DW64" i="65" s="1"/>
  <c r="DT64" i="65"/>
  <c r="DU64" i="65" s="1"/>
  <c r="DR64" i="65"/>
  <c r="DS64" i="65" s="1"/>
  <c r="DP64" i="65"/>
  <c r="DQ64" i="65" s="1"/>
  <c r="DN64" i="65"/>
  <c r="DO64" i="65" s="1"/>
  <c r="DL64" i="65"/>
  <c r="DM64" i="65" s="1"/>
  <c r="DJ64" i="65"/>
  <c r="DK64" i="65" s="1"/>
  <c r="DH64" i="65"/>
  <c r="DI64" i="65" s="1"/>
  <c r="DF64" i="65"/>
  <c r="DG64" i="65" s="1"/>
  <c r="DD64" i="65"/>
  <c r="DE64" i="65" s="1"/>
  <c r="DB64" i="65"/>
  <c r="DC64" i="65" s="1"/>
  <c r="CZ64" i="65"/>
  <c r="DA64" i="65" s="1"/>
  <c r="CX64" i="65"/>
  <c r="CY64" i="65" s="1"/>
  <c r="CV64" i="65"/>
  <c r="CW64" i="65" s="1"/>
  <c r="CT64" i="65"/>
  <c r="CU64" i="65" s="1"/>
  <c r="CR64" i="65"/>
  <c r="CS64" i="65" s="1"/>
  <c r="CP64" i="65"/>
  <c r="CQ64" i="65" s="1"/>
  <c r="CN64" i="65"/>
  <c r="CO64" i="65" s="1"/>
  <c r="CL64" i="65"/>
  <c r="CM64" i="65" s="1"/>
  <c r="CJ64" i="65"/>
  <c r="CK64" i="65" s="1"/>
  <c r="CH64" i="65"/>
  <c r="CI64" i="65" s="1"/>
  <c r="CF64" i="65"/>
  <c r="CG64" i="65" s="1"/>
  <c r="CD64" i="65"/>
  <c r="CE64" i="65" s="1"/>
  <c r="CB64" i="65"/>
  <c r="CC64" i="65" s="1"/>
  <c r="BZ64" i="65"/>
  <c r="CA64" i="65" s="1"/>
  <c r="BX64" i="65"/>
  <c r="BY64" i="65" s="1"/>
  <c r="BV64" i="65"/>
  <c r="BW64" i="65" s="1"/>
  <c r="BT64" i="65"/>
  <c r="BU64" i="65" s="1"/>
  <c r="BR64" i="65"/>
  <c r="BS64" i="65" s="1"/>
  <c r="AY64" i="65"/>
  <c r="AX64" i="65"/>
  <c r="AW64" i="65"/>
  <c r="EB63" i="65"/>
  <c r="EC63" i="65" s="1"/>
  <c r="DZ63" i="65"/>
  <c r="EA63" i="65" s="1"/>
  <c r="DX63" i="65"/>
  <c r="DY63" i="65" s="1"/>
  <c r="DV63" i="65"/>
  <c r="DW63" i="65" s="1"/>
  <c r="DT63" i="65"/>
  <c r="DU63" i="65" s="1"/>
  <c r="DR63" i="65"/>
  <c r="DS63" i="65" s="1"/>
  <c r="DP63" i="65"/>
  <c r="DQ63" i="65" s="1"/>
  <c r="DN63" i="65"/>
  <c r="DO63" i="65" s="1"/>
  <c r="DL63" i="65"/>
  <c r="DM63" i="65" s="1"/>
  <c r="DJ63" i="65"/>
  <c r="DK63" i="65" s="1"/>
  <c r="DH63" i="65"/>
  <c r="DI63" i="65" s="1"/>
  <c r="DF63" i="65"/>
  <c r="DG63" i="65" s="1"/>
  <c r="DD63" i="65"/>
  <c r="DE63" i="65" s="1"/>
  <c r="DB63" i="65"/>
  <c r="DC63" i="65" s="1"/>
  <c r="CZ63" i="65"/>
  <c r="DA63" i="65" s="1"/>
  <c r="CX63" i="65"/>
  <c r="CY63" i="65" s="1"/>
  <c r="CV63" i="65"/>
  <c r="CW63" i="65" s="1"/>
  <c r="CT63" i="65"/>
  <c r="CU63" i="65" s="1"/>
  <c r="CR63" i="65"/>
  <c r="CS63" i="65" s="1"/>
  <c r="CP63" i="65"/>
  <c r="CQ63" i="65" s="1"/>
  <c r="CN63" i="65"/>
  <c r="CO63" i="65" s="1"/>
  <c r="CL63" i="65"/>
  <c r="CM63" i="65" s="1"/>
  <c r="CJ63" i="65"/>
  <c r="CK63" i="65" s="1"/>
  <c r="CH63" i="65"/>
  <c r="CI63" i="65" s="1"/>
  <c r="CF63" i="65"/>
  <c r="CG63" i="65" s="1"/>
  <c r="CD63" i="65"/>
  <c r="CE63" i="65" s="1"/>
  <c r="CB63" i="65"/>
  <c r="CC63" i="65" s="1"/>
  <c r="BZ63" i="65"/>
  <c r="CA63" i="65" s="1"/>
  <c r="BX63" i="65"/>
  <c r="BY63" i="65" s="1"/>
  <c r="BV63" i="65"/>
  <c r="BW63" i="65" s="1"/>
  <c r="BT63" i="65"/>
  <c r="BU63" i="65" s="1"/>
  <c r="BR63" i="65"/>
  <c r="BS63" i="65" s="1"/>
  <c r="AY63" i="65"/>
  <c r="AX63" i="65"/>
  <c r="AW63" i="65"/>
  <c r="EB62" i="65"/>
  <c r="EC62" i="65" s="1"/>
  <c r="DZ62" i="65"/>
  <c r="EA62" i="65" s="1"/>
  <c r="DX62" i="65"/>
  <c r="DY62" i="65" s="1"/>
  <c r="DV62" i="65"/>
  <c r="DW62" i="65" s="1"/>
  <c r="DT62" i="65"/>
  <c r="DU62" i="65" s="1"/>
  <c r="DR62" i="65"/>
  <c r="DS62" i="65" s="1"/>
  <c r="DP62" i="65"/>
  <c r="DQ62" i="65" s="1"/>
  <c r="DN62" i="65"/>
  <c r="DO62" i="65" s="1"/>
  <c r="DL62" i="65"/>
  <c r="DM62" i="65" s="1"/>
  <c r="DJ62" i="65"/>
  <c r="DK62" i="65" s="1"/>
  <c r="DH62" i="65"/>
  <c r="DI62" i="65" s="1"/>
  <c r="DF62" i="65"/>
  <c r="DG62" i="65" s="1"/>
  <c r="DD62" i="65"/>
  <c r="DE62" i="65" s="1"/>
  <c r="DB62" i="65"/>
  <c r="DC62" i="65" s="1"/>
  <c r="CZ62" i="65"/>
  <c r="DA62" i="65" s="1"/>
  <c r="CX62" i="65"/>
  <c r="CY62" i="65" s="1"/>
  <c r="CV62" i="65"/>
  <c r="CW62" i="65" s="1"/>
  <c r="CT62" i="65"/>
  <c r="CU62" i="65" s="1"/>
  <c r="CR62" i="65"/>
  <c r="CS62" i="65" s="1"/>
  <c r="CP62" i="65"/>
  <c r="CQ62" i="65" s="1"/>
  <c r="CN62" i="65"/>
  <c r="CO62" i="65" s="1"/>
  <c r="CL62" i="65"/>
  <c r="CM62" i="65" s="1"/>
  <c r="CJ62" i="65"/>
  <c r="CK62" i="65" s="1"/>
  <c r="CH62" i="65"/>
  <c r="CI62" i="65" s="1"/>
  <c r="CF62" i="65"/>
  <c r="CG62" i="65" s="1"/>
  <c r="CD62" i="65"/>
  <c r="CE62" i="65" s="1"/>
  <c r="CB62" i="65"/>
  <c r="CC62" i="65" s="1"/>
  <c r="BZ62" i="65"/>
  <c r="CA62" i="65" s="1"/>
  <c r="BX62" i="65"/>
  <c r="BY62" i="65" s="1"/>
  <c r="BV62" i="65"/>
  <c r="BW62" i="65" s="1"/>
  <c r="BT62" i="65"/>
  <c r="BU62" i="65" s="1"/>
  <c r="BR62" i="65"/>
  <c r="BS62" i="65" s="1"/>
  <c r="AY62" i="65"/>
  <c r="AX62" i="65"/>
  <c r="AW62" i="65"/>
  <c r="EB122" i="65"/>
  <c r="EC122" i="65" s="1"/>
  <c r="DZ122" i="65"/>
  <c r="EA122" i="65" s="1"/>
  <c r="DX122" i="65"/>
  <c r="DY122" i="65" s="1"/>
  <c r="DV122" i="65"/>
  <c r="DW122" i="65" s="1"/>
  <c r="DT122" i="65"/>
  <c r="DU122" i="65" s="1"/>
  <c r="DR122" i="65"/>
  <c r="DS122" i="65" s="1"/>
  <c r="DP122" i="65"/>
  <c r="DQ122" i="65" s="1"/>
  <c r="DN122" i="65"/>
  <c r="DO122" i="65" s="1"/>
  <c r="DL122" i="65"/>
  <c r="DM122" i="65" s="1"/>
  <c r="DJ122" i="65"/>
  <c r="DK122" i="65" s="1"/>
  <c r="DH122" i="65"/>
  <c r="DI122" i="65" s="1"/>
  <c r="DF122" i="65"/>
  <c r="DG122" i="65" s="1"/>
  <c r="DD122" i="65"/>
  <c r="DE122" i="65" s="1"/>
  <c r="DB122" i="65"/>
  <c r="DC122" i="65" s="1"/>
  <c r="CZ122" i="65"/>
  <c r="DA122" i="65" s="1"/>
  <c r="CX122" i="65"/>
  <c r="CY122" i="65" s="1"/>
  <c r="CV122" i="65"/>
  <c r="CW122" i="65" s="1"/>
  <c r="CT122" i="65"/>
  <c r="CU122" i="65" s="1"/>
  <c r="CR122" i="65"/>
  <c r="CS122" i="65" s="1"/>
  <c r="CP122" i="65"/>
  <c r="CQ122" i="65" s="1"/>
  <c r="CN122" i="65"/>
  <c r="CO122" i="65" s="1"/>
  <c r="CL122" i="65"/>
  <c r="CM122" i="65" s="1"/>
  <c r="CJ122" i="65"/>
  <c r="CK122" i="65" s="1"/>
  <c r="CH122" i="65"/>
  <c r="CI122" i="65" s="1"/>
  <c r="CF122" i="65"/>
  <c r="CG122" i="65" s="1"/>
  <c r="CD122" i="65"/>
  <c r="CE122" i="65" s="1"/>
  <c r="CB122" i="65"/>
  <c r="CC122" i="65" s="1"/>
  <c r="BZ122" i="65"/>
  <c r="CA122" i="65" s="1"/>
  <c r="BX122" i="65"/>
  <c r="BY122" i="65" s="1"/>
  <c r="BV122" i="65"/>
  <c r="BW122" i="65" s="1"/>
  <c r="BT122" i="65"/>
  <c r="BU122" i="65" s="1"/>
  <c r="BR122" i="65"/>
  <c r="BS122" i="65" s="1"/>
  <c r="AY122" i="65"/>
  <c r="AX122" i="65"/>
  <c r="AW122" i="65"/>
  <c r="EB61" i="65"/>
  <c r="EC61" i="65" s="1"/>
  <c r="DZ61" i="65"/>
  <c r="EA61" i="65" s="1"/>
  <c r="DX61" i="65"/>
  <c r="DY61" i="65" s="1"/>
  <c r="DV61" i="65"/>
  <c r="DW61" i="65" s="1"/>
  <c r="DT61" i="65"/>
  <c r="DU61" i="65" s="1"/>
  <c r="DR61" i="65"/>
  <c r="DS61" i="65" s="1"/>
  <c r="DP61" i="65"/>
  <c r="DQ61" i="65" s="1"/>
  <c r="DN61" i="65"/>
  <c r="DO61" i="65" s="1"/>
  <c r="DL61" i="65"/>
  <c r="DM61" i="65" s="1"/>
  <c r="DJ61" i="65"/>
  <c r="DK61" i="65" s="1"/>
  <c r="DH61" i="65"/>
  <c r="DI61" i="65" s="1"/>
  <c r="DF61" i="65"/>
  <c r="DG61" i="65" s="1"/>
  <c r="DD61" i="65"/>
  <c r="DE61" i="65" s="1"/>
  <c r="DB61" i="65"/>
  <c r="DC61" i="65" s="1"/>
  <c r="CZ61" i="65"/>
  <c r="DA61" i="65" s="1"/>
  <c r="CX61" i="65"/>
  <c r="CY61" i="65" s="1"/>
  <c r="CV61" i="65"/>
  <c r="CW61" i="65" s="1"/>
  <c r="CT61" i="65"/>
  <c r="CU61" i="65" s="1"/>
  <c r="CR61" i="65"/>
  <c r="CS61" i="65" s="1"/>
  <c r="CP61" i="65"/>
  <c r="CQ61" i="65" s="1"/>
  <c r="CN61" i="65"/>
  <c r="CO61" i="65" s="1"/>
  <c r="CL61" i="65"/>
  <c r="CM61" i="65" s="1"/>
  <c r="CJ61" i="65"/>
  <c r="CK61" i="65" s="1"/>
  <c r="CH61" i="65"/>
  <c r="CI61" i="65" s="1"/>
  <c r="CF61" i="65"/>
  <c r="CG61" i="65" s="1"/>
  <c r="CD61" i="65"/>
  <c r="CE61" i="65" s="1"/>
  <c r="CB61" i="65"/>
  <c r="CC61" i="65" s="1"/>
  <c r="BZ61" i="65"/>
  <c r="CA61" i="65" s="1"/>
  <c r="BX61" i="65"/>
  <c r="BY61" i="65" s="1"/>
  <c r="BV61" i="65"/>
  <c r="BW61" i="65" s="1"/>
  <c r="BT61" i="65"/>
  <c r="BU61" i="65" s="1"/>
  <c r="BR61" i="65"/>
  <c r="BS61" i="65" s="1"/>
  <c r="AY61" i="65"/>
  <c r="AX61" i="65"/>
  <c r="AW61" i="65"/>
  <c r="EB60" i="65"/>
  <c r="EC60" i="65" s="1"/>
  <c r="DZ60" i="65"/>
  <c r="EA60" i="65" s="1"/>
  <c r="DX60" i="65"/>
  <c r="DY60" i="65" s="1"/>
  <c r="DV60" i="65"/>
  <c r="DW60" i="65" s="1"/>
  <c r="DT60" i="65"/>
  <c r="DU60" i="65" s="1"/>
  <c r="DR60" i="65"/>
  <c r="DS60" i="65" s="1"/>
  <c r="DP60" i="65"/>
  <c r="DQ60" i="65" s="1"/>
  <c r="DN60" i="65"/>
  <c r="DO60" i="65" s="1"/>
  <c r="DL60" i="65"/>
  <c r="DM60" i="65" s="1"/>
  <c r="DJ60" i="65"/>
  <c r="DK60" i="65" s="1"/>
  <c r="DH60" i="65"/>
  <c r="DI60" i="65" s="1"/>
  <c r="DF60" i="65"/>
  <c r="DG60" i="65" s="1"/>
  <c r="DD60" i="65"/>
  <c r="DE60" i="65" s="1"/>
  <c r="DB60" i="65"/>
  <c r="DC60" i="65" s="1"/>
  <c r="CZ60" i="65"/>
  <c r="DA60" i="65" s="1"/>
  <c r="CX60" i="65"/>
  <c r="CY60" i="65" s="1"/>
  <c r="CV60" i="65"/>
  <c r="CW60" i="65" s="1"/>
  <c r="CT60" i="65"/>
  <c r="CU60" i="65" s="1"/>
  <c r="CR60" i="65"/>
  <c r="CS60" i="65" s="1"/>
  <c r="CP60" i="65"/>
  <c r="CQ60" i="65" s="1"/>
  <c r="CN60" i="65"/>
  <c r="CO60" i="65" s="1"/>
  <c r="CL60" i="65"/>
  <c r="CM60" i="65" s="1"/>
  <c r="CJ60" i="65"/>
  <c r="CK60" i="65" s="1"/>
  <c r="CH60" i="65"/>
  <c r="CI60" i="65" s="1"/>
  <c r="CF60" i="65"/>
  <c r="CG60" i="65" s="1"/>
  <c r="CD60" i="65"/>
  <c r="CE60" i="65" s="1"/>
  <c r="CB60" i="65"/>
  <c r="CC60" i="65" s="1"/>
  <c r="BZ60" i="65"/>
  <c r="CA60" i="65" s="1"/>
  <c r="BX60" i="65"/>
  <c r="BY60" i="65" s="1"/>
  <c r="BV60" i="65"/>
  <c r="BW60" i="65" s="1"/>
  <c r="BT60" i="65"/>
  <c r="BU60" i="65" s="1"/>
  <c r="BR60" i="65"/>
  <c r="BS60" i="65" s="1"/>
  <c r="AY60" i="65"/>
  <c r="AX60" i="65"/>
  <c r="AW60" i="65"/>
  <c r="EB59" i="65"/>
  <c r="EC59" i="65" s="1"/>
  <c r="DZ59" i="65"/>
  <c r="EA59" i="65" s="1"/>
  <c r="DX59" i="65"/>
  <c r="DY59" i="65" s="1"/>
  <c r="DV59" i="65"/>
  <c r="DW59" i="65" s="1"/>
  <c r="DT59" i="65"/>
  <c r="DU59" i="65" s="1"/>
  <c r="DR59" i="65"/>
  <c r="DS59" i="65" s="1"/>
  <c r="DP59" i="65"/>
  <c r="DQ59" i="65" s="1"/>
  <c r="DN59" i="65"/>
  <c r="DO59" i="65" s="1"/>
  <c r="DL59" i="65"/>
  <c r="DM59" i="65" s="1"/>
  <c r="DJ59" i="65"/>
  <c r="DK59" i="65" s="1"/>
  <c r="DH59" i="65"/>
  <c r="DI59" i="65" s="1"/>
  <c r="DF59" i="65"/>
  <c r="DG59" i="65" s="1"/>
  <c r="DD59" i="65"/>
  <c r="DE59" i="65" s="1"/>
  <c r="DB59" i="65"/>
  <c r="DC59" i="65" s="1"/>
  <c r="CZ59" i="65"/>
  <c r="DA59" i="65" s="1"/>
  <c r="CX59" i="65"/>
  <c r="CY59" i="65" s="1"/>
  <c r="CV59" i="65"/>
  <c r="CW59" i="65" s="1"/>
  <c r="CT59" i="65"/>
  <c r="CU59" i="65" s="1"/>
  <c r="CR59" i="65"/>
  <c r="CS59" i="65" s="1"/>
  <c r="CP59" i="65"/>
  <c r="CQ59" i="65" s="1"/>
  <c r="CN59" i="65"/>
  <c r="CO59" i="65" s="1"/>
  <c r="CL59" i="65"/>
  <c r="CM59" i="65" s="1"/>
  <c r="CJ59" i="65"/>
  <c r="CK59" i="65" s="1"/>
  <c r="CH59" i="65"/>
  <c r="CI59" i="65" s="1"/>
  <c r="CF59" i="65"/>
  <c r="CG59" i="65" s="1"/>
  <c r="CD59" i="65"/>
  <c r="CE59" i="65" s="1"/>
  <c r="CB59" i="65"/>
  <c r="CC59" i="65" s="1"/>
  <c r="BZ59" i="65"/>
  <c r="CA59" i="65" s="1"/>
  <c r="BX59" i="65"/>
  <c r="BY59" i="65" s="1"/>
  <c r="BV59" i="65"/>
  <c r="BW59" i="65" s="1"/>
  <c r="BT59" i="65"/>
  <c r="BU59" i="65" s="1"/>
  <c r="BR59" i="65"/>
  <c r="BS59" i="65" s="1"/>
  <c r="AY59" i="65"/>
  <c r="AX59" i="65"/>
  <c r="AW59" i="65"/>
  <c r="EB58" i="65"/>
  <c r="EC58" i="65" s="1"/>
  <c r="DZ58" i="65"/>
  <c r="EA58" i="65" s="1"/>
  <c r="DX58" i="65"/>
  <c r="DY58" i="65" s="1"/>
  <c r="DV58" i="65"/>
  <c r="DW58" i="65" s="1"/>
  <c r="DT58" i="65"/>
  <c r="DU58" i="65" s="1"/>
  <c r="DR58" i="65"/>
  <c r="DS58" i="65" s="1"/>
  <c r="DP58" i="65"/>
  <c r="DQ58" i="65" s="1"/>
  <c r="DN58" i="65"/>
  <c r="DO58" i="65" s="1"/>
  <c r="DL58" i="65"/>
  <c r="DM58" i="65" s="1"/>
  <c r="DJ58" i="65"/>
  <c r="DK58" i="65" s="1"/>
  <c r="DH58" i="65"/>
  <c r="DI58" i="65" s="1"/>
  <c r="DF58" i="65"/>
  <c r="DG58" i="65" s="1"/>
  <c r="DD58" i="65"/>
  <c r="DE58" i="65" s="1"/>
  <c r="DB58" i="65"/>
  <c r="DC58" i="65" s="1"/>
  <c r="CZ58" i="65"/>
  <c r="DA58" i="65" s="1"/>
  <c r="CX58" i="65"/>
  <c r="CY58" i="65" s="1"/>
  <c r="CV58" i="65"/>
  <c r="CW58" i="65" s="1"/>
  <c r="CT58" i="65"/>
  <c r="CU58" i="65" s="1"/>
  <c r="CR58" i="65"/>
  <c r="CS58" i="65" s="1"/>
  <c r="CP58" i="65"/>
  <c r="CQ58" i="65" s="1"/>
  <c r="CN58" i="65"/>
  <c r="CO58" i="65" s="1"/>
  <c r="CL58" i="65"/>
  <c r="CM58" i="65" s="1"/>
  <c r="CJ58" i="65"/>
  <c r="CK58" i="65" s="1"/>
  <c r="CH58" i="65"/>
  <c r="CI58" i="65" s="1"/>
  <c r="CF58" i="65"/>
  <c r="CG58" i="65" s="1"/>
  <c r="CD58" i="65"/>
  <c r="CE58" i="65" s="1"/>
  <c r="CB58" i="65"/>
  <c r="CC58" i="65" s="1"/>
  <c r="BZ58" i="65"/>
  <c r="CA58" i="65" s="1"/>
  <c r="BX58" i="65"/>
  <c r="BY58" i="65" s="1"/>
  <c r="BV58" i="65"/>
  <c r="BW58" i="65" s="1"/>
  <c r="BT58" i="65"/>
  <c r="BU58" i="65" s="1"/>
  <c r="BR58" i="65"/>
  <c r="BS58" i="65" s="1"/>
  <c r="AY58" i="65"/>
  <c r="AX58" i="65"/>
  <c r="AW58" i="65"/>
  <c r="EB57" i="65"/>
  <c r="EC57" i="65" s="1"/>
  <c r="DZ57" i="65"/>
  <c r="EA57" i="65" s="1"/>
  <c r="DX57" i="65"/>
  <c r="DY57" i="65" s="1"/>
  <c r="DV57" i="65"/>
  <c r="DW57" i="65" s="1"/>
  <c r="DT57" i="65"/>
  <c r="DU57" i="65" s="1"/>
  <c r="DR57" i="65"/>
  <c r="DS57" i="65" s="1"/>
  <c r="DP57" i="65"/>
  <c r="DQ57" i="65" s="1"/>
  <c r="DN57" i="65"/>
  <c r="DO57" i="65" s="1"/>
  <c r="DL57" i="65"/>
  <c r="DM57" i="65" s="1"/>
  <c r="DJ57" i="65"/>
  <c r="DK57" i="65" s="1"/>
  <c r="DH57" i="65"/>
  <c r="DI57" i="65" s="1"/>
  <c r="DF57" i="65"/>
  <c r="DG57" i="65" s="1"/>
  <c r="DD57" i="65"/>
  <c r="DE57" i="65" s="1"/>
  <c r="DB57" i="65"/>
  <c r="DC57" i="65" s="1"/>
  <c r="CZ57" i="65"/>
  <c r="DA57" i="65" s="1"/>
  <c r="CX57" i="65"/>
  <c r="CY57" i="65" s="1"/>
  <c r="CV57" i="65"/>
  <c r="CW57" i="65" s="1"/>
  <c r="CT57" i="65"/>
  <c r="CU57" i="65" s="1"/>
  <c r="CR57" i="65"/>
  <c r="CS57" i="65" s="1"/>
  <c r="CP57" i="65"/>
  <c r="CQ57" i="65" s="1"/>
  <c r="CN57" i="65"/>
  <c r="CO57" i="65" s="1"/>
  <c r="CL57" i="65"/>
  <c r="CM57" i="65" s="1"/>
  <c r="CJ57" i="65"/>
  <c r="CK57" i="65" s="1"/>
  <c r="CH57" i="65"/>
  <c r="CI57" i="65" s="1"/>
  <c r="CF57" i="65"/>
  <c r="CG57" i="65" s="1"/>
  <c r="CD57" i="65"/>
  <c r="CE57" i="65" s="1"/>
  <c r="CB57" i="65"/>
  <c r="CC57" i="65" s="1"/>
  <c r="BZ57" i="65"/>
  <c r="CA57" i="65" s="1"/>
  <c r="BX57" i="65"/>
  <c r="BY57" i="65" s="1"/>
  <c r="BV57" i="65"/>
  <c r="BW57" i="65" s="1"/>
  <c r="BT57" i="65"/>
  <c r="BU57" i="65" s="1"/>
  <c r="BR57" i="65"/>
  <c r="BS57" i="65" s="1"/>
  <c r="AY57" i="65"/>
  <c r="AX57" i="65"/>
  <c r="AW57" i="65"/>
  <c r="EB56" i="65"/>
  <c r="EC56" i="65" s="1"/>
  <c r="DZ56" i="65"/>
  <c r="EA56" i="65" s="1"/>
  <c r="DX56" i="65"/>
  <c r="DY56" i="65" s="1"/>
  <c r="DV56" i="65"/>
  <c r="DW56" i="65" s="1"/>
  <c r="DT56" i="65"/>
  <c r="DU56" i="65" s="1"/>
  <c r="DR56" i="65"/>
  <c r="DS56" i="65" s="1"/>
  <c r="DP56" i="65"/>
  <c r="DQ56" i="65" s="1"/>
  <c r="DN56" i="65"/>
  <c r="DO56" i="65" s="1"/>
  <c r="DL56" i="65"/>
  <c r="DM56" i="65" s="1"/>
  <c r="DJ56" i="65"/>
  <c r="DK56" i="65" s="1"/>
  <c r="DH56" i="65"/>
  <c r="DI56" i="65" s="1"/>
  <c r="DF56" i="65"/>
  <c r="DG56" i="65" s="1"/>
  <c r="DD56" i="65"/>
  <c r="DE56" i="65" s="1"/>
  <c r="DB56" i="65"/>
  <c r="DC56" i="65" s="1"/>
  <c r="CZ56" i="65"/>
  <c r="DA56" i="65" s="1"/>
  <c r="CX56" i="65"/>
  <c r="CY56" i="65" s="1"/>
  <c r="CV56" i="65"/>
  <c r="CW56" i="65" s="1"/>
  <c r="CT56" i="65"/>
  <c r="CU56" i="65" s="1"/>
  <c r="CR56" i="65"/>
  <c r="CS56" i="65" s="1"/>
  <c r="CP56" i="65"/>
  <c r="CQ56" i="65" s="1"/>
  <c r="CN56" i="65"/>
  <c r="CO56" i="65" s="1"/>
  <c r="CL56" i="65"/>
  <c r="CM56" i="65" s="1"/>
  <c r="CJ56" i="65"/>
  <c r="CK56" i="65" s="1"/>
  <c r="CH56" i="65"/>
  <c r="CI56" i="65" s="1"/>
  <c r="CF56" i="65"/>
  <c r="CG56" i="65" s="1"/>
  <c r="CD56" i="65"/>
  <c r="CE56" i="65" s="1"/>
  <c r="CB56" i="65"/>
  <c r="CC56" i="65" s="1"/>
  <c r="BZ56" i="65"/>
  <c r="CA56" i="65" s="1"/>
  <c r="BX56" i="65"/>
  <c r="BY56" i="65" s="1"/>
  <c r="BV56" i="65"/>
  <c r="BW56" i="65" s="1"/>
  <c r="BT56" i="65"/>
  <c r="BU56" i="65" s="1"/>
  <c r="BR56" i="65"/>
  <c r="BS56" i="65" s="1"/>
  <c r="AY56" i="65"/>
  <c r="AX56" i="65"/>
  <c r="AW56" i="65"/>
  <c r="EB121" i="65"/>
  <c r="EC121" i="65" s="1"/>
  <c r="DZ121" i="65"/>
  <c r="EA121" i="65" s="1"/>
  <c r="DX121" i="65"/>
  <c r="DY121" i="65" s="1"/>
  <c r="DV121" i="65"/>
  <c r="DW121" i="65" s="1"/>
  <c r="DT121" i="65"/>
  <c r="DU121" i="65" s="1"/>
  <c r="DR121" i="65"/>
  <c r="DS121" i="65" s="1"/>
  <c r="DP121" i="65"/>
  <c r="DQ121" i="65" s="1"/>
  <c r="DN121" i="65"/>
  <c r="DO121" i="65" s="1"/>
  <c r="DL121" i="65"/>
  <c r="DM121" i="65" s="1"/>
  <c r="DJ121" i="65"/>
  <c r="DK121" i="65" s="1"/>
  <c r="DH121" i="65"/>
  <c r="DI121" i="65" s="1"/>
  <c r="DF121" i="65"/>
  <c r="DG121" i="65" s="1"/>
  <c r="DD121" i="65"/>
  <c r="DE121" i="65" s="1"/>
  <c r="DB121" i="65"/>
  <c r="DC121" i="65" s="1"/>
  <c r="CZ121" i="65"/>
  <c r="DA121" i="65" s="1"/>
  <c r="CX121" i="65"/>
  <c r="CY121" i="65" s="1"/>
  <c r="CV121" i="65"/>
  <c r="CW121" i="65" s="1"/>
  <c r="CT121" i="65"/>
  <c r="CU121" i="65" s="1"/>
  <c r="CR121" i="65"/>
  <c r="CS121" i="65" s="1"/>
  <c r="CP121" i="65"/>
  <c r="CQ121" i="65" s="1"/>
  <c r="CN121" i="65"/>
  <c r="CO121" i="65" s="1"/>
  <c r="CL121" i="65"/>
  <c r="CM121" i="65" s="1"/>
  <c r="CJ121" i="65"/>
  <c r="CK121" i="65" s="1"/>
  <c r="CH121" i="65"/>
  <c r="CI121" i="65" s="1"/>
  <c r="CF121" i="65"/>
  <c r="CG121" i="65" s="1"/>
  <c r="CD121" i="65"/>
  <c r="CE121" i="65" s="1"/>
  <c r="CB121" i="65"/>
  <c r="CC121" i="65" s="1"/>
  <c r="BZ121" i="65"/>
  <c r="CA121" i="65" s="1"/>
  <c r="BX121" i="65"/>
  <c r="BY121" i="65" s="1"/>
  <c r="BV121" i="65"/>
  <c r="BW121" i="65" s="1"/>
  <c r="BT121" i="65"/>
  <c r="BU121" i="65" s="1"/>
  <c r="BR121" i="65"/>
  <c r="BS121" i="65" s="1"/>
  <c r="AY121" i="65"/>
  <c r="AX121" i="65"/>
  <c r="AW121" i="65"/>
  <c r="EB55" i="65"/>
  <c r="EC55" i="65" s="1"/>
  <c r="DZ55" i="65"/>
  <c r="EA55" i="65" s="1"/>
  <c r="DX55" i="65"/>
  <c r="DY55" i="65" s="1"/>
  <c r="DV55" i="65"/>
  <c r="DW55" i="65" s="1"/>
  <c r="DT55" i="65"/>
  <c r="DU55" i="65" s="1"/>
  <c r="DR55" i="65"/>
  <c r="DS55" i="65" s="1"/>
  <c r="DP55" i="65"/>
  <c r="DQ55" i="65" s="1"/>
  <c r="DN55" i="65"/>
  <c r="DO55" i="65" s="1"/>
  <c r="DL55" i="65"/>
  <c r="DM55" i="65" s="1"/>
  <c r="DJ55" i="65"/>
  <c r="DK55" i="65" s="1"/>
  <c r="DH55" i="65"/>
  <c r="DI55" i="65" s="1"/>
  <c r="DF55" i="65"/>
  <c r="DG55" i="65" s="1"/>
  <c r="DD55" i="65"/>
  <c r="DE55" i="65" s="1"/>
  <c r="DB55" i="65"/>
  <c r="DC55" i="65" s="1"/>
  <c r="CZ55" i="65"/>
  <c r="DA55" i="65" s="1"/>
  <c r="CX55" i="65"/>
  <c r="CY55" i="65" s="1"/>
  <c r="CV55" i="65"/>
  <c r="CW55" i="65" s="1"/>
  <c r="CT55" i="65"/>
  <c r="CU55" i="65" s="1"/>
  <c r="CR55" i="65"/>
  <c r="CS55" i="65" s="1"/>
  <c r="CP55" i="65"/>
  <c r="CQ55" i="65" s="1"/>
  <c r="CN55" i="65"/>
  <c r="CO55" i="65" s="1"/>
  <c r="CL55" i="65"/>
  <c r="CM55" i="65" s="1"/>
  <c r="CJ55" i="65"/>
  <c r="CK55" i="65" s="1"/>
  <c r="CH55" i="65"/>
  <c r="CI55" i="65" s="1"/>
  <c r="CF55" i="65"/>
  <c r="CG55" i="65" s="1"/>
  <c r="CD55" i="65"/>
  <c r="CE55" i="65" s="1"/>
  <c r="CB55" i="65"/>
  <c r="CC55" i="65" s="1"/>
  <c r="BZ55" i="65"/>
  <c r="CA55" i="65" s="1"/>
  <c r="BX55" i="65"/>
  <c r="BY55" i="65" s="1"/>
  <c r="BV55" i="65"/>
  <c r="BW55" i="65" s="1"/>
  <c r="BT55" i="65"/>
  <c r="BU55" i="65" s="1"/>
  <c r="BR55" i="65"/>
  <c r="BS55" i="65" s="1"/>
  <c r="AY55" i="65"/>
  <c r="AX55" i="65"/>
  <c r="AW55" i="65"/>
  <c r="EB54" i="65"/>
  <c r="EC54" i="65" s="1"/>
  <c r="DZ54" i="65"/>
  <c r="EA54" i="65" s="1"/>
  <c r="DX54" i="65"/>
  <c r="DY54" i="65" s="1"/>
  <c r="DV54" i="65"/>
  <c r="DW54" i="65" s="1"/>
  <c r="DT54" i="65"/>
  <c r="DU54" i="65" s="1"/>
  <c r="DR54" i="65"/>
  <c r="DS54" i="65" s="1"/>
  <c r="DP54" i="65"/>
  <c r="DQ54" i="65" s="1"/>
  <c r="DN54" i="65"/>
  <c r="DO54" i="65" s="1"/>
  <c r="DL54" i="65"/>
  <c r="DM54" i="65" s="1"/>
  <c r="DJ54" i="65"/>
  <c r="DK54" i="65" s="1"/>
  <c r="DH54" i="65"/>
  <c r="DI54" i="65" s="1"/>
  <c r="DF54" i="65"/>
  <c r="DG54" i="65" s="1"/>
  <c r="DD54" i="65"/>
  <c r="DE54" i="65" s="1"/>
  <c r="DB54" i="65"/>
  <c r="DC54" i="65" s="1"/>
  <c r="CZ54" i="65"/>
  <c r="DA54" i="65" s="1"/>
  <c r="CX54" i="65"/>
  <c r="CY54" i="65" s="1"/>
  <c r="CV54" i="65"/>
  <c r="CW54" i="65" s="1"/>
  <c r="CT54" i="65"/>
  <c r="CU54" i="65" s="1"/>
  <c r="CR54" i="65"/>
  <c r="CS54" i="65" s="1"/>
  <c r="CP54" i="65"/>
  <c r="CQ54" i="65" s="1"/>
  <c r="CN54" i="65"/>
  <c r="CO54" i="65" s="1"/>
  <c r="CL54" i="65"/>
  <c r="CM54" i="65" s="1"/>
  <c r="CJ54" i="65"/>
  <c r="CK54" i="65" s="1"/>
  <c r="CH54" i="65"/>
  <c r="CI54" i="65" s="1"/>
  <c r="CF54" i="65"/>
  <c r="CG54" i="65" s="1"/>
  <c r="CD54" i="65"/>
  <c r="CE54" i="65" s="1"/>
  <c r="CB54" i="65"/>
  <c r="CC54" i="65" s="1"/>
  <c r="BZ54" i="65"/>
  <c r="CA54" i="65" s="1"/>
  <c r="BX54" i="65"/>
  <c r="BY54" i="65" s="1"/>
  <c r="BV54" i="65"/>
  <c r="BW54" i="65" s="1"/>
  <c r="BT54" i="65"/>
  <c r="BU54" i="65" s="1"/>
  <c r="BR54" i="65"/>
  <c r="BS54" i="65" s="1"/>
  <c r="AY54" i="65"/>
  <c r="AX54" i="65"/>
  <c r="AW54" i="65"/>
  <c r="EB53" i="65"/>
  <c r="EC53" i="65" s="1"/>
  <c r="DZ53" i="65"/>
  <c r="EA53" i="65" s="1"/>
  <c r="DX53" i="65"/>
  <c r="DY53" i="65" s="1"/>
  <c r="DV53" i="65"/>
  <c r="DW53" i="65" s="1"/>
  <c r="DT53" i="65"/>
  <c r="DU53" i="65" s="1"/>
  <c r="DR53" i="65"/>
  <c r="DS53" i="65" s="1"/>
  <c r="DP53" i="65"/>
  <c r="DQ53" i="65" s="1"/>
  <c r="DN53" i="65"/>
  <c r="DO53" i="65" s="1"/>
  <c r="DL53" i="65"/>
  <c r="DM53" i="65" s="1"/>
  <c r="DJ53" i="65"/>
  <c r="DK53" i="65" s="1"/>
  <c r="DH53" i="65"/>
  <c r="DI53" i="65" s="1"/>
  <c r="DF53" i="65"/>
  <c r="DG53" i="65" s="1"/>
  <c r="DD53" i="65"/>
  <c r="DE53" i="65" s="1"/>
  <c r="DB53" i="65"/>
  <c r="DC53" i="65" s="1"/>
  <c r="CZ53" i="65"/>
  <c r="DA53" i="65" s="1"/>
  <c r="CX53" i="65"/>
  <c r="CY53" i="65" s="1"/>
  <c r="CV53" i="65"/>
  <c r="CW53" i="65" s="1"/>
  <c r="CT53" i="65"/>
  <c r="CU53" i="65" s="1"/>
  <c r="CR53" i="65"/>
  <c r="CS53" i="65" s="1"/>
  <c r="CP53" i="65"/>
  <c r="CQ53" i="65" s="1"/>
  <c r="CN53" i="65"/>
  <c r="CO53" i="65" s="1"/>
  <c r="CL53" i="65"/>
  <c r="CM53" i="65" s="1"/>
  <c r="CJ53" i="65"/>
  <c r="CK53" i="65" s="1"/>
  <c r="CH53" i="65"/>
  <c r="CI53" i="65" s="1"/>
  <c r="CF53" i="65"/>
  <c r="CG53" i="65" s="1"/>
  <c r="CD53" i="65"/>
  <c r="CE53" i="65" s="1"/>
  <c r="CB53" i="65"/>
  <c r="CC53" i="65" s="1"/>
  <c r="BZ53" i="65"/>
  <c r="CA53" i="65" s="1"/>
  <c r="BX53" i="65"/>
  <c r="BY53" i="65" s="1"/>
  <c r="BV53" i="65"/>
  <c r="BW53" i="65" s="1"/>
  <c r="BT53" i="65"/>
  <c r="BU53" i="65" s="1"/>
  <c r="BR53" i="65"/>
  <c r="BS53" i="65" s="1"/>
  <c r="AY53" i="65"/>
  <c r="AX53" i="65"/>
  <c r="AW53" i="65"/>
  <c r="EB52" i="65"/>
  <c r="EC52" i="65" s="1"/>
  <c r="DZ52" i="65"/>
  <c r="EA52" i="65" s="1"/>
  <c r="DX52" i="65"/>
  <c r="DY52" i="65" s="1"/>
  <c r="DV52" i="65"/>
  <c r="DW52" i="65" s="1"/>
  <c r="DT52" i="65"/>
  <c r="DU52" i="65" s="1"/>
  <c r="DR52" i="65"/>
  <c r="DS52" i="65" s="1"/>
  <c r="DP52" i="65"/>
  <c r="DQ52" i="65" s="1"/>
  <c r="DN52" i="65"/>
  <c r="DO52" i="65" s="1"/>
  <c r="DL52" i="65"/>
  <c r="DM52" i="65" s="1"/>
  <c r="DJ52" i="65"/>
  <c r="DK52" i="65" s="1"/>
  <c r="DH52" i="65"/>
  <c r="DI52" i="65" s="1"/>
  <c r="DF52" i="65"/>
  <c r="DG52" i="65" s="1"/>
  <c r="DD52" i="65"/>
  <c r="DE52" i="65" s="1"/>
  <c r="DB52" i="65"/>
  <c r="DC52" i="65" s="1"/>
  <c r="CZ52" i="65"/>
  <c r="DA52" i="65" s="1"/>
  <c r="CX52" i="65"/>
  <c r="CY52" i="65" s="1"/>
  <c r="CV52" i="65"/>
  <c r="CW52" i="65" s="1"/>
  <c r="CT52" i="65"/>
  <c r="CU52" i="65" s="1"/>
  <c r="CR52" i="65"/>
  <c r="CS52" i="65" s="1"/>
  <c r="CP52" i="65"/>
  <c r="CQ52" i="65" s="1"/>
  <c r="CN52" i="65"/>
  <c r="CO52" i="65" s="1"/>
  <c r="CL52" i="65"/>
  <c r="CM52" i="65" s="1"/>
  <c r="CJ52" i="65"/>
  <c r="CK52" i="65" s="1"/>
  <c r="CH52" i="65"/>
  <c r="CI52" i="65" s="1"/>
  <c r="CF52" i="65"/>
  <c r="CG52" i="65" s="1"/>
  <c r="CD52" i="65"/>
  <c r="CE52" i="65" s="1"/>
  <c r="CB52" i="65"/>
  <c r="CC52" i="65" s="1"/>
  <c r="BZ52" i="65"/>
  <c r="CA52" i="65" s="1"/>
  <c r="BX52" i="65"/>
  <c r="BY52" i="65" s="1"/>
  <c r="BV52" i="65"/>
  <c r="BW52" i="65" s="1"/>
  <c r="BT52" i="65"/>
  <c r="BU52" i="65" s="1"/>
  <c r="BR52" i="65"/>
  <c r="BS52" i="65" s="1"/>
  <c r="AY52" i="65"/>
  <c r="AX52" i="65"/>
  <c r="AW52" i="65"/>
  <c r="EB51" i="65"/>
  <c r="EC51" i="65" s="1"/>
  <c r="DZ51" i="65"/>
  <c r="EA51" i="65" s="1"/>
  <c r="DX51" i="65"/>
  <c r="DY51" i="65" s="1"/>
  <c r="DV51" i="65"/>
  <c r="DW51" i="65" s="1"/>
  <c r="DT51" i="65"/>
  <c r="DU51" i="65" s="1"/>
  <c r="DR51" i="65"/>
  <c r="DS51" i="65" s="1"/>
  <c r="DP51" i="65"/>
  <c r="DQ51" i="65" s="1"/>
  <c r="DN51" i="65"/>
  <c r="DO51" i="65" s="1"/>
  <c r="DL51" i="65"/>
  <c r="DM51" i="65" s="1"/>
  <c r="DJ51" i="65"/>
  <c r="DK51" i="65" s="1"/>
  <c r="DH51" i="65"/>
  <c r="DI51" i="65" s="1"/>
  <c r="DF51" i="65"/>
  <c r="DG51" i="65" s="1"/>
  <c r="DD51" i="65"/>
  <c r="DE51" i="65" s="1"/>
  <c r="DB51" i="65"/>
  <c r="DC51" i="65" s="1"/>
  <c r="CZ51" i="65"/>
  <c r="DA51" i="65" s="1"/>
  <c r="CX51" i="65"/>
  <c r="CY51" i="65" s="1"/>
  <c r="CV51" i="65"/>
  <c r="CW51" i="65" s="1"/>
  <c r="CT51" i="65"/>
  <c r="CU51" i="65" s="1"/>
  <c r="CR51" i="65"/>
  <c r="CS51" i="65" s="1"/>
  <c r="CP51" i="65"/>
  <c r="CQ51" i="65" s="1"/>
  <c r="CN51" i="65"/>
  <c r="CO51" i="65" s="1"/>
  <c r="CL51" i="65"/>
  <c r="CM51" i="65" s="1"/>
  <c r="CJ51" i="65"/>
  <c r="CK51" i="65" s="1"/>
  <c r="CH51" i="65"/>
  <c r="CI51" i="65" s="1"/>
  <c r="CF51" i="65"/>
  <c r="CG51" i="65" s="1"/>
  <c r="CD51" i="65"/>
  <c r="CE51" i="65" s="1"/>
  <c r="CB51" i="65"/>
  <c r="CC51" i="65" s="1"/>
  <c r="BZ51" i="65"/>
  <c r="CA51" i="65" s="1"/>
  <c r="BX51" i="65"/>
  <c r="BY51" i="65" s="1"/>
  <c r="BV51" i="65"/>
  <c r="BW51" i="65" s="1"/>
  <c r="BT51" i="65"/>
  <c r="BU51" i="65" s="1"/>
  <c r="BR51" i="65"/>
  <c r="BS51" i="65" s="1"/>
  <c r="AY51" i="65"/>
  <c r="AX51" i="65"/>
  <c r="AW51" i="65"/>
  <c r="EB50" i="65"/>
  <c r="EC50" i="65" s="1"/>
  <c r="DZ50" i="65"/>
  <c r="EA50" i="65" s="1"/>
  <c r="DX50" i="65"/>
  <c r="DY50" i="65" s="1"/>
  <c r="DV50" i="65"/>
  <c r="DW50" i="65" s="1"/>
  <c r="DT50" i="65"/>
  <c r="DU50" i="65" s="1"/>
  <c r="DR50" i="65"/>
  <c r="DS50" i="65" s="1"/>
  <c r="DP50" i="65"/>
  <c r="DQ50" i="65" s="1"/>
  <c r="DN50" i="65"/>
  <c r="DO50" i="65" s="1"/>
  <c r="DL50" i="65"/>
  <c r="DM50" i="65" s="1"/>
  <c r="DJ50" i="65"/>
  <c r="DK50" i="65" s="1"/>
  <c r="DH50" i="65"/>
  <c r="DI50" i="65" s="1"/>
  <c r="DF50" i="65"/>
  <c r="DG50" i="65" s="1"/>
  <c r="DD50" i="65"/>
  <c r="DE50" i="65" s="1"/>
  <c r="DB50" i="65"/>
  <c r="DC50" i="65" s="1"/>
  <c r="CZ50" i="65"/>
  <c r="DA50" i="65" s="1"/>
  <c r="CX50" i="65"/>
  <c r="CY50" i="65" s="1"/>
  <c r="CV50" i="65"/>
  <c r="CW50" i="65" s="1"/>
  <c r="CT50" i="65"/>
  <c r="CU50" i="65" s="1"/>
  <c r="CR50" i="65"/>
  <c r="CS50" i="65" s="1"/>
  <c r="CP50" i="65"/>
  <c r="CQ50" i="65" s="1"/>
  <c r="CN50" i="65"/>
  <c r="CO50" i="65" s="1"/>
  <c r="CL50" i="65"/>
  <c r="CM50" i="65" s="1"/>
  <c r="CJ50" i="65"/>
  <c r="CK50" i="65" s="1"/>
  <c r="CH50" i="65"/>
  <c r="CI50" i="65" s="1"/>
  <c r="CF50" i="65"/>
  <c r="CG50" i="65" s="1"/>
  <c r="CD50" i="65"/>
  <c r="CE50" i="65" s="1"/>
  <c r="CB50" i="65"/>
  <c r="CC50" i="65" s="1"/>
  <c r="BZ50" i="65"/>
  <c r="CA50" i="65" s="1"/>
  <c r="BX50" i="65"/>
  <c r="BY50" i="65" s="1"/>
  <c r="BV50" i="65"/>
  <c r="BW50" i="65" s="1"/>
  <c r="BT50" i="65"/>
  <c r="BU50" i="65" s="1"/>
  <c r="BR50" i="65"/>
  <c r="BS50" i="65" s="1"/>
  <c r="AY50" i="65"/>
  <c r="AX50" i="65"/>
  <c r="AW50" i="65"/>
  <c r="EB49" i="65"/>
  <c r="EC49" i="65" s="1"/>
  <c r="DZ49" i="65"/>
  <c r="EA49" i="65" s="1"/>
  <c r="DX49" i="65"/>
  <c r="DY49" i="65" s="1"/>
  <c r="DV49" i="65"/>
  <c r="DW49" i="65" s="1"/>
  <c r="DT49" i="65"/>
  <c r="DU49" i="65" s="1"/>
  <c r="DR49" i="65"/>
  <c r="DS49" i="65" s="1"/>
  <c r="DP49" i="65"/>
  <c r="DQ49" i="65" s="1"/>
  <c r="DN49" i="65"/>
  <c r="DO49" i="65" s="1"/>
  <c r="DL49" i="65"/>
  <c r="DM49" i="65" s="1"/>
  <c r="DJ49" i="65"/>
  <c r="DK49" i="65" s="1"/>
  <c r="DH49" i="65"/>
  <c r="DI49" i="65" s="1"/>
  <c r="DF49" i="65"/>
  <c r="DG49" i="65" s="1"/>
  <c r="DD49" i="65"/>
  <c r="DE49" i="65" s="1"/>
  <c r="DB49" i="65"/>
  <c r="DC49" i="65" s="1"/>
  <c r="CZ49" i="65"/>
  <c r="DA49" i="65" s="1"/>
  <c r="CX49" i="65"/>
  <c r="CY49" i="65" s="1"/>
  <c r="CV49" i="65"/>
  <c r="CW49" i="65" s="1"/>
  <c r="CT49" i="65"/>
  <c r="CU49" i="65" s="1"/>
  <c r="CR49" i="65"/>
  <c r="CS49" i="65" s="1"/>
  <c r="CP49" i="65"/>
  <c r="CQ49" i="65" s="1"/>
  <c r="CN49" i="65"/>
  <c r="CO49" i="65" s="1"/>
  <c r="CL49" i="65"/>
  <c r="CM49" i="65" s="1"/>
  <c r="CJ49" i="65"/>
  <c r="CK49" i="65" s="1"/>
  <c r="CH49" i="65"/>
  <c r="CI49" i="65" s="1"/>
  <c r="CF49" i="65"/>
  <c r="CG49" i="65" s="1"/>
  <c r="CD49" i="65"/>
  <c r="CE49" i="65" s="1"/>
  <c r="CB49" i="65"/>
  <c r="CC49" i="65" s="1"/>
  <c r="BZ49" i="65"/>
  <c r="CA49" i="65" s="1"/>
  <c r="BX49" i="65"/>
  <c r="BY49" i="65" s="1"/>
  <c r="BV49" i="65"/>
  <c r="BW49" i="65" s="1"/>
  <c r="BT49" i="65"/>
  <c r="BU49" i="65" s="1"/>
  <c r="BR49" i="65"/>
  <c r="BS49" i="65" s="1"/>
  <c r="AY49" i="65"/>
  <c r="AX49" i="65"/>
  <c r="AW49" i="65"/>
  <c r="EB48" i="65"/>
  <c r="EC48" i="65" s="1"/>
  <c r="DZ48" i="65"/>
  <c r="EA48" i="65" s="1"/>
  <c r="DX48" i="65"/>
  <c r="DY48" i="65" s="1"/>
  <c r="DV48" i="65"/>
  <c r="DW48" i="65" s="1"/>
  <c r="DT48" i="65"/>
  <c r="DU48" i="65" s="1"/>
  <c r="DR48" i="65"/>
  <c r="DS48" i="65" s="1"/>
  <c r="DP48" i="65"/>
  <c r="DQ48" i="65" s="1"/>
  <c r="DN48" i="65"/>
  <c r="DO48" i="65" s="1"/>
  <c r="DL48" i="65"/>
  <c r="DM48" i="65" s="1"/>
  <c r="DJ48" i="65"/>
  <c r="DK48" i="65" s="1"/>
  <c r="DH48" i="65"/>
  <c r="DI48" i="65" s="1"/>
  <c r="DF48" i="65"/>
  <c r="DG48" i="65" s="1"/>
  <c r="DD48" i="65"/>
  <c r="DE48" i="65" s="1"/>
  <c r="DB48" i="65"/>
  <c r="DC48" i="65" s="1"/>
  <c r="CZ48" i="65"/>
  <c r="DA48" i="65" s="1"/>
  <c r="CX48" i="65"/>
  <c r="CY48" i="65" s="1"/>
  <c r="CV48" i="65"/>
  <c r="CW48" i="65" s="1"/>
  <c r="CT48" i="65"/>
  <c r="CU48" i="65" s="1"/>
  <c r="CR48" i="65"/>
  <c r="CS48" i="65" s="1"/>
  <c r="CP48" i="65"/>
  <c r="CQ48" i="65" s="1"/>
  <c r="CN48" i="65"/>
  <c r="CO48" i="65" s="1"/>
  <c r="CL48" i="65"/>
  <c r="CM48" i="65" s="1"/>
  <c r="CJ48" i="65"/>
  <c r="CK48" i="65" s="1"/>
  <c r="CH48" i="65"/>
  <c r="CI48" i="65" s="1"/>
  <c r="CF48" i="65"/>
  <c r="CG48" i="65" s="1"/>
  <c r="CD48" i="65"/>
  <c r="CE48" i="65" s="1"/>
  <c r="CB48" i="65"/>
  <c r="CC48" i="65" s="1"/>
  <c r="BZ48" i="65"/>
  <c r="CA48" i="65" s="1"/>
  <c r="BX48" i="65"/>
  <c r="BY48" i="65" s="1"/>
  <c r="BV48" i="65"/>
  <c r="BW48" i="65" s="1"/>
  <c r="BT48" i="65"/>
  <c r="BU48" i="65" s="1"/>
  <c r="BR48" i="65"/>
  <c r="BS48" i="65" s="1"/>
  <c r="AY48" i="65"/>
  <c r="AX48" i="65"/>
  <c r="AW48" i="65"/>
  <c r="EB47" i="65"/>
  <c r="EC47" i="65" s="1"/>
  <c r="DZ47" i="65"/>
  <c r="EA47" i="65" s="1"/>
  <c r="DX47" i="65"/>
  <c r="DY47" i="65" s="1"/>
  <c r="DV47" i="65"/>
  <c r="DW47" i="65" s="1"/>
  <c r="DT47" i="65"/>
  <c r="DU47" i="65" s="1"/>
  <c r="DR47" i="65"/>
  <c r="DS47" i="65" s="1"/>
  <c r="DP47" i="65"/>
  <c r="DQ47" i="65" s="1"/>
  <c r="DN47" i="65"/>
  <c r="DO47" i="65" s="1"/>
  <c r="DL47" i="65"/>
  <c r="DM47" i="65" s="1"/>
  <c r="DJ47" i="65"/>
  <c r="DK47" i="65" s="1"/>
  <c r="DH47" i="65"/>
  <c r="DI47" i="65" s="1"/>
  <c r="DF47" i="65"/>
  <c r="DG47" i="65" s="1"/>
  <c r="DD47" i="65"/>
  <c r="DE47" i="65" s="1"/>
  <c r="DB47" i="65"/>
  <c r="DC47" i="65" s="1"/>
  <c r="CZ47" i="65"/>
  <c r="DA47" i="65" s="1"/>
  <c r="CX47" i="65"/>
  <c r="CY47" i="65" s="1"/>
  <c r="CV47" i="65"/>
  <c r="CW47" i="65" s="1"/>
  <c r="CT47" i="65"/>
  <c r="CU47" i="65" s="1"/>
  <c r="CR47" i="65"/>
  <c r="CS47" i="65" s="1"/>
  <c r="CP47" i="65"/>
  <c r="CQ47" i="65" s="1"/>
  <c r="CN47" i="65"/>
  <c r="CO47" i="65" s="1"/>
  <c r="CL47" i="65"/>
  <c r="CM47" i="65" s="1"/>
  <c r="CJ47" i="65"/>
  <c r="CK47" i="65" s="1"/>
  <c r="CH47" i="65"/>
  <c r="CI47" i="65" s="1"/>
  <c r="CF47" i="65"/>
  <c r="CG47" i="65" s="1"/>
  <c r="CD47" i="65"/>
  <c r="CE47" i="65" s="1"/>
  <c r="CB47" i="65"/>
  <c r="CC47" i="65" s="1"/>
  <c r="BZ47" i="65"/>
  <c r="CA47" i="65" s="1"/>
  <c r="BX47" i="65"/>
  <c r="BY47" i="65" s="1"/>
  <c r="BV47" i="65"/>
  <c r="BW47" i="65" s="1"/>
  <c r="BT47" i="65"/>
  <c r="BU47" i="65" s="1"/>
  <c r="BR47" i="65"/>
  <c r="BS47" i="65" s="1"/>
  <c r="AY47" i="65"/>
  <c r="AX47" i="65"/>
  <c r="AW47" i="65"/>
  <c r="EB46" i="65"/>
  <c r="EC46" i="65" s="1"/>
  <c r="DZ46" i="65"/>
  <c r="EA46" i="65" s="1"/>
  <c r="DX46" i="65"/>
  <c r="DY46" i="65" s="1"/>
  <c r="DV46" i="65"/>
  <c r="DW46" i="65" s="1"/>
  <c r="DT46" i="65"/>
  <c r="DU46" i="65" s="1"/>
  <c r="DR46" i="65"/>
  <c r="DS46" i="65" s="1"/>
  <c r="DP46" i="65"/>
  <c r="DQ46" i="65" s="1"/>
  <c r="DN46" i="65"/>
  <c r="DO46" i="65" s="1"/>
  <c r="DL46" i="65"/>
  <c r="DM46" i="65" s="1"/>
  <c r="DJ46" i="65"/>
  <c r="DK46" i="65" s="1"/>
  <c r="DH46" i="65"/>
  <c r="DI46" i="65" s="1"/>
  <c r="DF46" i="65"/>
  <c r="DG46" i="65" s="1"/>
  <c r="DD46" i="65"/>
  <c r="DE46" i="65" s="1"/>
  <c r="DB46" i="65"/>
  <c r="DC46" i="65" s="1"/>
  <c r="CZ46" i="65"/>
  <c r="DA46" i="65" s="1"/>
  <c r="CX46" i="65"/>
  <c r="CY46" i="65" s="1"/>
  <c r="CV46" i="65"/>
  <c r="CW46" i="65" s="1"/>
  <c r="CT46" i="65"/>
  <c r="CU46" i="65" s="1"/>
  <c r="CR46" i="65"/>
  <c r="CS46" i="65" s="1"/>
  <c r="CP46" i="65"/>
  <c r="CQ46" i="65" s="1"/>
  <c r="CN46" i="65"/>
  <c r="CO46" i="65" s="1"/>
  <c r="CL46" i="65"/>
  <c r="CM46" i="65" s="1"/>
  <c r="CJ46" i="65"/>
  <c r="CK46" i="65" s="1"/>
  <c r="CH46" i="65"/>
  <c r="CI46" i="65" s="1"/>
  <c r="CF46" i="65"/>
  <c r="CG46" i="65" s="1"/>
  <c r="CD46" i="65"/>
  <c r="CE46" i="65" s="1"/>
  <c r="CB46" i="65"/>
  <c r="CC46" i="65" s="1"/>
  <c r="BZ46" i="65"/>
  <c r="CA46" i="65" s="1"/>
  <c r="BX46" i="65"/>
  <c r="BY46" i="65" s="1"/>
  <c r="BV46" i="65"/>
  <c r="BW46" i="65" s="1"/>
  <c r="BT46" i="65"/>
  <c r="BU46" i="65" s="1"/>
  <c r="BR46" i="65"/>
  <c r="BS46" i="65" s="1"/>
  <c r="AY46" i="65"/>
  <c r="AX46" i="65"/>
  <c r="AW46" i="65"/>
  <c r="EB45" i="65"/>
  <c r="EC45" i="65" s="1"/>
  <c r="DZ45" i="65"/>
  <c r="EA45" i="65" s="1"/>
  <c r="DX45" i="65"/>
  <c r="DY45" i="65" s="1"/>
  <c r="DV45" i="65"/>
  <c r="DW45" i="65" s="1"/>
  <c r="DT45" i="65"/>
  <c r="DU45" i="65" s="1"/>
  <c r="DR45" i="65"/>
  <c r="DS45" i="65" s="1"/>
  <c r="DP45" i="65"/>
  <c r="DQ45" i="65" s="1"/>
  <c r="DN45" i="65"/>
  <c r="DO45" i="65" s="1"/>
  <c r="DL45" i="65"/>
  <c r="DM45" i="65" s="1"/>
  <c r="DJ45" i="65"/>
  <c r="DK45" i="65" s="1"/>
  <c r="DH45" i="65"/>
  <c r="DI45" i="65" s="1"/>
  <c r="DF45" i="65"/>
  <c r="DG45" i="65" s="1"/>
  <c r="DD45" i="65"/>
  <c r="DE45" i="65" s="1"/>
  <c r="DB45" i="65"/>
  <c r="DC45" i="65" s="1"/>
  <c r="CZ45" i="65"/>
  <c r="DA45" i="65" s="1"/>
  <c r="CX45" i="65"/>
  <c r="CY45" i="65" s="1"/>
  <c r="CV45" i="65"/>
  <c r="CW45" i="65" s="1"/>
  <c r="CT45" i="65"/>
  <c r="CU45" i="65" s="1"/>
  <c r="CR45" i="65"/>
  <c r="CS45" i="65" s="1"/>
  <c r="CP45" i="65"/>
  <c r="CQ45" i="65" s="1"/>
  <c r="CN45" i="65"/>
  <c r="CO45" i="65" s="1"/>
  <c r="CL45" i="65"/>
  <c r="CM45" i="65" s="1"/>
  <c r="CJ45" i="65"/>
  <c r="CK45" i="65" s="1"/>
  <c r="CH45" i="65"/>
  <c r="CI45" i="65" s="1"/>
  <c r="CF45" i="65"/>
  <c r="CG45" i="65" s="1"/>
  <c r="CD45" i="65"/>
  <c r="CE45" i="65" s="1"/>
  <c r="CB45" i="65"/>
  <c r="CC45" i="65" s="1"/>
  <c r="BZ45" i="65"/>
  <c r="CA45" i="65" s="1"/>
  <c r="BX45" i="65"/>
  <c r="BY45" i="65" s="1"/>
  <c r="BV45" i="65"/>
  <c r="BW45" i="65" s="1"/>
  <c r="BT45" i="65"/>
  <c r="BU45" i="65" s="1"/>
  <c r="BR45" i="65"/>
  <c r="BS45" i="65" s="1"/>
  <c r="AY45" i="65"/>
  <c r="AX45" i="65"/>
  <c r="AW45" i="65"/>
  <c r="EB44" i="65"/>
  <c r="EC44" i="65" s="1"/>
  <c r="DZ44" i="65"/>
  <c r="EA44" i="65" s="1"/>
  <c r="DX44" i="65"/>
  <c r="DY44" i="65" s="1"/>
  <c r="DV44" i="65"/>
  <c r="DW44" i="65" s="1"/>
  <c r="DT44" i="65"/>
  <c r="DU44" i="65" s="1"/>
  <c r="DR44" i="65"/>
  <c r="DS44" i="65" s="1"/>
  <c r="DP44" i="65"/>
  <c r="DQ44" i="65" s="1"/>
  <c r="DN44" i="65"/>
  <c r="DO44" i="65" s="1"/>
  <c r="DL44" i="65"/>
  <c r="DM44" i="65" s="1"/>
  <c r="DJ44" i="65"/>
  <c r="DK44" i="65" s="1"/>
  <c r="DH44" i="65"/>
  <c r="DI44" i="65" s="1"/>
  <c r="DF44" i="65"/>
  <c r="DG44" i="65" s="1"/>
  <c r="DD44" i="65"/>
  <c r="DE44" i="65" s="1"/>
  <c r="DB44" i="65"/>
  <c r="DC44" i="65" s="1"/>
  <c r="CZ44" i="65"/>
  <c r="DA44" i="65" s="1"/>
  <c r="CX44" i="65"/>
  <c r="CY44" i="65" s="1"/>
  <c r="CV44" i="65"/>
  <c r="CW44" i="65" s="1"/>
  <c r="CT44" i="65"/>
  <c r="CU44" i="65" s="1"/>
  <c r="CR44" i="65"/>
  <c r="CS44" i="65" s="1"/>
  <c r="CP44" i="65"/>
  <c r="CQ44" i="65" s="1"/>
  <c r="CN44" i="65"/>
  <c r="CO44" i="65" s="1"/>
  <c r="CL44" i="65"/>
  <c r="CM44" i="65" s="1"/>
  <c r="CJ44" i="65"/>
  <c r="CK44" i="65" s="1"/>
  <c r="CH44" i="65"/>
  <c r="CI44" i="65" s="1"/>
  <c r="CF44" i="65"/>
  <c r="CG44" i="65" s="1"/>
  <c r="CD44" i="65"/>
  <c r="CE44" i="65" s="1"/>
  <c r="CB44" i="65"/>
  <c r="CC44" i="65" s="1"/>
  <c r="BZ44" i="65"/>
  <c r="CA44" i="65" s="1"/>
  <c r="BX44" i="65"/>
  <c r="BY44" i="65" s="1"/>
  <c r="BV44" i="65"/>
  <c r="BW44" i="65" s="1"/>
  <c r="BT44" i="65"/>
  <c r="BU44" i="65" s="1"/>
  <c r="BR44" i="65"/>
  <c r="BS44" i="65" s="1"/>
  <c r="AY44" i="65"/>
  <c r="AX44" i="65"/>
  <c r="AW44" i="65"/>
  <c r="EB125" i="65"/>
  <c r="EC125" i="65" s="1"/>
  <c r="DZ125" i="65"/>
  <c r="EA125" i="65" s="1"/>
  <c r="DX125" i="65"/>
  <c r="DY125" i="65" s="1"/>
  <c r="DV125" i="65"/>
  <c r="DW125" i="65" s="1"/>
  <c r="DT125" i="65"/>
  <c r="DU125" i="65" s="1"/>
  <c r="DR125" i="65"/>
  <c r="DS125" i="65" s="1"/>
  <c r="DP125" i="65"/>
  <c r="DQ125" i="65" s="1"/>
  <c r="DN125" i="65"/>
  <c r="DO125" i="65" s="1"/>
  <c r="DL125" i="65"/>
  <c r="DM125" i="65" s="1"/>
  <c r="DJ125" i="65"/>
  <c r="DK125" i="65" s="1"/>
  <c r="DH125" i="65"/>
  <c r="DI125" i="65" s="1"/>
  <c r="DF125" i="65"/>
  <c r="DG125" i="65" s="1"/>
  <c r="DD125" i="65"/>
  <c r="DE125" i="65" s="1"/>
  <c r="DB125" i="65"/>
  <c r="DC125" i="65" s="1"/>
  <c r="CZ125" i="65"/>
  <c r="DA125" i="65" s="1"/>
  <c r="CX125" i="65"/>
  <c r="CY125" i="65" s="1"/>
  <c r="CV125" i="65"/>
  <c r="CW125" i="65" s="1"/>
  <c r="CT125" i="65"/>
  <c r="CU125" i="65" s="1"/>
  <c r="CR125" i="65"/>
  <c r="CS125" i="65" s="1"/>
  <c r="CP125" i="65"/>
  <c r="CQ125" i="65" s="1"/>
  <c r="CN125" i="65"/>
  <c r="CO125" i="65" s="1"/>
  <c r="CL125" i="65"/>
  <c r="CM125" i="65" s="1"/>
  <c r="CJ125" i="65"/>
  <c r="CK125" i="65" s="1"/>
  <c r="CH125" i="65"/>
  <c r="CI125" i="65" s="1"/>
  <c r="CF125" i="65"/>
  <c r="CG125" i="65" s="1"/>
  <c r="CD125" i="65"/>
  <c r="CE125" i="65" s="1"/>
  <c r="CB125" i="65"/>
  <c r="CC125" i="65" s="1"/>
  <c r="BZ125" i="65"/>
  <c r="CA125" i="65" s="1"/>
  <c r="BX125" i="65"/>
  <c r="BY125" i="65" s="1"/>
  <c r="BV125" i="65"/>
  <c r="BW125" i="65" s="1"/>
  <c r="BT125" i="65"/>
  <c r="BU125" i="65" s="1"/>
  <c r="BR125" i="65"/>
  <c r="BS125" i="65" s="1"/>
  <c r="AY125" i="65"/>
  <c r="AX125" i="65"/>
  <c r="AW125" i="65"/>
  <c r="EB43" i="65"/>
  <c r="EC43" i="65" s="1"/>
  <c r="DZ43" i="65"/>
  <c r="EA43" i="65" s="1"/>
  <c r="DX43" i="65"/>
  <c r="DY43" i="65" s="1"/>
  <c r="DV43" i="65"/>
  <c r="DW43" i="65" s="1"/>
  <c r="DT43" i="65"/>
  <c r="DU43" i="65" s="1"/>
  <c r="DR43" i="65"/>
  <c r="DS43" i="65" s="1"/>
  <c r="DP43" i="65"/>
  <c r="DQ43" i="65" s="1"/>
  <c r="DN43" i="65"/>
  <c r="DO43" i="65" s="1"/>
  <c r="DL43" i="65"/>
  <c r="DM43" i="65" s="1"/>
  <c r="DJ43" i="65"/>
  <c r="DK43" i="65" s="1"/>
  <c r="DH43" i="65"/>
  <c r="DI43" i="65" s="1"/>
  <c r="DF43" i="65"/>
  <c r="DG43" i="65" s="1"/>
  <c r="DD43" i="65"/>
  <c r="DE43" i="65" s="1"/>
  <c r="DB43" i="65"/>
  <c r="DC43" i="65" s="1"/>
  <c r="CZ43" i="65"/>
  <c r="DA43" i="65" s="1"/>
  <c r="CX43" i="65"/>
  <c r="CY43" i="65" s="1"/>
  <c r="CV43" i="65"/>
  <c r="CW43" i="65" s="1"/>
  <c r="CT43" i="65"/>
  <c r="CU43" i="65" s="1"/>
  <c r="CR43" i="65"/>
  <c r="CS43" i="65" s="1"/>
  <c r="CP43" i="65"/>
  <c r="CQ43" i="65" s="1"/>
  <c r="CN43" i="65"/>
  <c r="CO43" i="65" s="1"/>
  <c r="CL43" i="65"/>
  <c r="CM43" i="65" s="1"/>
  <c r="CJ43" i="65"/>
  <c r="CK43" i="65" s="1"/>
  <c r="CH43" i="65"/>
  <c r="CI43" i="65" s="1"/>
  <c r="CF43" i="65"/>
  <c r="CG43" i="65" s="1"/>
  <c r="CD43" i="65"/>
  <c r="CE43" i="65" s="1"/>
  <c r="CB43" i="65"/>
  <c r="CC43" i="65" s="1"/>
  <c r="BZ43" i="65"/>
  <c r="CA43" i="65" s="1"/>
  <c r="BX43" i="65"/>
  <c r="BY43" i="65" s="1"/>
  <c r="BV43" i="65"/>
  <c r="BW43" i="65" s="1"/>
  <c r="BT43" i="65"/>
  <c r="BU43" i="65" s="1"/>
  <c r="BR43" i="65"/>
  <c r="BS43" i="65" s="1"/>
  <c r="AY43" i="65"/>
  <c r="AX43" i="65"/>
  <c r="AW43" i="65"/>
  <c r="EB42" i="65"/>
  <c r="EC42" i="65" s="1"/>
  <c r="DZ42" i="65"/>
  <c r="EA42" i="65" s="1"/>
  <c r="DX42" i="65"/>
  <c r="DY42" i="65" s="1"/>
  <c r="DV42" i="65"/>
  <c r="DW42" i="65" s="1"/>
  <c r="DT42" i="65"/>
  <c r="DU42" i="65" s="1"/>
  <c r="DR42" i="65"/>
  <c r="DS42" i="65" s="1"/>
  <c r="DP42" i="65"/>
  <c r="DQ42" i="65" s="1"/>
  <c r="DN42" i="65"/>
  <c r="DO42" i="65" s="1"/>
  <c r="DL42" i="65"/>
  <c r="DM42" i="65" s="1"/>
  <c r="DJ42" i="65"/>
  <c r="DK42" i="65" s="1"/>
  <c r="DH42" i="65"/>
  <c r="DI42" i="65" s="1"/>
  <c r="DF42" i="65"/>
  <c r="DG42" i="65" s="1"/>
  <c r="DD42" i="65"/>
  <c r="DE42" i="65" s="1"/>
  <c r="DB42" i="65"/>
  <c r="DC42" i="65" s="1"/>
  <c r="CZ42" i="65"/>
  <c r="DA42" i="65" s="1"/>
  <c r="CX42" i="65"/>
  <c r="CY42" i="65" s="1"/>
  <c r="CV42" i="65"/>
  <c r="CW42" i="65" s="1"/>
  <c r="CT42" i="65"/>
  <c r="CU42" i="65" s="1"/>
  <c r="CR42" i="65"/>
  <c r="CS42" i="65" s="1"/>
  <c r="CP42" i="65"/>
  <c r="CQ42" i="65" s="1"/>
  <c r="CN42" i="65"/>
  <c r="CO42" i="65" s="1"/>
  <c r="CL42" i="65"/>
  <c r="CM42" i="65" s="1"/>
  <c r="CJ42" i="65"/>
  <c r="CK42" i="65" s="1"/>
  <c r="CH42" i="65"/>
  <c r="CI42" i="65" s="1"/>
  <c r="CF42" i="65"/>
  <c r="CG42" i="65" s="1"/>
  <c r="CD42" i="65"/>
  <c r="CE42" i="65" s="1"/>
  <c r="CB42" i="65"/>
  <c r="CC42" i="65" s="1"/>
  <c r="BZ42" i="65"/>
  <c r="CA42" i="65" s="1"/>
  <c r="BX42" i="65"/>
  <c r="BY42" i="65" s="1"/>
  <c r="BV42" i="65"/>
  <c r="BW42" i="65" s="1"/>
  <c r="BT42" i="65"/>
  <c r="BU42" i="65" s="1"/>
  <c r="BR42" i="65"/>
  <c r="BS42" i="65" s="1"/>
  <c r="AY42" i="65"/>
  <c r="AX42" i="65"/>
  <c r="AW42" i="65"/>
  <c r="EB41" i="65"/>
  <c r="EC41" i="65" s="1"/>
  <c r="DZ41" i="65"/>
  <c r="EA41" i="65" s="1"/>
  <c r="DX41" i="65"/>
  <c r="DY41" i="65" s="1"/>
  <c r="DV41" i="65"/>
  <c r="DW41" i="65" s="1"/>
  <c r="DT41" i="65"/>
  <c r="DU41" i="65" s="1"/>
  <c r="DR41" i="65"/>
  <c r="DS41" i="65" s="1"/>
  <c r="DP41" i="65"/>
  <c r="DQ41" i="65" s="1"/>
  <c r="DN41" i="65"/>
  <c r="DO41" i="65" s="1"/>
  <c r="DL41" i="65"/>
  <c r="DM41" i="65" s="1"/>
  <c r="DJ41" i="65"/>
  <c r="DK41" i="65" s="1"/>
  <c r="DH41" i="65"/>
  <c r="DI41" i="65" s="1"/>
  <c r="DF41" i="65"/>
  <c r="DG41" i="65" s="1"/>
  <c r="DD41" i="65"/>
  <c r="DE41" i="65" s="1"/>
  <c r="DB41" i="65"/>
  <c r="DC41" i="65" s="1"/>
  <c r="CZ41" i="65"/>
  <c r="DA41" i="65" s="1"/>
  <c r="CX41" i="65"/>
  <c r="CY41" i="65" s="1"/>
  <c r="CV41" i="65"/>
  <c r="CW41" i="65" s="1"/>
  <c r="CT41" i="65"/>
  <c r="CU41" i="65" s="1"/>
  <c r="CR41" i="65"/>
  <c r="CS41" i="65" s="1"/>
  <c r="CP41" i="65"/>
  <c r="CQ41" i="65" s="1"/>
  <c r="CN41" i="65"/>
  <c r="CO41" i="65" s="1"/>
  <c r="CL41" i="65"/>
  <c r="CM41" i="65" s="1"/>
  <c r="CJ41" i="65"/>
  <c r="CK41" i="65" s="1"/>
  <c r="CH41" i="65"/>
  <c r="CI41" i="65" s="1"/>
  <c r="CF41" i="65"/>
  <c r="CG41" i="65" s="1"/>
  <c r="CD41" i="65"/>
  <c r="CE41" i="65" s="1"/>
  <c r="CB41" i="65"/>
  <c r="CC41" i="65" s="1"/>
  <c r="BZ41" i="65"/>
  <c r="CA41" i="65" s="1"/>
  <c r="BX41" i="65"/>
  <c r="BY41" i="65" s="1"/>
  <c r="BV41" i="65"/>
  <c r="BW41" i="65" s="1"/>
  <c r="BT41" i="65"/>
  <c r="BU41" i="65" s="1"/>
  <c r="BR41" i="65"/>
  <c r="BS41" i="65" s="1"/>
  <c r="AY41" i="65"/>
  <c r="AX41" i="65"/>
  <c r="AW41" i="65"/>
  <c r="EB40" i="65"/>
  <c r="EC40" i="65" s="1"/>
  <c r="DZ40" i="65"/>
  <c r="EA40" i="65" s="1"/>
  <c r="DX40" i="65"/>
  <c r="DY40" i="65" s="1"/>
  <c r="DV40" i="65"/>
  <c r="DW40" i="65" s="1"/>
  <c r="DT40" i="65"/>
  <c r="DU40" i="65" s="1"/>
  <c r="DR40" i="65"/>
  <c r="DS40" i="65" s="1"/>
  <c r="DP40" i="65"/>
  <c r="DQ40" i="65" s="1"/>
  <c r="DN40" i="65"/>
  <c r="DO40" i="65" s="1"/>
  <c r="DL40" i="65"/>
  <c r="DM40" i="65" s="1"/>
  <c r="DJ40" i="65"/>
  <c r="DK40" i="65" s="1"/>
  <c r="DH40" i="65"/>
  <c r="DI40" i="65" s="1"/>
  <c r="DF40" i="65"/>
  <c r="DG40" i="65" s="1"/>
  <c r="DD40" i="65"/>
  <c r="DE40" i="65" s="1"/>
  <c r="DB40" i="65"/>
  <c r="DC40" i="65" s="1"/>
  <c r="CZ40" i="65"/>
  <c r="DA40" i="65" s="1"/>
  <c r="CX40" i="65"/>
  <c r="CY40" i="65" s="1"/>
  <c r="CV40" i="65"/>
  <c r="CW40" i="65" s="1"/>
  <c r="CT40" i="65"/>
  <c r="CU40" i="65" s="1"/>
  <c r="CR40" i="65"/>
  <c r="CS40" i="65" s="1"/>
  <c r="CP40" i="65"/>
  <c r="CQ40" i="65" s="1"/>
  <c r="CN40" i="65"/>
  <c r="CO40" i="65" s="1"/>
  <c r="CL40" i="65"/>
  <c r="CM40" i="65" s="1"/>
  <c r="CJ40" i="65"/>
  <c r="CK40" i="65" s="1"/>
  <c r="CH40" i="65"/>
  <c r="CI40" i="65" s="1"/>
  <c r="CF40" i="65"/>
  <c r="CG40" i="65" s="1"/>
  <c r="CD40" i="65"/>
  <c r="CE40" i="65" s="1"/>
  <c r="CB40" i="65"/>
  <c r="CC40" i="65" s="1"/>
  <c r="BZ40" i="65"/>
  <c r="CA40" i="65" s="1"/>
  <c r="BX40" i="65"/>
  <c r="BY40" i="65" s="1"/>
  <c r="BV40" i="65"/>
  <c r="BW40" i="65" s="1"/>
  <c r="BT40" i="65"/>
  <c r="BU40" i="65" s="1"/>
  <c r="BR40" i="65"/>
  <c r="BS40" i="65" s="1"/>
  <c r="AY40" i="65"/>
  <c r="AX40" i="65"/>
  <c r="AW40" i="65"/>
  <c r="EB39" i="65"/>
  <c r="EC39" i="65" s="1"/>
  <c r="DZ39" i="65"/>
  <c r="EA39" i="65" s="1"/>
  <c r="DX39" i="65"/>
  <c r="DY39" i="65" s="1"/>
  <c r="DV39" i="65"/>
  <c r="DW39" i="65" s="1"/>
  <c r="DT39" i="65"/>
  <c r="DU39" i="65" s="1"/>
  <c r="DR39" i="65"/>
  <c r="DS39" i="65" s="1"/>
  <c r="DP39" i="65"/>
  <c r="DQ39" i="65" s="1"/>
  <c r="DN39" i="65"/>
  <c r="DO39" i="65" s="1"/>
  <c r="DL39" i="65"/>
  <c r="DM39" i="65" s="1"/>
  <c r="DJ39" i="65"/>
  <c r="DK39" i="65" s="1"/>
  <c r="DH39" i="65"/>
  <c r="DI39" i="65" s="1"/>
  <c r="DF39" i="65"/>
  <c r="DG39" i="65" s="1"/>
  <c r="DD39" i="65"/>
  <c r="DE39" i="65" s="1"/>
  <c r="DB39" i="65"/>
  <c r="DC39" i="65" s="1"/>
  <c r="CZ39" i="65"/>
  <c r="DA39" i="65" s="1"/>
  <c r="CX39" i="65"/>
  <c r="CY39" i="65" s="1"/>
  <c r="CV39" i="65"/>
  <c r="CW39" i="65" s="1"/>
  <c r="CT39" i="65"/>
  <c r="CU39" i="65" s="1"/>
  <c r="CR39" i="65"/>
  <c r="CS39" i="65" s="1"/>
  <c r="CP39" i="65"/>
  <c r="CQ39" i="65" s="1"/>
  <c r="CN39" i="65"/>
  <c r="CO39" i="65" s="1"/>
  <c r="CL39" i="65"/>
  <c r="CM39" i="65" s="1"/>
  <c r="CJ39" i="65"/>
  <c r="CK39" i="65" s="1"/>
  <c r="CH39" i="65"/>
  <c r="CI39" i="65" s="1"/>
  <c r="CF39" i="65"/>
  <c r="CG39" i="65" s="1"/>
  <c r="CD39" i="65"/>
  <c r="CE39" i="65" s="1"/>
  <c r="CB39" i="65"/>
  <c r="CC39" i="65" s="1"/>
  <c r="BZ39" i="65"/>
  <c r="CA39" i="65" s="1"/>
  <c r="BX39" i="65"/>
  <c r="BY39" i="65" s="1"/>
  <c r="BV39" i="65"/>
  <c r="BW39" i="65" s="1"/>
  <c r="BT39" i="65"/>
  <c r="BU39" i="65" s="1"/>
  <c r="BR39" i="65"/>
  <c r="BS39" i="65" s="1"/>
  <c r="AY39" i="65"/>
  <c r="AX39" i="65"/>
  <c r="AW39" i="65"/>
  <c r="EB120" i="65"/>
  <c r="EC120" i="65" s="1"/>
  <c r="DZ120" i="65"/>
  <c r="EA120" i="65" s="1"/>
  <c r="DX120" i="65"/>
  <c r="DY120" i="65" s="1"/>
  <c r="DV120" i="65"/>
  <c r="DW120" i="65" s="1"/>
  <c r="DT120" i="65"/>
  <c r="DU120" i="65" s="1"/>
  <c r="DR120" i="65"/>
  <c r="DS120" i="65" s="1"/>
  <c r="DP120" i="65"/>
  <c r="DQ120" i="65" s="1"/>
  <c r="DN120" i="65"/>
  <c r="DO120" i="65" s="1"/>
  <c r="DL120" i="65"/>
  <c r="DM120" i="65" s="1"/>
  <c r="DJ120" i="65"/>
  <c r="DK120" i="65" s="1"/>
  <c r="DH120" i="65"/>
  <c r="DI120" i="65" s="1"/>
  <c r="DF120" i="65"/>
  <c r="DG120" i="65" s="1"/>
  <c r="DD120" i="65"/>
  <c r="DE120" i="65" s="1"/>
  <c r="DB120" i="65"/>
  <c r="DC120" i="65" s="1"/>
  <c r="CZ120" i="65"/>
  <c r="DA120" i="65" s="1"/>
  <c r="CX120" i="65"/>
  <c r="CY120" i="65" s="1"/>
  <c r="CV120" i="65"/>
  <c r="CW120" i="65" s="1"/>
  <c r="CT120" i="65"/>
  <c r="CU120" i="65" s="1"/>
  <c r="CR120" i="65"/>
  <c r="CS120" i="65" s="1"/>
  <c r="CP120" i="65"/>
  <c r="CQ120" i="65" s="1"/>
  <c r="CN120" i="65"/>
  <c r="CO120" i="65" s="1"/>
  <c r="CL120" i="65"/>
  <c r="CM120" i="65" s="1"/>
  <c r="CJ120" i="65"/>
  <c r="CK120" i="65" s="1"/>
  <c r="CH120" i="65"/>
  <c r="CI120" i="65" s="1"/>
  <c r="CF120" i="65"/>
  <c r="CG120" i="65" s="1"/>
  <c r="CD120" i="65"/>
  <c r="CE120" i="65" s="1"/>
  <c r="CB120" i="65"/>
  <c r="CC120" i="65" s="1"/>
  <c r="BZ120" i="65"/>
  <c r="CA120" i="65" s="1"/>
  <c r="BX120" i="65"/>
  <c r="BY120" i="65" s="1"/>
  <c r="BV120" i="65"/>
  <c r="BW120" i="65" s="1"/>
  <c r="BT120" i="65"/>
  <c r="BU120" i="65" s="1"/>
  <c r="BR120" i="65"/>
  <c r="BS120" i="65" s="1"/>
  <c r="AY120" i="65"/>
  <c r="AX120" i="65"/>
  <c r="AW120" i="65"/>
  <c r="EB38" i="65"/>
  <c r="EC38" i="65" s="1"/>
  <c r="DZ38" i="65"/>
  <c r="EA38" i="65" s="1"/>
  <c r="DX38" i="65"/>
  <c r="DY38" i="65" s="1"/>
  <c r="DV38" i="65"/>
  <c r="DW38" i="65" s="1"/>
  <c r="DT38" i="65"/>
  <c r="DU38" i="65" s="1"/>
  <c r="DR38" i="65"/>
  <c r="DS38" i="65" s="1"/>
  <c r="DP38" i="65"/>
  <c r="DQ38" i="65" s="1"/>
  <c r="DN38" i="65"/>
  <c r="DO38" i="65" s="1"/>
  <c r="DL38" i="65"/>
  <c r="DM38" i="65" s="1"/>
  <c r="DJ38" i="65"/>
  <c r="DK38" i="65" s="1"/>
  <c r="DH38" i="65"/>
  <c r="DI38" i="65" s="1"/>
  <c r="DF38" i="65"/>
  <c r="DG38" i="65" s="1"/>
  <c r="DD38" i="65"/>
  <c r="DE38" i="65" s="1"/>
  <c r="DB38" i="65"/>
  <c r="DC38" i="65" s="1"/>
  <c r="CZ38" i="65"/>
  <c r="DA38" i="65" s="1"/>
  <c r="CX38" i="65"/>
  <c r="CY38" i="65" s="1"/>
  <c r="CV38" i="65"/>
  <c r="CW38" i="65" s="1"/>
  <c r="CT38" i="65"/>
  <c r="CU38" i="65" s="1"/>
  <c r="CR38" i="65"/>
  <c r="CS38" i="65" s="1"/>
  <c r="CP38" i="65"/>
  <c r="CQ38" i="65" s="1"/>
  <c r="CN38" i="65"/>
  <c r="CO38" i="65" s="1"/>
  <c r="CL38" i="65"/>
  <c r="CM38" i="65" s="1"/>
  <c r="CJ38" i="65"/>
  <c r="CK38" i="65" s="1"/>
  <c r="CH38" i="65"/>
  <c r="CI38" i="65" s="1"/>
  <c r="CF38" i="65"/>
  <c r="CG38" i="65" s="1"/>
  <c r="CD38" i="65"/>
  <c r="CE38" i="65" s="1"/>
  <c r="CB38" i="65"/>
  <c r="CC38" i="65" s="1"/>
  <c r="BZ38" i="65"/>
  <c r="CA38" i="65" s="1"/>
  <c r="BX38" i="65"/>
  <c r="BY38" i="65" s="1"/>
  <c r="BV38" i="65"/>
  <c r="BW38" i="65" s="1"/>
  <c r="BT38" i="65"/>
  <c r="BU38" i="65" s="1"/>
  <c r="BR38" i="65"/>
  <c r="BS38" i="65" s="1"/>
  <c r="AY38" i="65"/>
  <c r="AX38" i="65"/>
  <c r="AW38" i="65"/>
  <c r="EB37" i="65"/>
  <c r="EC37" i="65" s="1"/>
  <c r="DZ37" i="65"/>
  <c r="EA37" i="65" s="1"/>
  <c r="DX37" i="65"/>
  <c r="DY37" i="65" s="1"/>
  <c r="DV37" i="65"/>
  <c r="DW37" i="65" s="1"/>
  <c r="DT37" i="65"/>
  <c r="DU37" i="65" s="1"/>
  <c r="DR37" i="65"/>
  <c r="DS37" i="65" s="1"/>
  <c r="DP37" i="65"/>
  <c r="DQ37" i="65" s="1"/>
  <c r="DN37" i="65"/>
  <c r="DO37" i="65" s="1"/>
  <c r="DL37" i="65"/>
  <c r="DM37" i="65" s="1"/>
  <c r="DJ37" i="65"/>
  <c r="DK37" i="65" s="1"/>
  <c r="DH37" i="65"/>
  <c r="DI37" i="65" s="1"/>
  <c r="DF37" i="65"/>
  <c r="DG37" i="65" s="1"/>
  <c r="DD37" i="65"/>
  <c r="DE37" i="65" s="1"/>
  <c r="DB37" i="65"/>
  <c r="DC37" i="65" s="1"/>
  <c r="CZ37" i="65"/>
  <c r="DA37" i="65" s="1"/>
  <c r="CX37" i="65"/>
  <c r="CY37" i="65" s="1"/>
  <c r="CV37" i="65"/>
  <c r="CW37" i="65" s="1"/>
  <c r="CT37" i="65"/>
  <c r="CU37" i="65" s="1"/>
  <c r="CR37" i="65"/>
  <c r="CS37" i="65" s="1"/>
  <c r="CP37" i="65"/>
  <c r="CQ37" i="65" s="1"/>
  <c r="CN37" i="65"/>
  <c r="CO37" i="65" s="1"/>
  <c r="CL37" i="65"/>
  <c r="CM37" i="65" s="1"/>
  <c r="CJ37" i="65"/>
  <c r="CK37" i="65" s="1"/>
  <c r="CH37" i="65"/>
  <c r="CI37" i="65" s="1"/>
  <c r="CF37" i="65"/>
  <c r="CG37" i="65" s="1"/>
  <c r="CD37" i="65"/>
  <c r="CE37" i="65" s="1"/>
  <c r="CB37" i="65"/>
  <c r="CC37" i="65" s="1"/>
  <c r="BZ37" i="65"/>
  <c r="CA37" i="65" s="1"/>
  <c r="BX37" i="65"/>
  <c r="BY37" i="65" s="1"/>
  <c r="BV37" i="65"/>
  <c r="BW37" i="65" s="1"/>
  <c r="BT37" i="65"/>
  <c r="BU37" i="65" s="1"/>
  <c r="BR37" i="65"/>
  <c r="BS37" i="65" s="1"/>
  <c r="AY37" i="65"/>
  <c r="AX37" i="65"/>
  <c r="AW37" i="65"/>
  <c r="EB36" i="65"/>
  <c r="EC36" i="65" s="1"/>
  <c r="DZ36" i="65"/>
  <c r="EA36" i="65" s="1"/>
  <c r="DX36" i="65"/>
  <c r="DY36" i="65" s="1"/>
  <c r="DV36" i="65"/>
  <c r="DW36" i="65" s="1"/>
  <c r="DT36" i="65"/>
  <c r="DU36" i="65" s="1"/>
  <c r="DR36" i="65"/>
  <c r="DS36" i="65" s="1"/>
  <c r="DP36" i="65"/>
  <c r="DQ36" i="65" s="1"/>
  <c r="DN36" i="65"/>
  <c r="DO36" i="65" s="1"/>
  <c r="DL36" i="65"/>
  <c r="DM36" i="65" s="1"/>
  <c r="DJ36" i="65"/>
  <c r="DK36" i="65" s="1"/>
  <c r="DH36" i="65"/>
  <c r="DI36" i="65" s="1"/>
  <c r="DF36" i="65"/>
  <c r="DG36" i="65" s="1"/>
  <c r="DD36" i="65"/>
  <c r="DE36" i="65" s="1"/>
  <c r="DB36" i="65"/>
  <c r="DC36" i="65" s="1"/>
  <c r="CZ36" i="65"/>
  <c r="DA36" i="65" s="1"/>
  <c r="CX36" i="65"/>
  <c r="CY36" i="65" s="1"/>
  <c r="CV36" i="65"/>
  <c r="CW36" i="65" s="1"/>
  <c r="CT36" i="65"/>
  <c r="CU36" i="65" s="1"/>
  <c r="CR36" i="65"/>
  <c r="CS36" i="65" s="1"/>
  <c r="CP36" i="65"/>
  <c r="CQ36" i="65" s="1"/>
  <c r="CN36" i="65"/>
  <c r="CO36" i="65" s="1"/>
  <c r="CL36" i="65"/>
  <c r="CM36" i="65" s="1"/>
  <c r="CJ36" i="65"/>
  <c r="CK36" i="65" s="1"/>
  <c r="CH36" i="65"/>
  <c r="CI36" i="65" s="1"/>
  <c r="CF36" i="65"/>
  <c r="CG36" i="65" s="1"/>
  <c r="CD36" i="65"/>
  <c r="CE36" i="65" s="1"/>
  <c r="CB36" i="65"/>
  <c r="CC36" i="65" s="1"/>
  <c r="BZ36" i="65"/>
  <c r="CA36" i="65" s="1"/>
  <c r="BX36" i="65"/>
  <c r="BY36" i="65" s="1"/>
  <c r="BV36" i="65"/>
  <c r="BW36" i="65" s="1"/>
  <c r="BT36" i="65"/>
  <c r="BU36" i="65" s="1"/>
  <c r="BR36" i="65"/>
  <c r="BS36" i="65" s="1"/>
  <c r="AY36" i="65"/>
  <c r="AX36" i="65"/>
  <c r="AW36" i="65"/>
  <c r="EB35" i="65"/>
  <c r="EC35" i="65" s="1"/>
  <c r="DZ35" i="65"/>
  <c r="EA35" i="65" s="1"/>
  <c r="DX35" i="65"/>
  <c r="DY35" i="65" s="1"/>
  <c r="DV35" i="65"/>
  <c r="DW35" i="65" s="1"/>
  <c r="DT35" i="65"/>
  <c r="DU35" i="65" s="1"/>
  <c r="DR35" i="65"/>
  <c r="DS35" i="65" s="1"/>
  <c r="DP35" i="65"/>
  <c r="DQ35" i="65" s="1"/>
  <c r="DN35" i="65"/>
  <c r="DO35" i="65" s="1"/>
  <c r="DL35" i="65"/>
  <c r="DM35" i="65" s="1"/>
  <c r="DJ35" i="65"/>
  <c r="DK35" i="65" s="1"/>
  <c r="DH35" i="65"/>
  <c r="DI35" i="65" s="1"/>
  <c r="DF35" i="65"/>
  <c r="DG35" i="65" s="1"/>
  <c r="DD35" i="65"/>
  <c r="DE35" i="65" s="1"/>
  <c r="DB35" i="65"/>
  <c r="DC35" i="65" s="1"/>
  <c r="CZ35" i="65"/>
  <c r="DA35" i="65" s="1"/>
  <c r="CX35" i="65"/>
  <c r="CY35" i="65" s="1"/>
  <c r="CV35" i="65"/>
  <c r="CW35" i="65" s="1"/>
  <c r="CT35" i="65"/>
  <c r="CU35" i="65" s="1"/>
  <c r="CR35" i="65"/>
  <c r="CS35" i="65" s="1"/>
  <c r="CP35" i="65"/>
  <c r="CQ35" i="65" s="1"/>
  <c r="CN35" i="65"/>
  <c r="CO35" i="65" s="1"/>
  <c r="CL35" i="65"/>
  <c r="CM35" i="65" s="1"/>
  <c r="CJ35" i="65"/>
  <c r="CK35" i="65" s="1"/>
  <c r="CH35" i="65"/>
  <c r="CI35" i="65" s="1"/>
  <c r="CF35" i="65"/>
  <c r="CG35" i="65" s="1"/>
  <c r="CD35" i="65"/>
  <c r="CE35" i="65" s="1"/>
  <c r="CB35" i="65"/>
  <c r="CC35" i="65" s="1"/>
  <c r="BZ35" i="65"/>
  <c r="CA35" i="65" s="1"/>
  <c r="BX35" i="65"/>
  <c r="BY35" i="65" s="1"/>
  <c r="BV35" i="65"/>
  <c r="BW35" i="65" s="1"/>
  <c r="BT35" i="65"/>
  <c r="BU35" i="65" s="1"/>
  <c r="BR35" i="65"/>
  <c r="BS35" i="65" s="1"/>
  <c r="AY35" i="65"/>
  <c r="AX35" i="65"/>
  <c r="AW35" i="65"/>
  <c r="EB119" i="65"/>
  <c r="EC119" i="65" s="1"/>
  <c r="DZ119" i="65"/>
  <c r="EA119" i="65" s="1"/>
  <c r="DX119" i="65"/>
  <c r="DY119" i="65" s="1"/>
  <c r="DV119" i="65"/>
  <c r="DW119" i="65" s="1"/>
  <c r="DT119" i="65"/>
  <c r="DU119" i="65" s="1"/>
  <c r="DR119" i="65"/>
  <c r="DS119" i="65" s="1"/>
  <c r="DP119" i="65"/>
  <c r="DQ119" i="65" s="1"/>
  <c r="DN119" i="65"/>
  <c r="DO119" i="65" s="1"/>
  <c r="DL119" i="65"/>
  <c r="DM119" i="65" s="1"/>
  <c r="DJ119" i="65"/>
  <c r="DK119" i="65" s="1"/>
  <c r="DH119" i="65"/>
  <c r="DI119" i="65" s="1"/>
  <c r="DF119" i="65"/>
  <c r="DG119" i="65" s="1"/>
  <c r="DD119" i="65"/>
  <c r="DE119" i="65" s="1"/>
  <c r="DB119" i="65"/>
  <c r="DC119" i="65" s="1"/>
  <c r="CZ119" i="65"/>
  <c r="DA119" i="65" s="1"/>
  <c r="CX119" i="65"/>
  <c r="CY119" i="65" s="1"/>
  <c r="CV119" i="65"/>
  <c r="CW119" i="65" s="1"/>
  <c r="CT119" i="65"/>
  <c r="CU119" i="65" s="1"/>
  <c r="CR119" i="65"/>
  <c r="CS119" i="65" s="1"/>
  <c r="CP119" i="65"/>
  <c r="CQ119" i="65" s="1"/>
  <c r="CN119" i="65"/>
  <c r="CO119" i="65" s="1"/>
  <c r="CL119" i="65"/>
  <c r="CM119" i="65" s="1"/>
  <c r="CJ119" i="65"/>
  <c r="CK119" i="65" s="1"/>
  <c r="CH119" i="65"/>
  <c r="CI119" i="65" s="1"/>
  <c r="CF119" i="65"/>
  <c r="CG119" i="65" s="1"/>
  <c r="CD119" i="65"/>
  <c r="CE119" i="65" s="1"/>
  <c r="CB119" i="65"/>
  <c r="CC119" i="65" s="1"/>
  <c r="BZ119" i="65"/>
  <c r="CA119" i="65" s="1"/>
  <c r="BX119" i="65"/>
  <c r="BY119" i="65" s="1"/>
  <c r="BV119" i="65"/>
  <c r="BW119" i="65" s="1"/>
  <c r="BT119" i="65"/>
  <c r="BU119" i="65" s="1"/>
  <c r="BR119" i="65"/>
  <c r="BS119" i="65" s="1"/>
  <c r="AY119" i="65"/>
  <c r="AX119" i="65"/>
  <c r="AW119" i="65"/>
  <c r="EB34" i="65"/>
  <c r="EC34" i="65" s="1"/>
  <c r="DZ34" i="65"/>
  <c r="EA34" i="65" s="1"/>
  <c r="DX34" i="65"/>
  <c r="DY34" i="65" s="1"/>
  <c r="DV34" i="65"/>
  <c r="DW34" i="65" s="1"/>
  <c r="DT34" i="65"/>
  <c r="DU34" i="65" s="1"/>
  <c r="DR34" i="65"/>
  <c r="DS34" i="65" s="1"/>
  <c r="DP34" i="65"/>
  <c r="DQ34" i="65" s="1"/>
  <c r="DN34" i="65"/>
  <c r="DO34" i="65" s="1"/>
  <c r="DL34" i="65"/>
  <c r="DM34" i="65" s="1"/>
  <c r="DJ34" i="65"/>
  <c r="DK34" i="65" s="1"/>
  <c r="DH34" i="65"/>
  <c r="DI34" i="65" s="1"/>
  <c r="DF34" i="65"/>
  <c r="DG34" i="65" s="1"/>
  <c r="DD34" i="65"/>
  <c r="DE34" i="65" s="1"/>
  <c r="DB34" i="65"/>
  <c r="DC34" i="65" s="1"/>
  <c r="CZ34" i="65"/>
  <c r="DA34" i="65" s="1"/>
  <c r="CX34" i="65"/>
  <c r="CY34" i="65" s="1"/>
  <c r="CV34" i="65"/>
  <c r="CW34" i="65" s="1"/>
  <c r="CT34" i="65"/>
  <c r="CU34" i="65" s="1"/>
  <c r="CR34" i="65"/>
  <c r="CS34" i="65" s="1"/>
  <c r="CP34" i="65"/>
  <c r="CQ34" i="65" s="1"/>
  <c r="CN34" i="65"/>
  <c r="CO34" i="65" s="1"/>
  <c r="CL34" i="65"/>
  <c r="CM34" i="65" s="1"/>
  <c r="CJ34" i="65"/>
  <c r="CK34" i="65" s="1"/>
  <c r="CH34" i="65"/>
  <c r="CI34" i="65" s="1"/>
  <c r="CF34" i="65"/>
  <c r="CG34" i="65" s="1"/>
  <c r="CD34" i="65"/>
  <c r="CE34" i="65" s="1"/>
  <c r="CB34" i="65"/>
  <c r="CC34" i="65" s="1"/>
  <c r="BZ34" i="65"/>
  <c r="CA34" i="65" s="1"/>
  <c r="BX34" i="65"/>
  <c r="BY34" i="65" s="1"/>
  <c r="BV34" i="65"/>
  <c r="BW34" i="65" s="1"/>
  <c r="BT34" i="65"/>
  <c r="BU34" i="65" s="1"/>
  <c r="BR34" i="65"/>
  <c r="BS34" i="65" s="1"/>
  <c r="AY34" i="65"/>
  <c r="AX34" i="65"/>
  <c r="AW34" i="65"/>
  <c r="EB33" i="65"/>
  <c r="EC33" i="65" s="1"/>
  <c r="DZ33" i="65"/>
  <c r="EA33" i="65" s="1"/>
  <c r="DX33" i="65"/>
  <c r="DY33" i="65" s="1"/>
  <c r="DV33" i="65"/>
  <c r="DW33" i="65" s="1"/>
  <c r="DT33" i="65"/>
  <c r="DU33" i="65" s="1"/>
  <c r="DR33" i="65"/>
  <c r="DS33" i="65" s="1"/>
  <c r="DP33" i="65"/>
  <c r="DQ33" i="65" s="1"/>
  <c r="DN33" i="65"/>
  <c r="DO33" i="65" s="1"/>
  <c r="DL33" i="65"/>
  <c r="DM33" i="65" s="1"/>
  <c r="DJ33" i="65"/>
  <c r="DK33" i="65" s="1"/>
  <c r="DH33" i="65"/>
  <c r="DI33" i="65" s="1"/>
  <c r="DF33" i="65"/>
  <c r="DG33" i="65" s="1"/>
  <c r="DD33" i="65"/>
  <c r="DE33" i="65" s="1"/>
  <c r="DB33" i="65"/>
  <c r="DC33" i="65" s="1"/>
  <c r="CZ33" i="65"/>
  <c r="DA33" i="65" s="1"/>
  <c r="CX33" i="65"/>
  <c r="CY33" i="65" s="1"/>
  <c r="CV33" i="65"/>
  <c r="CW33" i="65" s="1"/>
  <c r="CT33" i="65"/>
  <c r="CU33" i="65" s="1"/>
  <c r="CR33" i="65"/>
  <c r="CS33" i="65" s="1"/>
  <c r="CP33" i="65"/>
  <c r="CQ33" i="65" s="1"/>
  <c r="CN33" i="65"/>
  <c r="CO33" i="65" s="1"/>
  <c r="CL33" i="65"/>
  <c r="CM33" i="65" s="1"/>
  <c r="CJ33" i="65"/>
  <c r="CK33" i="65" s="1"/>
  <c r="CH33" i="65"/>
  <c r="CI33" i="65" s="1"/>
  <c r="CF33" i="65"/>
  <c r="CG33" i="65" s="1"/>
  <c r="CD33" i="65"/>
  <c r="CE33" i="65" s="1"/>
  <c r="CB33" i="65"/>
  <c r="CC33" i="65" s="1"/>
  <c r="BZ33" i="65"/>
  <c r="CA33" i="65" s="1"/>
  <c r="BX33" i="65"/>
  <c r="BY33" i="65" s="1"/>
  <c r="BV33" i="65"/>
  <c r="BW33" i="65" s="1"/>
  <c r="BT33" i="65"/>
  <c r="BU33" i="65" s="1"/>
  <c r="BR33" i="65"/>
  <c r="BS33" i="65" s="1"/>
  <c r="AY33" i="65"/>
  <c r="AX33" i="65"/>
  <c r="AW33" i="65"/>
  <c r="EB32" i="65"/>
  <c r="EC32" i="65" s="1"/>
  <c r="DZ32" i="65"/>
  <c r="EA32" i="65" s="1"/>
  <c r="DX32" i="65"/>
  <c r="DY32" i="65" s="1"/>
  <c r="DV32" i="65"/>
  <c r="DW32" i="65" s="1"/>
  <c r="DT32" i="65"/>
  <c r="DU32" i="65" s="1"/>
  <c r="DR32" i="65"/>
  <c r="DS32" i="65" s="1"/>
  <c r="DP32" i="65"/>
  <c r="DQ32" i="65" s="1"/>
  <c r="DN32" i="65"/>
  <c r="DO32" i="65" s="1"/>
  <c r="DL32" i="65"/>
  <c r="DM32" i="65" s="1"/>
  <c r="DJ32" i="65"/>
  <c r="DK32" i="65" s="1"/>
  <c r="DH32" i="65"/>
  <c r="DI32" i="65" s="1"/>
  <c r="DF32" i="65"/>
  <c r="DG32" i="65" s="1"/>
  <c r="DD32" i="65"/>
  <c r="DE32" i="65" s="1"/>
  <c r="DB32" i="65"/>
  <c r="DC32" i="65" s="1"/>
  <c r="CZ32" i="65"/>
  <c r="DA32" i="65" s="1"/>
  <c r="CX32" i="65"/>
  <c r="CY32" i="65" s="1"/>
  <c r="CV32" i="65"/>
  <c r="CW32" i="65" s="1"/>
  <c r="CT32" i="65"/>
  <c r="CU32" i="65" s="1"/>
  <c r="CR32" i="65"/>
  <c r="CS32" i="65" s="1"/>
  <c r="CP32" i="65"/>
  <c r="CQ32" i="65" s="1"/>
  <c r="CN32" i="65"/>
  <c r="CO32" i="65" s="1"/>
  <c r="CL32" i="65"/>
  <c r="CM32" i="65" s="1"/>
  <c r="CJ32" i="65"/>
  <c r="CK32" i="65" s="1"/>
  <c r="CH32" i="65"/>
  <c r="CI32" i="65" s="1"/>
  <c r="CF32" i="65"/>
  <c r="CG32" i="65" s="1"/>
  <c r="CD32" i="65"/>
  <c r="CE32" i="65" s="1"/>
  <c r="CB32" i="65"/>
  <c r="CC32" i="65" s="1"/>
  <c r="BZ32" i="65"/>
  <c r="CA32" i="65" s="1"/>
  <c r="BX32" i="65"/>
  <c r="BY32" i="65" s="1"/>
  <c r="BV32" i="65"/>
  <c r="BW32" i="65" s="1"/>
  <c r="BT32" i="65"/>
  <c r="BU32" i="65" s="1"/>
  <c r="BR32" i="65"/>
  <c r="BS32" i="65" s="1"/>
  <c r="AY32" i="65"/>
  <c r="AX32" i="65"/>
  <c r="AW32" i="65"/>
  <c r="EB31" i="65"/>
  <c r="EC31" i="65" s="1"/>
  <c r="DZ31" i="65"/>
  <c r="EA31" i="65" s="1"/>
  <c r="DX31" i="65"/>
  <c r="DY31" i="65" s="1"/>
  <c r="DV31" i="65"/>
  <c r="DW31" i="65" s="1"/>
  <c r="DT31" i="65"/>
  <c r="DU31" i="65" s="1"/>
  <c r="DR31" i="65"/>
  <c r="DS31" i="65" s="1"/>
  <c r="DP31" i="65"/>
  <c r="DQ31" i="65" s="1"/>
  <c r="DN31" i="65"/>
  <c r="DO31" i="65" s="1"/>
  <c r="DL31" i="65"/>
  <c r="DM31" i="65" s="1"/>
  <c r="DJ31" i="65"/>
  <c r="DK31" i="65" s="1"/>
  <c r="DH31" i="65"/>
  <c r="DI31" i="65" s="1"/>
  <c r="DF31" i="65"/>
  <c r="DG31" i="65" s="1"/>
  <c r="DD31" i="65"/>
  <c r="DE31" i="65" s="1"/>
  <c r="DB31" i="65"/>
  <c r="DC31" i="65" s="1"/>
  <c r="CZ31" i="65"/>
  <c r="DA31" i="65" s="1"/>
  <c r="CX31" i="65"/>
  <c r="CY31" i="65" s="1"/>
  <c r="CV31" i="65"/>
  <c r="CW31" i="65" s="1"/>
  <c r="CT31" i="65"/>
  <c r="CU31" i="65" s="1"/>
  <c r="CR31" i="65"/>
  <c r="CS31" i="65" s="1"/>
  <c r="CP31" i="65"/>
  <c r="CQ31" i="65" s="1"/>
  <c r="CN31" i="65"/>
  <c r="CO31" i="65" s="1"/>
  <c r="CL31" i="65"/>
  <c r="CM31" i="65" s="1"/>
  <c r="CJ31" i="65"/>
  <c r="CK31" i="65" s="1"/>
  <c r="CH31" i="65"/>
  <c r="CI31" i="65" s="1"/>
  <c r="CF31" i="65"/>
  <c r="CG31" i="65" s="1"/>
  <c r="CD31" i="65"/>
  <c r="CE31" i="65" s="1"/>
  <c r="CB31" i="65"/>
  <c r="CC31" i="65" s="1"/>
  <c r="BZ31" i="65"/>
  <c r="CA31" i="65" s="1"/>
  <c r="BX31" i="65"/>
  <c r="BY31" i="65" s="1"/>
  <c r="BV31" i="65"/>
  <c r="BW31" i="65" s="1"/>
  <c r="BT31" i="65"/>
  <c r="BU31" i="65" s="1"/>
  <c r="BR31" i="65"/>
  <c r="BS31" i="65" s="1"/>
  <c r="AY31" i="65"/>
  <c r="AX31" i="65"/>
  <c r="AW31" i="65"/>
  <c r="EB30" i="65"/>
  <c r="EC30" i="65" s="1"/>
  <c r="DZ30" i="65"/>
  <c r="EA30" i="65" s="1"/>
  <c r="DX30" i="65"/>
  <c r="DY30" i="65" s="1"/>
  <c r="DV30" i="65"/>
  <c r="DW30" i="65" s="1"/>
  <c r="DT30" i="65"/>
  <c r="DU30" i="65" s="1"/>
  <c r="DR30" i="65"/>
  <c r="DS30" i="65" s="1"/>
  <c r="DP30" i="65"/>
  <c r="DQ30" i="65" s="1"/>
  <c r="DN30" i="65"/>
  <c r="DO30" i="65" s="1"/>
  <c r="DL30" i="65"/>
  <c r="DM30" i="65" s="1"/>
  <c r="DJ30" i="65"/>
  <c r="DK30" i="65" s="1"/>
  <c r="DH30" i="65"/>
  <c r="DI30" i="65" s="1"/>
  <c r="DF30" i="65"/>
  <c r="DG30" i="65" s="1"/>
  <c r="DD30" i="65"/>
  <c r="DE30" i="65" s="1"/>
  <c r="DB30" i="65"/>
  <c r="DC30" i="65" s="1"/>
  <c r="CZ30" i="65"/>
  <c r="DA30" i="65" s="1"/>
  <c r="CX30" i="65"/>
  <c r="CY30" i="65" s="1"/>
  <c r="CV30" i="65"/>
  <c r="CW30" i="65" s="1"/>
  <c r="CT30" i="65"/>
  <c r="CU30" i="65" s="1"/>
  <c r="CR30" i="65"/>
  <c r="CS30" i="65" s="1"/>
  <c r="CP30" i="65"/>
  <c r="CQ30" i="65" s="1"/>
  <c r="CN30" i="65"/>
  <c r="CO30" i="65" s="1"/>
  <c r="CL30" i="65"/>
  <c r="CM30" i="65" s="1"/>
  <c r="CJ30" i="65"/>
  <c r="CK30" i="65" s="1"/>
  <c r="CH30" i="65"/>
  <c r="CI30" i="65" s="1"/>
  <c r="CF30" i="65"/>
  <c r="CG30" i="65" s="1"/>
  <c r="CD30" i="65"/>
  <c r="CE30" i="65" s="1"/>
  <c r="CB30" i="65"/>
  <c r="CC30" i="65" s="1"/>
  <c r="BZ30" i="65"/>
  <c r="CA30" i="65" s="1"/>
  <c r="BX30" i="65"/>
  <c r="BY30" i="65" s="1"/>
  <c r="BV30" i="65"/>
  <c r="BW30" i="65" s="1"/>
  <c r="BT30" i="65"/>
  <c r="BU30" i="65" s="1"/>
  <c r="BR30" i="65"/>
  <c r="BS30" i="65" s="1"/>
  <c r="AY30" i="65"/>
  <c r="AX30" i="65"/>
  <c r="AW30" i="65"/>
  <c r="EB29" i="65"/>
  <c r="EC29" i="65" s="1"/>
  <c r="DZ29" i="65"/>
  <c r="EA29" i="65" s="1"/>
  <c r="DX29" i="65"/>
  <c r="DY29" i="65" s="1"/>
  <c r="DV29" i="65"/>
  <c r="DW29" i="65" s="1"/>
  <c r="DT29" i="65"/>
  <c r="DU29" i="65" s="1"/>
  <c r="DR29" i="65"/>
  <c r="DS29" i="65" s="1"/>
  <c r="DP29" i="65"/>
  <c r="DQ29" i="65" s="1"/>
  <c r="DN29" i="65"/>
  <c r="DO29" i="65" s="1"/>
  <c r="DL29" i="65"/>
  <c r="DM29" i="65" s="1"/>
  <c r="DJ29" i="65"/>
  <c r="DK29" i="65" s="1"/>
  <c r="DH29" i="65"/>
  <c r="DI29" i="65" s="1"/>
  <c r="DF29" i="65"/>
  <c r="DG29" i="65" s="1"/>
  <c r="DD29" i="65"/>
  <c r="DE29" i="65" s="1"/>
  <c r="DB29" i="65"/>
  <c r="DC29" i="65" s="1"/>
  <c r="CZ29" i="65"/>
  <c r="DA29" i="65" s="1"/>
  <c r="CX29" i="65"/>
  <c r="CY29" i="65" s="1"/>
  <c r="CV29" i="65"/>
  <c r="CW29" i="65" s="1"/>
  <c r="CT29" i="65"/>
  <c r="CU29" i="65" s="1"/>
  <c r="CR29" i="65"/>
  <c r="CS29" i="65" s="1"/>
  <c r="CP29" i="65"/>
  <c r="CQ29" i="65" s="1"/>
  <c r="CN29" i="65"/>
  <c r="CO29" i="65" s="1"/>
  <c r="CL29" i="65"/>
  <c r="CM29" i="65" s="1"/>
  <c r="CJ29" i="65"/>
  <c r="CK29" i="65" s="1"/>
  <c r="CH29" i="65"/>
  <c r="CI29" i="65" s="1"/>
  <c r="CF29" i="65"/>
  <c r="CG29" i="65" s="1"/>
  <c r="CD29" i="65"/>
  <c r="CE29" i="65" s="1"/>
  <c r="CB29" i="65"/>
  <c r="CC29" i="65" s="1"/>
  <c r="BZ29" i="65"/>
  <c r="CA29" i="65" s="1"/>
  <c r="BX29" i="65"/>
  <c r="BY29" i="65" s="1"/>
  <c r="BV29" i="65"/>
  <c r="BW29" i="65" s="1"/>
  <c r="BT29" i="65"/>
  <c r="BU29" i="65" s="1"/>
  <c r="BR29" i="65"/>
  <c r="BS29" i="65" s="1"/>
  <c r="AY29" i="65"/>
  <c r="AX29" i="65"/>
  <c r="AW29" i="65"/>
  <c r="EB28" i="65"/>
  <c r="EC28" i="65" s="1"/>
  <c r="DZ28" i="65"/>
  <c r="EA28" i="65" s="1"/>
  <c r="DX28" i="65"/>
  <c r="DY28" i="65" s="1"/>
  <c r="DV28" i="65"/>
  <c r="DW28" i="65" s="1"/>
  <c r="DT28" i="65"/>
  <c r="DU28" i="65" s="1"/>
  <c r="DR28" i="65"/>
  <c r="DS28" i="65" s="1"/>
  <c r="DP28" i="65"/>
  <c r="DQ28" i="65" s="1"/>
  <c r="DN28" i="65"/>
  <c r="DO28" i="65" s="1"/>
  <c r="DL28" i="65"/>
  <c r="DM28" i="65" s="1"/>
  <c r="DJ28" i="65"/>
  <c r="DK28" i="65" s="1"/>
  <c r="DH28" i="65"/>
  <c r="DI28" i="65" s="1"/>
  <c r="DF28" i="65"/>
  <c r="DG28" i="65" s="1"/>
  <c r="DD28" i="65"/>
  <c r="DE28" i="65" s="1"/>
  <c r="DB28" i="65"/>
  <c r="DC28" i="65" s="1"/>
  <c r="CZ28" i="65"/>
  <c r="DA28" i="65" s="1"/>
  <c r="CX28" i="65"/>
  <c r="CY28" i="65" s="1"/>
  <c r="CV28" i="65"/>
  <c r="CW28" i="65" s="1"/>
  <c r="CT28" i="65"/>
  <c r="CU28" i="65" s="1"/>
  <c r="CR28" i="65"/>
  <c r="CS28" i="65" s="1"/>
  <c r="CP28" i="65"/>
  <c r="CQ28" i="65" s="1"/>
  <c r="CN28" i="65"/>
  <c r="CO28" i="65" s="1"/>
  <c r="CL28" i="65"/>
  <c r="CM28" i="65" s="1"/>
  <c r="CJ28" i="65"/>
  <c r="CK28" i="65" s="1"/>
  <c r="CH28" i="65"/>
  <c r="CI28" i="65" s="1"/>
  <c r="CF28" i="65"/>
  <c r="CG28" i="65" s="1"/>
  <c r="CD28" i="65"/>
  <c r="CE28" i="65" s="1"/>
  <c r="CB28" i="65"/>
  <c r="CC28" i="65" s="1"/>
  <c r="BZ28" i="65"/>
  <c r="CA28" i="65" s="1"/>
  <c r="BX28" i="65"/>
  <c r="BY28" i="65" s="1"/>
  <c r="BV28" i="65"/>
  <c r="BW28" i="65" s="1"/>
  <c r="BT28" i="65"/>
  <c r="BU28" i="65" s="1"/>
  <c r="BR28" i="65"/>
  <c r="BS28" i="65" s="1"/>
  <c r="AY28" i="65"/>
  <c r="AX28" i="65"/>
  <c r="AW28" i="65"/>
  <c r="EB27" i="65"/>
  <c r="EC27" i="65" s="1"/>
  <c r="DZ27" i="65"/>
  <c r="EA27" i="65" s="1"/>
  <c r="DX27" i="65"/>
  <c r="DY27" i="65" s="1"/>
  <c r="DV27" i="65"/>
  <c r="DW27" i="65" s="1"/>
  <c r="DT27" i="65"/>
  <c r="DU27" i="65" s="1"/>
  <c r="DR27" i="65"/>
  <c r="DS27" i="65" s="1"/>
  <c r="DP27" i="65"/>
  <c r="DQ27" i="65" s="1"/>
  <c r="DN27" i="65"/>
  <c r="DO27" i="65" s="1"/>
  <c r="DL27" i="65"/>
  <c r="DM27" i="65" s="1"/>
  <c r="DJ27" i="65"/>
  <c r="DK27" i="65" s="1"/>
  <c r="DH27" i="65"/>
  <c r="DI27" i="65" s="1"/>
  <c r="DF27" i="65"/>
  <c r="DG27" i="65" s="1"/>
  <c r="DD27" i="65"/>
  <c r="DE27" i="65" s="1"/>
  <c r="DB27" i="65"/>
  <c r="DC27" i="65" s="1"/>
  <c r="CZ27" i="65"/>
  <c r="DA27" i="65" s="1"/>
  <c r="CX27" i="65"/>
  <c r="CY27" i="65" s="1"/>
  <c r="CV27" i="65"/>
  <c r="CW27" i="65" s="1"/>
  <c r="CT27" i="65"/>
  <c r="CU27" i="65" s="1"/>
  <c r="CR27" i="65"/>
  <c r="CS27" i="65" s="1"/>
  <c r="CP27" i="65"/>
  <c r="CQ27" i="65" s="1"/>
  <c r="CN27" i="65"/>
  <c r="CO27" i="65" s="1"/>
  <c r="CL27" i="65"/>
  <c r="CM27" i="65" s="1"/>
  <c r="CJ27" i="65"/>
  <c r="CK27" i="65" s="1"/>
  <c r="CH27" i="65"/>
  <c r="CI27" i="65" s="1"/>
  <c r="CF27" i="65"/>
  <c r="CG27" i="65" s="1"/>
  <c r="CD27" i="65"/>
  <c r="CE27" i="65" s="1"/>
  <c r="CB27" i="65"/>
  <c r="CC27" i="65" s="1"/>
  <c r="BZ27" i="65"/>
  <c r="CA27" i="65" s="1"/>
  <c r="BX27" i="65"/>
  <c r="BY27" i="65" s="1"/>
  <c r="BV27" i="65"/>
  <c r="BW27" i="65" s="1"/>
  <c r="BT27" i="65"/>
  <c r="BU27" i="65" s="1"/>
  <c r="BR27" i="65"/>
  <c r="BS27" i="65" s="1"/>
  <c r="AY27" i="65"/>
  <c r="AX27" i="65"/>
  <c r="AW27" i="65"/>
  <c r="EB26" i="65"/>
  <c r="EC26" i="65" s="1"/>
  <c r="DZ26" i="65"/>
  <c r="EA26" i="65" s="1"/>
  <c r="DX26" i="65"/>
  <c r="DY26" i="65" s="1"/>
  <c r="DV26" i="65"/>
  <c r="DW26" i="65" s="1"/>
  <c r="DT26" i="65"/>
  <c r="DU26" i="65" s="1"/>
  <c r="DR26" i="65"/>
  <c r="DS26" i="65" s="1"/>
  <c r="DP26" i="65"/>
  <c r="DQ26" i="65" s="1"/>
  <c r="DN26" i="65"/>
  <c r="DO26" i="65" s="1"/>
  <c r="DL26" i="65"/>
  <c r="DM26" i="65" s="1"/>
  <c r="DJ26" i="65"/>
  <c r="DK26" i="65" s="1"/>
  <c r="DH26" i="65"/>
  <c r="DI26" i="65" s="1"/>
  <c r="DF26" i="65"/>
  <c r="DG26" i="65" s="1"/>
  <c r="DD26" i="65"/>
  <c r="DE26" i="65" s="1"/>
  <c r="DB26" i="65"/>
  <c r="DC26" i="65" s="1"/>
  <c r="CZ26" i="65"/>
  <c r="DA26" i="65" s="1"/>
  <c r="CX26" i="65"/>
  <c r="CY26" i="65" s="1"/>
  <c r="CV26" i="65"/>
  <c r="CW26" i="65" s="1"/>
  <c r="CT26" i="65"/>
  <c r="CU26" i="65" s="1"/>
  <c r="CR26" i="65"/>
  <c r="CS26" i="65" s="1"/>
  <c r="CP26" i="65"/>
  <c r="CQ26" i="65" s="1"/>
  <c r="CN26" i="65"/>
  <c r="CO26" i="65" s="1"/>
  <c r="CL26" i="65"/>
  <c r="CM26" i="65" s="1"/>
  <c r="CJ26" i="65"/>
  <c r="CK26" i="65" s="1"/>
  <c r="CH26" i="65"/>
  <c r="CI26" i="65" s="1"/>
  <c r="CF26" i="65"/>
  <c r="CG26" i="65" s="1"/>
  <c r="CD26" i="65"/>
  <c r="CE26" i="65" s="1"/>
  <c r="CB26" i="65"/>
  <c r="CC26" i="65" s="1"/>
  <c r="BZ26" i="65"/>
  <c r="CA26" i="65" s="1"/>
  <c r="BX26" i="65"/>
  <c r="BY26" i="65" s="1"/>
  <c r="BV26" i="65"/>
  <c r="BW26" i="65" s="1"/>
  <c r="BT26" i="65"/>
  <c r="BU26" i="65" s="1"/>
  <c r="BR26" i="65"/>
  <c r="BS26" i="65" s="1"/>
  <c r="BB26" i="65"/>
  <c r="AY26" i="65"/>
  <c r="AX26" i="65"/>
  <c r="AW26" i="65"/>
  <c r="EB25" i="65"/>
  <c r="EC25" i="65" s="1"/>
  <c r="DZ25" i="65"/>
  <c r="EA25" i="65" s="1"/>
  <c r="DX25" i="65"/>
  <c r="DY25" i="65" s="1"/>
  <c r="DV25" i="65"/>
  <c r="DW25" i="65" s="1"/>
  <c r="DT25" i="65"/>
  <c r="DU25" i="65" s="1"/>
  <c r="DR25" i="65"/>
  <c r="DS25" i="65" s="1"/>
  <c r="DP25" i="65"/>
  <c r="DQ25" i="65" s="1"/>
  <c r="DN25" i="65"/>
  <c r="DO25" i="65" s="1"/>
  <c r="DL25" i="65"/>
  <c r="DM25" i="65" s="1"/>
  <c r="DJ25" i="65"/>
  <c r="DK25" i="65" s="1"/>
  <c r="DH25" i="65"/>
  <c r="DI25" i="65" s="1"/>
  <c r="DF25" i="65"/>
  <c r="DG25" i="65" s="1"/>
  <c r="DD25" i="65"/>
  <c r="DE25" i="65" s="1"/>
  <c r="DB25" i="65"/>
  <c r="DC25" i="65" s="1"/>
  <c r="CZ25" i="65"/>
  <c r="DA25" i="65" s="1"/>
  <c r="CX25" i="65"/>
  <c r="CY25" i="65" s="1"/>
  <c r="CV25" i="65"/>
  <c r="CW25" i="65" s="1"/>
  <c r="CT25" i="65"/>
  <c r="CU25" i="65" s="1"/>
  <c r="CR25" i="65"/>
  <c r="CS25" i="65" s="1"/>
  <c r="CP25" i="65"/>
  <c r="CQ25" i="65" s="1"/>
  <c r="CN25" i="65"/>
  <c r="CO25" i="65" s="1"/>
  <c r="CL25" i="65"/>
  <c r="CM25" i="65" s="1"/>
  <c r="CJ25" i="65"/>
  <c r="CK25" i="65" s="1"/>
  <c r="CH25" i="65"/>
  <c r="CI25" i="65" s="1"/>
  <c r="CF25" i="65"/>
  <c r="CG25" i="65" s="1"/>
  <c r="CD25" i="65"/>
  <c r="CE25" i="65" s="1"/>
  <c r="CB25" i="65"/>
  <c r="CC25" i="65" s="1"/>
  <c r="BZ25" i="65"/>
  <c r="CA25" i="65" s="1"/>
  <c r="BX25" i="65"/>
  <c r="BY25" i="65" s="1"/>
  <c r="BV25" i="65"/>
  <c r="BW25" i="65" s="1"/>
  <c r="BT25" i="65"/>
  <c r="BU25" i="65" s="1"/>
  <c r="BR25" i="65"/>
  <c r="BS25" i="65" s="1"/>
  <c r="AY25" i="65"/>
  <c r="AX25" i="65"/>
  <c r="AW25" i="65"/>
  <c r="EB24" i="65"/>
  <c r="EC24" i="65" s="1"/>
  <c r="DZ24" i="65"/>
  <c r="EA24" i="65" s="1"/>
  <c r="DX24" i="65"/>
  <c r="DY24" i="65" s="1"/>
  <c r="DV24" i="65"/>
  <c r="DW24" i="65" s="1"/>
  <c r="DT24" i="65"/>
  <c r="DU24" i="65" s="1"/>
  <c r="DR24" i="65"/>
  <c r="DS24" i="65" s="1"/>
  <c r="DP24" i="65"/>
  <c r="DQ24" i="65" s="1"/>
  <c r="DN24" i="65"/>
  <c r="DO24" i="65" s="1"/>
  <c r="DL24" i="65"/>
  <c r="DM24" i="65" s="1"/>
  <c r="DJ24" i="65"/>
  <c r="DK24" i="65" s="1"/>
  <c r="DH24" i="65"/>
  <c r="DI24" i="65" s="1"/>
  <c r="DF24" i="65"/>
  <c r="DG24" i="65" s="1"/>
  <c r="DD24" i="65"/>
  <c r="DE24" i="65" s="1"/>
  <c r="DB24" i="65"/>
  <c r="DC24" i="65" s="1"/>
  <c r="CZ24" i="65"/>
  <c r="DA24" i="65" s="1"/>
  <c r="CX24" i="65"/>
  <c r="CY24" i="65" s="1"/>
  <c r="CV24" i="65"/>
  <c r="CW24" i="65" s="1"/>
  <c r="CT24" i="65"/>
  <c r="CU24" i="65" s="1"/>
  <c r="CR24" i="65"/>
  <c r="CS24" i="65" s="1"/>
  <c r="CP24" i="65"/>
  <c r="CQ24" i="65" s="1"/>
  <c r="CN24" i="65"/>
  <c r="CO24" i="65" s="1"/>
  <c r="CL24" i="65"/>
  <c r="CM24" i="65" s="1"/>
  <c r="CJ24" i="65"/>
  <c r="CK24" i="65" s="1"/>
  <c r="CH24" i="65"/>
  <c r="CI24" i="65" s="1"/>
  <c r="CF24" i="65"/>
  <c r="CG24" i="65" s="1"/>
  <c r="CD24" i="65"/>
  <c r="CE24" i="65" s="1"/>
  <c r="CB24" i="65"/>
  <c r="CC24" i="65" s="1"/>
  <c r="BZ24" i="65"/>
  <c r="CA24" i="65" s="1"/>
  <c r="BX24" i="65"/>
  <c r="BY24" i="65" s="1"/>
  <c r="BV24" i="65"/>
  <c r="BW24" i="65" s="1"/>
  <c r="BT24" i="65"/>
  <c r="BU24" i="65" s="1"/>
  <c r="BR24" i="65"/>
  <c r="BS24" i="65" s="1"/>
  <c r="AY24" i="65"/>
  <c r="AX24" i="65"/>
  <c r="AW24" i="65"/>
  <c r="EB23" i="65"/>
  <c r="EC23" i="65" s="1"/>
  <c r="DZ23" i="65"/>
  <c r="EA23" i="65" s="1"/>
  <c r="DX23" i="65"/>
  <c r="DY23" i="65" s="1"/>
  <c r="DV23" i="65"/>
  <c r="DW23" i="65" s="1"/>
  <c r="DT23" i="65"/>
  <c r="DU23" i="65" s="1"/>
  <c r="DR23" i="65"/>
  <c r="DS23" i="65" s="1"/>
  <c r="DP23" i="65"/>
  <c r="DQ23" i="65" s="1"/>
  <c r="DN23" i="65"/>
  <c r="DO23" i="65" s="1"/>
  <c r="DL23" i="65"/>
  <c r="DM23" i="65" s="1"/>
  <c r="DJ23" i="65"/>
  <c r="DK23" i="65" s="1"/>
  <c r="DH23" i="65"/>
  <c r="DI23" i="65" s="1"/>
  <c r="DF23" i="65"/>
  <c r="DG23" i="65" s="1"/>
  <c r="DD23" i="65"/>
  <c r="DE23" i="65" s="1"/>
  <c r="DB23" i="65"/>
  <c r="DC23" i="65" s="1"/>
  <c r="CZ23" i="65"/>
  <c r="DA23" i="65" s="1"/>
  <c r="CX23" i="65"/>
  <c r="CY23" i="65" s="1"/>
  <c r="CV23" i="65"/>
  <c r="CW23" i="65" s="1"/>
  <c r="CT23" i="65"/>
  <c r="CU23" i="65" s="1"/>
  <c r="CR23" i="65"/>
  <c r="CS23" i="65" s="1"/>
  <c r="CP23" i="65"/>
  <c r="CQ23" i="65" s="1"/>
  <c r="CN23" i="65"/>
  <c r="CO23" i="65" s="1"/>
  <c r="CL23" i="65"/>
  <c r="CM23" i="65" s="1"/>
  <c r="CJ23" i="65"/>
  <c r="CK23" i="65" s="1"/>
  <c r="CH23" i="65"/>
  <c r="CI23" i="65" s="1"/>
  <c r="CF23" i="65"/>
  <c r="CG23" i="65" s="1"/>
  <c r="CD23" i="65"/>
  <c r="CE23" i="65" s="1"/>
  <c r="CB23" i="65"/>
  <c r="CC23" i="65" s="1"/>
  <c r="BZ23" i="65"/>
  <c r="CA23" i="65" s="1"/>
  <c r="BX23" i="65"/>
  <c r="BY23" i="65" s="1"/>
  <c r="BV23" i="65"/>
  <c r="BW23" i="65" s="1"/>
  <c r="BT23" i="65"/>
  <c r="BU23" i="65" s="1"/>
  <c r="BR23" i="65"/>
  <c r="BS23" i="65" s="1"/>
  <c r="AY23" i="65"/>
  <c r="AX23" i="65"/>
  <c r="AW23" i="65"/>
  <c r="EB118" i="65"/>
  <c r="EC118" i="65" s="1"/>
  <c r="DZ118" i="65"/>
  <c r="EA118" i="65" s="1"/>
  <c r="DX118" i="65"/>
  <c r="DY118" i="65" s="1"/>
  <c r="DV118" i="65"/>
  <c r="DW118" i="65" s="1"/>
  <c r="DT118" i="65"/>
  <c r="DU118" i="65" s="1"/>
  <c r="DR118" i="65"/>
  <c r="DS118" i="65" s="1"/>
  <c r="DP118" i="65"/>
  <c r="DQ118" i="65" s="1"/>
  <c r="DN118" i="65"/>
  <c r="DO118" i="65" s="1"/>
  <c r="DL118" i="65"/>
  <c r="DM118" i="65" s="1"/>
  <c r="DJ118" i="65"/>
  <c r="DK118" i="65" s="1"/>
  <c r="DH118" i="65"/>
  <c r="DI118" i="65" s="1"/>
  <c r="DF118" i="65"/>
  <c r="DG118" i="65" s="1"/>
  <c r="DD118" i="65"/>
  <c r="DE118" i="65" s="1"/>
  <c r="DB118" i="65"/>
  <c r="DC118" i="65" s="1"/>
  <c r="CZ118" i="65"/>
  <c r="DA118" i="65" s="1"/>
  <c r="CX118" i="65"/>
  <c r="CY118" i="65" s="1"/>
  <c r="CV118" i="65"/>
  <c r="CW118" i="65" s="1"/>
  <c r="CT118" i="65"/>
  <c r="CU118" i="65" s="1"/>
  <c r="CR118" i="65"/>
  <c r="CS118" i="65" s="1"/>
  <c r="CP118" i="65"/>
  <c r="CQ118" i="65" s="1"/>
  <c r="CN118" i="65"/>
  <c r="CO118" i="65" s="1"/>
  <c r="CL118" i="65"/>
  <c r="CM118" i="65" s="1"/>
  <c r="CJ118" i="65"/>
  <c r="CK118" i="65" s="1"/>
  <c r="CH118" i="65"/>
  <c r="CI118" i="65" s="1"/>
  <c r="CF118" i="65"/>
  <c r="CG118" i="65" s="1"/>
  <c r="CD118" i="65"/>
  <c r="CE118" i="65" s="1"/>
  <c r="CB118" i="65"/>
  <c r="CC118" i="65" s="1"/>
  <c r="BZ118" i="65"/>
  <c r="CA118" i="65" s="1"/>
  <c r="BX118" i="65"/>
  <c r="BY118" i="65" s="1"/>
  <c r="BV118" i="65"/>
  <c r="BW118" i="65" s="1"/>
  <c r="BT118" i="65"/>
  <c r="BU118" i="65" s="1"/>
  <c r="BR118" i="65"/>
  <c r="BS118" i="65" s="1"/>
  <c r="AY118" i="65"/>
  <c r="AX118" i="65"/>
  <c r="AW118" i="65"/>
  <c r="EB22" i="65"/>
  <c r="EC22" i="65" s="1"/>
  <c r="DZ22" i="65"/>
  <c r="EA22" i="65" s="1"/>
  <c r="DX22" i="65"/>
  <c r="DY22" i="65" s="1"/>
  <c r="DV22" i="65"/>
  <c r="DW22" i="65" s="1"/>
  <c r="DT22" i="65"/>
  <c r="DU22" i="65" s="1"/>
  <c r="DR22" i="65"/>
  <c r="DS22" i="65" s="1"/>
  <c r="DP22" i="65"/>
  <c r="DQ22" i="65" s="1"/>
  <c r="DN22" i="65"/>
  <c r="DO22" i="65" s="1"/>
  <c r="DL22" i="65"/>
  <c r="DM22" i="65" s="1"/>
  <c r="DJ22" i="65"/>
  <c r="DK22" i="65" s="1"/>
  <c r="DH22" i="65"/>
  <c r="DI22" i="65" s="1"/>
  <c r="DF22" i="65"/>
  <c r="DG22" i="65" s="1"/>
  <c r="DD22" i="65"/>
  <c r="DE22" i="65" s="1"/>
  <c r="DB22" i="65"/>
  <c r="DC22" i="65" s="1"/>
  <c r="CZ22" i="65"/>
  <c r="DA22" i="65" s="1"/>
  <c r="CX22" i="65"/>
  <c r="CY22" i="65" s="1"/>
  <c r="CV22" i="65"/>
  <c r="CW22" i="65" s="1"/>
  <c r="CT22" i="65"/>
  <c r="CU22" i="65" s="1"/>
  <c r="CR22" i="65"/>
  <c r="CS22" i="65" s="1"/>
  <c r="CP22" i="65"/>
  <c r="CQ22" i="65" s="1"/>
  <c r="CN22" i="65"/>
  <c r="CO22" i="65" s="1"/>
  <c r="CL22" i="65"/>
  <c r="CM22" i="65" s="1"/>
  <c r="CJ22" i="65"/>
  <c r="CK22" i="65" s="1"/>
  <c r="CH22" i="65"/>
  <c r="CI22" i="65" s="1"/>
  <c r="CF22" i="65"/>
  <c r="CG22" i="65" s="1"/>
  <c r="CD22" i="65"/>
  <c r="CE22" i="65" s="1"/>
  <c r="CB22" i="65"/>
  <c r="CC22" i="65" s="1"/>
  <c r="BZ22" i="65"/>
  <c r="CA22" i="65" s="1"/>
  <c r="BX22" i="65"/>
  <c r="BY22" i="65" s="1"/>
  <c r="BV22" i="65"/>
  <c r="BW22" i="65" s="1"/>
  <c r="BT22" i="65"/>
  <c r="BU22" i="65" s="1"/>
  <c r="BR22" i="65"/>
  <c r="BS22" i="65" s="1"/>
  <c r="AY22" i="65"/>
  <c r="AX22" i="65"/>
  <c r="AW22" i="65"/>
  <c r="EB21" i="65"/>
  <c r="EC21" i="65" s="1"/>
  <c r="DZ21" i="65"/>
  <c r="EA21" i="65" s="1"/>
  <c r="DX21" i="65"/>
  <c r="DY21" i="65" s="1"/>
  <c r="DV21" i="65"/>
  <c r="DW21" i="65" s="1"/>
  <c r="DT21" i="65"/>
  <c r="DU21" i="65" s="1"/>
  <c r="DR21" i="65"/>
  <c r="DS21" i="65" s="1"/>
  <c r="DP21" i="65"/>
  <c r="DQ21" i="65" s="1"/>
  <c r="DN21" i="65"/>
  <c r="DO21" i="65" s="1"/>
  <c r="DL21" i="65"/>
  <c r="DM21" i="65" s="1"/>
  <c r="DJ21" i="65"/>
  <c r="DK21" i="65" s="1"/>
  <c r="DH21" i="65"/>
  <c r="DI21" i="65" s="1"/>
  <c r="DF21" i="65"/>
  <c r="DG21" i="65" s="1"/>
  <c r="DD21" i="65"/>
  <c r="DE21" i="65" s="1"/>
  <c r="DB21" i="65"/>
  <c r="DC21" i="65" s="1"/>
  <c r="CZ21" i="65"/>
  <c r="DA21" i="65" s="1"/>
  <c r="CX21" i="65"/>
  <c r="CY21" i="65" s="1"/>
  <c r="CV21" i="65"/>
  <c r="CW21" i="65" s="1"/>
  <c r="CT21" i="65"/>
  <c r="CU21" i="65" s="1"/>
  <c r="CR21" i="65"/>
  <c r="CS21" i="65" s="1"/>
  <c r="CP21" i="65"/>
  <c r="CQ21" i="65" s="1"/>
  <c r="CN21" i="65"/>
  <c r="CO21" i="65" s="1"/>
  <c r="CL21" i="65"/>
  <c r="CM21" i="65" s="1"/>
  <c r="CJ21" i="65"/>
  <c r="CK21" i="65" s="1"/>
  <c r="CH21" i="65"/>
  <c r="CI21" i="65" s="1"/>
  <c r="CF21" i="65"/>
  <c r="CG21" i="65" s="1"/>
  <c r="CD21" i="65"/>
  <c r="CE21" i="65" s="1"/>
  <c r="CB21" i="65"/>
  <c r="CC21" i="65" s="1"/>
  <c r="BZ21" i="65"/>
  <c r="CA21" i="65" s="1"/>
  <c r="BX21" i="65"/>
  <c r="BY21" i="65" s="1"/>
  <c r="BV21" i="65"/>
  <c r="BW21" i="65" s="1"/>
  <c r="BT21" i="65"/>
  <c r="BU21" i="65" s="1"/>
  <c r="BR21" i="65"/>
  <c r="BS21" i="65" s="1"/>
  <c r="AY21" i="65"/>
  <c r="AX21" i="65"/>
  <c r="AW21" i="65"/>
  <c r="EB20" i="65"/>
  <c r="EC20" i="65" s="1"/>
  <c r="DZ20" i="65"/>
  <c r="EA20" i="65" s="1"/>
  <c r="DX20" i="65"/>
  <c r="DY20" i="65" s="1"/>
  <c r="DV20" i="65"/>
  <c r="DW20" i="65" s="1"/>
  <c r="DT20" i="65"/>
  <c r="DU20" i="65" s="1"/>
  <c r="DR20" i="65"/>
  <c r="DS20" i="65" s="1"/>
  <c r="DP20" i="65"/>
  <c r="DQ20" i="65" s="1"/>
  <c r="DN20" i="65"/>
  <c r="DO20" i="65" s="1"/>
  <c r="DL20" i="65"/>
  <c r="DM20" i="65" s="1"/>
  <c r="DJ20" i="65"/>
  <c r="DK20" i="65" s="1"/>
  <c r="DH20" i="65"/>
  <c r="DI20" i="65" s="1"/>
  <c r="DF20" i="65"/>
  <c r="DG20" i="65" s="1"/>
  <c r="DD20" i="65"/>
  <c r="DE20" i="65" s="1"/>
  <c r="DB20" i="65"/>
  <c r="DC20" i="65" s="1"/>
  <c r="CZ20" i="65"/>
  <c r="DA20" i="65" s="1"/>
  <c r="CX20" i="65"/>
  <c r="CY20" i="65" s="1"/>
  <c r="CV20" i="65"/>
  <c r="CW20" i="65" s="1"/>
  <c r="CT20" i="65"/>
  <c r="CU20" i="65" s="1"/>
  <c r="CR20" i="65"/>
  <c r="CS20" i="65" s="1"/>
  <c r="CP20" i="65"/>
  <c r="CQ20" i="65" s="1"/>
  <c r="CN20" i="65"/>
  <c r="CO20" i="65" s="1"/>
  <c r="CL20" i="65"/>
  <c r="CM20" i="65" s="1"/>
  <c r="CJ20" i="65"/>
  <c r="CK20" i="65" s="1"/>
  <c r="CH20" i="65"/>
  <c r="CI20" i="65" s="1"/>
  <c r="CF20" i="65"/>
  <c r="CG20" i="65" s="1"/>
  <c r="CD20" i="65"/>
  <c r="CE20" i="65" s="1"/>
  <c r="CB20" i="65"/>
  <c r="CC20" i="65" s="1"/>
  <c r="BZ20" i="65"/>
  <c r="CA20" i="65" s="1"/>
  <c r="BX20" i="65"/>
  <c r="BY20" i="65" s="1"/>
  <c r="BV20" i="65"/>
  <c r="BW20" i="65" s="1"/>
  <c r="BT20" i="65"/>
  <c r="BU20" i="65" s="1"/>
  <c r="BR20" i="65"/>
  <c r="BS20" i="65" s="1"/>
  <c r="AY20" i="65"/>
  <c r="AX20" i="65"/>
  <c r="AW20" i="65"/>
  <c r="EB117" i="65"/>
  <c r="EC117" i="65" s="1"/>
  <c r="DZ117" i="65"/>
  <c r="EA117" i="65" s="1"/>
  <c r="DX117" i="65"/>
  <c r="DY117" i="65" s="1"/>
  <c r="DV117" i="65"/>
  <c r="DW117" i="65" s="1"/>
  <c r="DT117" i="65"/>
  <c r="DU117" i="65" s="1"/>
  <c r="DR117" i="65"/>
  <c r="DS117" i="65" s="1"/>
  <c r="DP117" i="65"/>
  <c r="DQ117" i="65" s="1"/>
  <c r="DN117" i="65"/>
  <c r="DO117" i="65" s="1"/>
  <c r="DL117" i="65"/>
  <c r="DM117" i="65" s="1"/>
  <c r="DJ117" i="65"/>
  <c r="DK117" i="65" s="1"/>
  <c r="DH117" i="65"/>
  <c r="DI117" i="65" s="1"/>
  <c r="DF117" i="65"/>
  <c r="DG117" i="65" s="1"/>
  <c r="DD117" i="65"/>
  <c r="DE117" i="65" s="1"/>
  <c r="DB117" i="65"/>
  <c r="DC117" i="65" s="1"/>
  <c r="CZ117" i="65"/>
  <c r="DA117" i="65" s="1"/>
  <c r="CX117" i="65"/>
  <c r="CY117" i="65" s="1"/>
  <c r="CV117" i="65"/>
  <c r="CW117" i="65" s="1"/>
  <c r="CT117" i="65"/>
  <c r="CU117" i="65" s="1"/>
  <c r="CR117" i="65"/>
  <c r="CS117" i="65" s="1"/>
  <c r="CP117" i="65"/>
  <c r="CQ117" i="65" s="1"/>
  <c r="CN117" i="65"/>
  <c r="CO117" i="65" s="1"/>
  <c r="CL117" i="65"/>
  <c r="CM117" i="65" s="1"/>
  <c r="CJ117" i="65"/>
  <c r="CK117" i="65" s="1"/>
  <c r="CH117" i="65"/>
  <c r="CI117" i="65" s="1"/>
  <c r="CF117" i="65"/>
  <c r="CG117" i="65" s="1"/>
  <c r="CD117" i="65"/>
  <c r="CE117" i="65" s="1"/>
  <c r="CB117" i="65"/>
  <c r="CC117" i="65" s="1"/>
  <c r="BZ117" i="65"/>
  <c r="CA117" i="65" s="1"/>
  <c r="BX117" i="65"/>
  <c r="BY117" i="65" s="1"/>
  <c r="BV117" i="65"/>
  <c r="BW117" i="65" s="1"/>
  <c r="BT117" i="65"/>
  <c r="BU117" i="65" s="1"/>
  <c r="BR117" i="65"/>
  <c r="BS117" i="65" s="1"/>
  <c r="AY117" i="65"/>
  <c r="AX117" i="65"/>
  <c r="AW117" i="65"/>
  <c r="EB19" i="65"/>
  <c r="EC19" i="65" s="1"/>
  <c r="DZ19" i="65"/>
  <c r="EA19" i="65" s="1"/>
  <c r="DX19" i="65"/>
  <c r="DY19" i="65" s="1"/>
  <c r="DV19" i="65"/>
  <c r="DW19" i="65" s="1"/>
  <c r="DT19" i="65"/>
  <c r="DU19" i="65" s="1"/>
  <c r="DR19" i="65"/>
  <c r="DS19" i="65" s="1"/>
  <c r="DP19" i="65"/>
  <c r="DQ19" i="65" s="1"/>
  <c r="DN19" i="65"/>
  <c r="DO19" i="65" s="1"/>
  <c r="DL19" i="65"/>
  <c r="DM19" i="65" s="1"/>
  <c r="DJ19" i="65"/>
  <c r="DK19" i="65" s="1"/>
  <c r="DH19" i="65"/>
  <c r="DI19" i="65" s="1"/>
  <c r="DF19" i="65"/>
  <c r="DG19" i="65" s="1"/>
  <c r="DD19" i="65"/>
  <c r="DE19" i="65" s="1"/>
  <c r="DB19" i="65"/>
  <c r="DC19" i="65" s="1"/>
  <c r="CZ19" i="65"/>
  <c r="DA19" i="65" s="1"/>
  <c r="CX19" i="65"/>
  <c r="CY19" i="65" s="1"/>
  <c r="CV19" i="65"/>
  <c r="CW19" i="65" s="1"/>
  <c r="CT19" i="65"/>
  <c r="CU19" i="65" s="1"/>
  <c r="CR19" i="65"/>
  <c r="CS19" i="65" s="1"/>
  <c r="CP19" i="65"/>
  <c r="CQ19" i="65" s="1"/>
  <c r="CN19" i="65"/>
  <c r="CO19" i="65" s="1"/>
  <c r="CL19" i="65"/>
  <c r="CM19" i="65" s="1"/>
  <c r="CJ19" i="65"/>
  <c r="CK19" i="65" s="1"/>
  <c r="CH19" i="65"/>
  <c r="CI19" i="65" s="1"/>
  <c r="CF19" i="65"/>
  <c r="CG19" i="65" s="1"/>
  <c r="CD19" i="65"/>
  <c r="CE19" i="65" s="1"/>
  <c r="CB19" i="65"/>
  <c r="CC19" i="65" s="1"/>
  <c r="BZ19" i="65"/>
  <c r="CA19" i="65" s="1"/>
  <c r="BX19" i="65"/>
  <c r="BY19" i="65" s="1"/>
  <c r="BV19" i="65"/>
  <c r="BW19" i="65" s="1"/>
  <c r="BT19" i="65"/>
  <c r="BU19" i="65" s="1"/>
  <c r="BR19" i="65"/>
  <c r="BS19" i="65" s="1"/>
  <c r="AY19" i="65"/>
  <c r="AX19" i="65"/>
  <c r="AW19" i="65"/>
  <c r="EB18" i="65"/>
  <c r="EC18" i="65" s="1"/>
  <c r="DZ18" i="65"/>
  <c r="EA18" i="65" s="1"/>
  <c r="DX18" i="65"/>
  <c r="DY18" i="65" s="1"/>
  <c r="DV18" i="65"/>
  <c r="DW18" i="65" s="1"/>
  <c r="DT18" i="65"/>
  <c r="DU18" i="65" s="1"/>
  <c r="DR18" i="65"/>
  <c r="DS18" i="65" s="1"/>
  <c r="DP18" i="65"/>
  <c r="DQ18" i="65" s="1"/>
  <c r="DN18" i="65"/>
  <c r="DO18" i="65" s="1"/>
  <c r="DL18" i="65"/>
  <c r="DM18" i="65" s="1"/>
  <c r="DJ18" i="65"/>
  <c r="DK18" i="65" s="1"/>
  <c r="DH18" i="65"/>
  <c r="DI18" i="65" s="1"/>
  <c r="DF18" i="65"/>
  <c r="DG18" i="65" s="1"/>
  <c r="DD18" i="65"/>
  <c r="DE18" i="65" s="1"/>
  <c r="DB18" i="65"/>
  <c r="DC18" i="65" s="1"/>
  <c r="CZ18" i="65"/>
  <c r="DA18" i="65" s="1"/>
  <c r="CX18" i="65"/>
  <c r="CY18" i="65" s="1"/>
  <c r="CV18" i="65"/>
  <c r="CW18" i="65" s="1"/>
  <c r="CT18" i="65"/>
  <c r="CU18" i="65" s="1"/>
  <c r="CR18" i="65"/>
  <c r="CS18" i="65" s="1"/>
  <c r="CP18" i="65"/>
  <c r="CQ18" i="65" s="1"/>
  <c r="CN18" i="65"/>
  <c r="CO18" i="65" s="1"/>
  <c r="CL18" i="65"/>
  <c r="CM18" i="65" s="1"/>
  <c r="CJ18" i="65"/>
  <c r="CK18" i="65" s="1"/>
  <c r="CH18" i="65"/>
  <c r="CI18" i="65" s="1"/>
  <c r="CF18" i="65"/>
  <c r="CG18" i="65" s="1"/>
  <c r="CD18" i="65"/>
  <c r="CE18" i="65" s="1"/>
  <c r="CB18" i="65"/>
  <c r="CC18" i="65" s="1"/>
  <c r="BZ18" i="65"/>
  <c r="CA18" i="65" s="1"/>
  <c r="BX18" i="65"/>
  <c r="BY18" i="65" s="1"/>
  <c r="BV18" i="65"/>
  <c r="BW18" i="65" s="1"/>
  <c r="BT18" i="65"/>
  <c r="BU18" i="65" s="1"/>
  <c r="BR18" i="65"/>
  <c r="BS18" i="65" s="1"/>
  <c r="AY18" i="65"/>
  <c r="AX18" i="65"/>
  <c r="AW18" i="65"/>
  <c r="EB116" i="65"/>
  <c r="EC116" i="65" s="1"/>
  <c r="DZ116" i="65"/>
  <c r="EA116" i="65" s="1"/>
  <c r="DX116" i="65"/>
  <c r="DY116" i="65" s="1"/>
  <c r="DV116" i="65"/>
  <c r="DW116" i="65" s="1"/>
  <c r="DT116" i="65"/>
  <c r="DU116" i="65" s="1"/>
  <c r="DR116" i="65"/>
  <c r="DS116" i="65" s="1"/>
  <c r="DP116" i="65"/>
  <c r="DQ116" i="65" s="1"/>
  <c r="DN116" i="65"/>
  <c r="DO116" i="65" s="1"/>
  <c r="DL116" i="65"/>
  <c r="DM116" i="65" s="1"/>
  <c r="DJ116" i="65"/>
  <c r="DK116" i="65" s="1"/>
  <c r="DH116" i="65"/>
  <c r="DI116" i="65" s="1"/>
  <c r="DF116" i="65"/>
  <c r="DG116" i="65" s="1"/>
  <c r="DD116" i="65"/>
  <c r="DE116" i="65" s="1"/>
  <c r="DB116" i="65"/>
  <c r="DC116" i="65" s="1"/>
  <c r="CZ116" i="65"/>
  <c r="DA116" i="65" s="1"/>
  <c r="CX116" i="65"/>
  <c r="CY116" i="65" s="1"/>
  <c r="CV116" i="65"/>
  <c r="CW116" i="65" s="1"/>
  <c r="CT116" i="65"/>
  <c r="CU116" i="65" s="1"/>
  <c r="CR116" i="65"/>
  <c r="CS116" i="65" s="1"/>
  <c r="CP116" i="65"/>
  <c r="CQ116" i="65" s="1"/>
  <c r="CN116" i="65"/>
  <c r="CO116" i="65" s="1"/>
  <c r="CL116" i="65"/>
  <c r="CM116" i="65" s="1"/>
  <c r="CJ116" i="65"/>
  <c r="CK116" i="65" s="1"/>
  <c r="CH116" i="65"/>
  <c r="CI116" i="65" s="1"/>
  <c r="CF116" i="65"/>
  <c r="CG116" i="65" s="1"/>
  <c r="CD116" i="65"/>
  <c r="CE116" i="65" s="1"/>
  <c r="CB116" i="65"/>
  <c r="CC116" i="65" s="1"/>
  <c r="BZ116" i="65"/>
  <c r="CA116" i="65" s="1"/>
  <c r="BX116" i="65"/>
  <c r="BY116" i="65" s="1"/>
  <c r="BV116" i="65"/>
  <c r="BW116" i="65" s="1"/>
  <c r="BT116" i="65"/>
  <c r="BU116" i="65" s="1"/>
  <c r="BR116" i="65"/>
  <c r="BS116" i="65" s="1"/>
  <c r="AY116" i="65"/>
  <c r="AX116" i="65"/>
  <c r="AW116" i="65"/>
  <c r="EB17" i="65"/>
  <c r="EC17" i="65" s="1"/>
  <c r="DZ17" i="65"/>
  <c r="EA17" i="65" s="1"/>
  <c r="DX17" i="65"/>
  <c r="DY17" i="65" s="1"/>
  <c r="DV17" i="65"/>
  <c r="DW17" i="65" s="1"/>
  <c r="DT17" i="65"/>
  <c r="DU17" i="65" s="1"/>
  <c r="DR17" i="65"/>
  <c r="DS17" i="65" s="1"/>
  <c r="DP17" i="65"/>
  <c r="DQ17" i="65" s="1"/>
  <c r="DN17" i="65"/>
  <c r="DO17" i="65" s="1"/>
  <c r="DL17" i="65"/>
  <c r="DM17" i="65" s="1"/>
  <c r="DJ17" i="65"/>
  <c r="DK17" i="65" s="1"/>
  <c r="DH17" i="65"/>
  <c r="DI17" i="65" s="1"/>
  <c r="DF17" i="65"/>
  <c r="DG17" i="65" s="1"/>
  <c r="DD17" i="65"/>
  <c r="DE17" i="65" s="1"/>
  <c r="DB17" i="65"/>
  <c r="DC17" i="65" s="1"/>
  <c r="CZ17" i="65"/>
  <c r="DA17" i="65" s="1"/>
  <c r="CX17" i="65"/>
  <c r="CY17" i="65" s="1"/>
  <c r="CV17" i="65"/>
  <c r="CW17" i="65" s="1"/>
  <c r="CT17" i="65"/>
  <c r="CU17" i="65" s="1"/>
  <c r="CR17" i="65"/>
  <c r="CS17" i="65" s="1"/>
  <c r="CP17" i="65"/>
  <c r="CQ17" i="65" s="1"/>
  <c r="CN17" i="65"/>
  <c r="CO17" i="65" s="1"/>
  <c r="CL17" i="65"/>
  <c r="CM17" i="65" s="1"/>
  <c r="CJ17" i="65"/>
  <c r="CK17" i="65" s="1"/>
  <c r="CH17" i="65"/>
  <c r="CI17" i="65" s="1"/>
  <c r="CF17" i="65"/>
  <c r="CG17" i="65" s="1"/>
  <c r="CD17" i="65"/>
  <c r="CE17" i="65" s="1"/>
  <c r="CB17" i="65"/>
  <c r="CC17" i="65" s="1"/>
  <c r="BZ17" i="65"/>
  <c r="CA17" i="65" s="1"/>
  <c r="BX17" i="65"/>
  <c r="BY17" i="65" s="1"/>
  <c r="BV17" i="65"/>
  <c r="BW17" i="65" s="1"/>
  <c r="BT17" i="65"/>
  <c r="BU17" i="65" s="1"/>
  <c r="BR17" i="65"/>
  <c r="BS17" i="65" s="1"/>
  <c r="AY17" i="65"/>
  <c r="AX17" i="65"/>
  <c r="AW17" i="65"/>
  <c r="EB16" i="65"/>
  <c r="EC16" i="65" s="1"/>
  <c r="DZ16" i="65"/>
  <c r="EA16" i="65" s="1"/>
  <c r="DX16" i="65"/>
  <c r="DY16" i="65" s="1"/>
  <c r="DV16" i="65"/>
  <c r="DW16" i="65" s="1"/>
  <c r="DT16" i="65"/>
  <c r="DU16" i="65" s="1"/>
  <c r="DR16" i="65"/>
  <c r="DS16" i="65" s="1"/>
  <c r="DP16" i="65"/>
  <c r="DQ16" i="65" s="1"/>
  <c r="DN16" i="65"/>
  <c r="DO16" i="65" s="1"/>
  <c r="DL16" i="65"/>
  <c r="DM16" i="65" s="1"/>
  <c r="DJ16" i="65"/>
  <c r="DK16" i="65" s="1"/>
  <c r="DH16" i="65"/>
  <c r="DI16" i="65" s="1"/>
  <c r="DF16" i="65"/>
  <c r="DG16" i="65" s="1"/>
  <c r="DD16" i="65"/>
  <c r="DE16" i="65" s="1"/>
  <c r="DB16" i="65"/>
  <c r="DC16" i="65" s="1"/>
  <c r="CZ16" i="65"/>
  <c r="DA16" i="65" s="1"/>
  <c r="CX16" i="65"/>
  <c r="CY16" i="65" s="1"/>
  <c r="CV16" i="65"/>
  <c r="CW16" i="65" s="1"/>
  <c r="CT16" i="65"/>
  <c r="CU16" i="65" s="1"/>
  <c r="CR16" i="65"/>
  <c r="CS16" i="65" s="1"/>
  <c r="CP16" i="65"/>
  <c r="CQ16" i="65" s="1"/>
  <c r="CN16" i="65"/>
  <c r="CO16" i="65" s="1"/>
  <c r="CL16" i="65"/>
  <c r="CM16" i="65" s="1"/>
  <c r="CJ16" i="65"/>
  <c r="CK16" i="65" s="1"/>
  <c r="CH16" i="65"/>
  <c r="CI16" i="65" s="1"/>
  <c r="CF16" i="65"/>
  <c r="CG16" i="65" s="1"/>
  <c r="CD16" i="65"/>
  <c r="CE16" i="65" s="1"/>
  <c r="CB16" i="65"/>
  <c r="CC16" i="65" s="1"/>
  <c r="BZ16" i="65"/>
  <c r="CA16" i="65" s="1"/>
  <c r="BX16" i="65"/>
  <c r="BY16" i="65" s="1"/>
  <c r="BV16" i="65"/>
  <c r="BW16" i="65" s="1"/>
  <c r="BT16" i="65"/>
  <c r="BU16" i="65" s="1"/>
  <c r="BR16" i="65"/>
  <c r="BS16" i="65" s="1"/>
  <c r="AY16" i="65"/>
  <c r="AX16" i="65"/>
  <c r="AW16" i="65"/>
  <c r="EB15" i="65"/>
  <c r="EC15" i="65" s="1"/>
  <c r="DZ15" i="65"/>
  <c r="EA15" i="65" s="1"/>
  <c r="DX15" i="65"/>
  <c r="DY15" i="65" s="1"/>
  <c r="DV15" i="65"/>
  <c r="DW15" i="65" s="1"/>
  <c r="DT15" i="65"/>
  <c r="DU15" i="65" s="1"/>
  <c r="DR15" i="65"/>
  <c r="DS15" i="65" s="1"/>
  <c r="DP15" i="65"/>
  <c r="DQ15" i="65" s="1"/>
  <c r="DN15" i="65"/>
  <c r="DO15" i="65" s="1"/>
  <c r="DL15" i="65"/>
  <c r="DM15" i="65" s="1"/>
  <c r="DJ15" i="65"/>
  <c r="DK15" i="65" s="1"/>
  <c r="DH15" i="65"/>
  <c r="DI15" i="65" s="1"/>
  <c r="DF15" i="65"/>
  <c r="DG15" i="65" s="1"/>
  <c r="DD15" i="65"/>
  <c r="DE15" i="65" s="1"/>
  <c r="DB15" i="65"/>
  <c r="DC15" i="65" s="1"/>
  <c r="CZ15" i="65"/>
  <c r="DA15" i="65" s="1"/>
  <c r="CX15" i="65"/>
  <c r="CY15" i="65" s="1"/>
  <c r="CV15" i="65"/>
  <c r="CW15" i="65" s="1"/>
  <c r="CT15" i="65"/>
  <c r="CU15" i="65" s="1"/>
  <c r="CR15" i="65"/>
  <c r="CS15" i="65" s="1"/>
  <c r="CP15" i="65"/>
  <c r="CQ15" i="65" s="1"/>
  <c r="CN15" i="65"/>
  <c r="CO15" i="65" s="1"/>
  <c r="CL15" i="65"/>
  <c r="CM15" i="65" s="1"/>
  <c r="CJ15" i="65"/>
  <c r="CK15" i="65" s="1"/>
  <c r="CH15" i="65"/>
  <c r="CI15" i="65" s="1"/>
  <c r="CF15" i="65"/>
  <c r="CG15" i="65" s="1"/>
  <c r="CD15" i="65"/>
  <c r="CE15" i="65" s="1"/>
  <c r="CB15" i="65"/>
  <c r="CC15" i="65" s="1"/>
  <c r="BZ15" i="65"/>
  <c r="CA15" i="65" s="1"/>
  <c r="BX15" i="65"/>
  <c r="BY15" i="65" s="1"/>
  <c r="BV15" i="65"/>
  <c r="BW15" i="65" s="1"/>
  <c r="BT15" i="65"/>
  <c r="BU15" i="65" s="1"/>
  <c r="BR15" i="65"/>
  <c r="BS15" i="65" s="1"/>
  <c r="AY15" i="65"/>
  <c r="AX15" i="65"/>
  <c r="AW15" i="65"/>
  <c r="EB14" i="65"/>
  <c r="EC14" i="65" s="1"/>
  <c r="DZ14" i="65"/>
  <c r="EA14" i="65" s="1"/>
  <c r="DX14" i="65"/>
  <c r="DY14" i="65" s="1"/>
  <c r="DV14" i="65"/>
  <c r="DW14" i="65" s="1"/>
  <c r="DT14" i="65"/>
  <c r="DU14" i="65" s="1"/>
  <c r="DR14" i="65"/>
  <c r="DS14" i="65" s="1"/>
  <c r="DP14" i="65"/>
  <c r="DQ14" i="65" s="1"/>
  <c r="DN14" i="65"/>
  <c r="DO14" i="65" s="1"/>
  <c r="DL14" i="65"/>
  <c r="DM14" i="65" s="1"/>
  <c r="DJ14" i="65"/>
  <c r="DK14" i="65" s="1"/>
  <c r="DH14" i="65"/>
  <c r="DI14" i="65" s="1"/>
  <c r="DF14" i="65"/>
  <c r="DG14" i="65" s="1"/>
  <c r="DD14" i="65"/>
  <c r="DE14" i="65" s="1"/>
  <c r="DB14" i="65"/>
  <c r="DC14" i="65" s="1"/>
  <c r="CZ14" i="65"/>
  <c r="DA14" i="65" s="1"/>
  <c r="CX14" i="65"/>
  <c r="CY14" i="65" s="1"/>
  <c r="CV14" i="65"/>
  <c r="CW14" i="65" s="1"/>
  <c r="CT14" i="65"/>
  <c r="CU14" i="65" s="1"/>
  <c r="CR14" i="65"/>
  <c r="CS14" i="65" s="1"/>
  <c r="CP14" i="65"/>
  <c r="CQ14" i="65" s="1"/>
  <c r="CN14" i="65"/>
  <c r="CO14" i="65" s="1"/>
  <c r="CL14" i="65"/>
  <c r="CM14" i="65" s="1"/>
  <c r="CJ14" i="65"/>
  <c r="CK14" i="65" s="1"/>
  <c r="CH14" i="65"/>
  <c r="CI14" i="65" s="1"/>
  <c r="CF14" i="65"/>
  <c r="CG14" i="65" s="1"/>
  <c r="CD14" i="65"/>
  <c r="CE14" i="65" s="1"/>
  <c r="CB14" i="65"/>
  <c r="CC14" i="65" s="1"/>
  <c r="BZ14" i="65"/>
  <c r="CA14" i="65" s="1"/>
  <c r="BX14" i="65"/>
  <c r="BY14" i="65" s="1"/>
  <c r="BV14" i="65"/>
  <c r="BW14" i="65" s="1"/>
  <c r="BT14" i="65"/>
  <c r="BU14" i="65" s="1"/>
  <c r="BR14" i="65"/>
  <c r="BS14" i="65" s="1"/>
  <c r="AY14" i="65"/>
  <c r="AX14" i="65"/>
  <c r="AW14" i="65"/>
  <c r="EB13" i="65"/>
  <c r="EC13" i="65" s="1"/>
  <c r="DZ13" i="65"/>
  <c r="EA13" i="65" s="1"/>
  <c r="DX13" i="65"/>
  <c r="DY13" i="65" s="1"/>
  <c r="DV13" i="65"/>
  <c r="DW13" i="65" s="1"/>
  <c r="DT13" i="65"/>
  <c r="DU13" i="65" s="1"/>
  <c r="DR13" i="65"/>
  <c r="DS13" i="65" s="1"/>
  <c r="DP13" i="65"/>
  <c r="DQ13" i="65" s="1"/>
  <c r="DN13" i="65"/>
  <c r="DO13" i="65" s="1"/>
  <c r="DL13" i="65"/>
  <c r="DM13" i="65" s="1"/>
  <c r="DJ13" i="65"/>
  <c r="DK13" i="65" s="1"/>
  <c r="DH13" i="65"/>
  <c r="DI13" i="65" s="1"/>
  <c r="DF13" i="65"/>
  <c r="DG13" i="65" s="1"/>
  <c r="DD13" i="65"/>
  <c r="DE13" i="65" s="1"/>
  <c r="DB13" i="65"/>
  <c r="DC13" i="65" s="1"/>
  <c r="CZ13" i="65"/>
  <c r="DA13" i="65" s="1"/>
  <c r="CX13" i="65"/>
  <c r="CY13" i="65" s="1"/>
  <c r="CV13" i="65"/>
  <c r="CW13" i="65" s="1"/>
  <c r="CT13" i="65"/>
  <c r="CU13" i="65" s="1"/>
  <c r="CR13" i="65"/>
  <c r="CS13" i="65" s="1"/>
  <c r="CP13" i="65"/>
  <c r="CQ13" i="65" s="1"/>
  <c r="CN13" i="65"/>
  <c r="CO13" i="65" s="1"/>
  <c r="CL13" i="65"/>
  <c r="CM13" i="65" s="1"/>
  <c r="CJ13" i="65"/>
  <c r="CK13" i="65" s="1"/>
  <c r="CH13" i="65"/>
  <c r="CI13" i="65" s="1"/>
  <c r="CF13" i="65"/>
  <c r="CG13" i="65" s="1"/>
  <c r="CD13" i="65"/>
  <c r="CE13" i="65" s="1"/>
  <c r="CB13" i="65"/>
  <c r="CC13" i="65" s="1"/>
  <c r="BZ13" i="65"/>
  <c r="CA13" i="65" s="1"/>
  <c r="BX13" i="65"/>
  <c r="BY13" i="65" s="1"/>
  <c r="BV13" i="65"/>
  <c r="BW13" i="65" s="1"/>
  <c r="BT13" i="65"/>
  <c r="BU13" i="65" s="1"/>
  <c r="BR13" i="65"/>
  <c r="BS13" i="65" s="1"/>
  <c r="AY13" i="65"/>
  <c r="AX13" i="65"/>
  <c r="AW13" i="65"/>
  <c r="EB12" i="65"/>
  <c r="EC12" i="65" s="1"/>
  <c r="DZ12" i="65"/>
  <c r="EA12" i="65" s="1"/>
  <c r="DX12" i="65"/>
  <c r="DY12" i="65" s="1"/>
  <c r="DV12" i="65"/>
  <c r="DW12" i="65" s="1"/>
  <c r="DT12" i="65"/>
  <c r="DU12" i="65" s="1"/>
  <c r="DR12" i="65"/>
  <c r="DS12" i="65" s="1"/>
  <c r="DP12" i="65"/>
  <c r="DQ12" i="65" s="1"/>
  <c r="DN12" i="65"/>
  <c r="DO12" i="65" s="1"/>
  <c r="DL12" i="65"/>
  <c r="DM12" i="65" s="1"/>
  <c r="DJ12" i="65"/>
  <c r="DK12" i="65" s="1"/>
  <c r="DH12" i="65"/>
  <c r="DI12" i="65" s="1"/>
  <c r="DF12" i="65"/>
  <c r="DG12" i="65" s="1"/>
  <c r="DD12" i="65"/>
  <c r="DE12" i="65" s="1"/>
  <c r="DB12" i="65"/>
  <c r="DC12" i="65" s="1"/>
  <c r="CZ12" i="65"/>
  <c r="DA12" i="65" s="1"/>
  <c r="CX12" i="65"/>
  <c r="CY12" i="65" s="1"/>
  <c r="CV12" i="65"/>
  <c r="CW12" i="65" s="1"/>
  <c r="CT12" i="65"/>
  <c r="CU12" i="65" s="1"/>
  <c r="CR12" i="65"/>
  <c r="CS12" i="65" s="1"/>
  <c r="CP12" i="65"/>
  <c r="CQ12" i="65" s="1"/>
  <c r="CN12" i="65"/>
  <c r="CO12" i="65" s="1"/>
  <c r="CL12" i="65"/>
  <c r="CM12" i="65" s="1"/>
  <c r="CJ12" i="65"/>
  <c r="CK12" i="65" s="1"/>
  <c r="CH12" i="65"/>
  <c r="CI12" i="65" s="1"/>
  <c r="CF12" i="65"/>
  <c r="CG12" i="65" s="1"/>
  <c r="CD12" i="65"/>
  <c r="CE12" i="65" s="1"/>
  <c r="CB12" i="65"/>
  <c r="CC12" i="65" s="1"/>
  <c r="BZ12" i="65"/>
  <c r="CA12" i="65" s="1"/>
  <c r="BX12" i="65"/>
  <c r="BY12" i="65" s="1"/>
  <c r="BV12" i="65"/>
  <c r="BW12" i="65" s="1"/>
  <c r="BT12" i="65"/>
  <c r="BU12" i="65" s="1"/>
  <c r="BR12" i="65"/>
  <c r="BS12" i="65" s="1"/>
  <c r="AY12" i="65"/>
  <c r="AX12" i="65"/>
  <c r="AW12" i="65"/>
  <c r="EB10" i="65"/>
  <c r="EC10" i="65" s="1"/>
  <c r="DZ10" i="65"/>
  <c r="EA10" i="65" s="1"/>
  <c r="DX10" i="65"/>
  <c r="DY10" i="65" s="1"/>
  <c r="DV10" i="65"/>
  <c r="DW10" i="65" s="1"/>
  <c r="DT10" i="65"/>
  <c r="DU10" i="65" s="1"/>
  <c r="DR10" i="65"/>
  <c r="DS10" i="65" s="1"/>
  <c r="DP10" i="65"/>
  <c r="DQ10" i="65" s="1"/>
  <c r="DN10" i="65"/>
  <c r="DO10" i="65" s="1"/>
  <c r="DL10" i="65"/>
  <c r="DM10" i="65" s="1"/>
  <c r="DJ10" i="65"/>
  <c r="DK10" i="65" s="1"/>
  <c r="DH10" i="65"/>
  <c r="DI10" i="65" s="1"/>
  <c r="DF10" i="65"/>
  <c r="DG10" i="65" s="1"/>
  <c r="DD10" i="65"/>
  <c r="DE10" i="65" s="1"/>
  <c r="DB10" i="65"/>
  <c r="DC10" i="65" s="1"/>
  <c r="CZ10" i="65"/>
  <c r="DA10" i="65" s="1"/>
  <c r="CX10" i="65"/>
  <c r="CY10" i="65" s="1"/>
  <c r="CV10" i="65"/>
  <c r="CW10" i="65" s="1"/>
  <c r="CT10" i="65"/>
  <c r="CU10" i="65" s="1"/>
  <c r="CR10" i="65"/>
  <c r="CS10" i="65" s="1"/>
  <c r="CP10" i="65"/>
  <c r="CQ10" i="65" s="1"/>
  <c r="CN10" i="65"/>
  <c r="CO10" i="65" s="1"/>
  <c r="CL10" i="65"/>
  <c r="CM10" i="65" s="1"/>
  <c r="CJ10" i="65"/>
  <c r="CK10" i="65" s="1"/>
  <c r="CH10" i="65"/>
  <c r="CI10" i="65" s="1"/>
  <c r="CF10" i="65"/>
  <c r="CG10" i="65" s="1"/>
  <c r="CD10" i="65"/>
  <c r="CE10" i="65" s="1"/>
  <c r="CB10" i="65"/>
  <c r="CC10" i="65" s="1"/>
  <c r="BZ10" i="65"/>
  <c r="CA10" i="65" s="1"/>
  <c r="BX10" i="65"/>
  <c r="BY10" i="65" s="1"/>
  <c r="BV10" i="65"/>
  <c r="BW10" i="65" s="1"/>
  <c r="BT10" i="65"/>
  <c r="BU10" i="65" s="1"/>
  <c r="BR10" i="65"/>
  <c r="BS10" i="65" s="1"/>
  <c r="AY10" i="65"/>
  <c r="AX10" i="65"/>
  <c r="AW10" i="65"/>
  <c r="EB9" i="65"/>
  <c r="EC9" i="65" s="1"/>
  <c r="DZ9" i="65"/>
  <c r="EA9" i="65" s="1"/>
  <c r="DX9" i="65"/>
  <c r="DY9" i="65" s="1"/>
  <c r="DV9" i="65"/>
  <c r="DW9" i="65" s="1"/>
  <c r="DT9" i="65"/>
  <c r="DU9" i="65" s="1"/>
  <c r="DR9" i="65"/>
  <c r="DS9" i="65" s="1"/>
  <c r="DP9" i="65"/>
  <c r="DQ9" i="65" s="1"/>
  <c r="DN9" i="65"/>
  <c r="DO9" i="65" s="1"/>
  <c r="DL9" i="65"/>
  <c r="DM9" i="65" s="1"/>
  <c r="DJ9" i="65"/>
  <c r="DK9" i="65" s="1"/>
  <c r="DH9" i="65"/>
  <c r="DI9" i="65" s="1"/>
  <c r="DF9" i="65"/>
  <c r="DG9" i="65" s="1"/>
  <c r="DD9" i="65"/>
  <c r="DE9" i="65" s="1"/>
  <c r="DB9" i="65"/>
  <c r="DC9" i="65" s="1"/>
  <c r="CZ9" i="65"/>
  <c r="DA9" i="65" s="1"/>
  <c r="CX9" i="65"/>
  <c r="CY9" i="65" s="1"/>
  <c r="CV9" i="65"/>
  <c r="CW9" i="65" s="1"/>
  <c r="CT9" i="65"/>
  <c r="CU9" i="65" s="1"/>
  <c r="CR9" i="65"/>
  <c r="CS9" i="65" s="1"/>
  <c r="CP9" i="65"/>
  <c r="CQ9" i="65" s="1"/>
  <c r="CN9" i="65"/>
  <c r="CO9" i="65" s="1"/>
  <c r="CL9" i="65"/>
  <c r="CM9" i="65" s="1"/>
  <c r="CJ9" i="65"/>
  <c r="CK9" i="65" s="1"/>
  <c r="CH9" i="65"/>
  <c r="CI9" i="65" s="1"/>
  <c r="CF9" i="65"/>
  <c r="CG9" i="65" s="1"/>
  <c r="CD9" i="65"/>
  <c r="CE9" i="65" s="1"/>
  <c r="CB9" i="65"/>
  <c r="CC9" i="65" s="1"/>
  <c r="BZ9" i="65"/>
  <c r="CA9" i="65" s="1"/>
  <c r="BX9" i="65"/>
  <c r="BY9" i="65" s="1"/>
  <c r="BV9" i="65"/>
  <c r="BW9" i="65" s="1"/>
  <c r="BT9" i="65"/>
  <c r="BU9" i="65" s="1"/>
  <c r="BR9" i="65"/>
  <c r="BS9" i="65" s="1"/>
  <c r="AY9" i="65"/>
  <c r="AX9" i="65"/>
  <c r="AW9" i="65"/>
  <c r="EB7" i="65"/>
  <c r="EC7" i="65" s="1"/>
  <c r="DZ7" i="65"/>
  <c r="EA7" i="65" s="1"/>
  <c r="DX7" i="65"/>
  <c r="DY7" i="65" s="1"/>
  <c r="DV7" i="65"/>
  <c r="DW7" i="65" s="1"/>
  <c r="DT7" i="65"/>
  <c r="DU7" i="65" s="1"/>
  <c r="DR7" i="65"/>
  <c r="DS7" i="65" s="1"/>
  <c r="DP7" i="65"/>
  <c r="DQ7" i="65" s="1"/>
  <c r="DN7" i="65"/>
  <c r="DO7" i="65" s="1"/>
  <c r="DL7" i="65"/>
  <c r="DM7" i="65" s="1"/>
  <c r="DJ7" i="65"/>
  <c r="DK7" i="65" s="1"/>
  <c r="DH7" i="65"/>
  <c r="DI7" i="65" s="1"/>
  <c r="DF7" i="65"/>
  <c r="DG7" i="65" s="1"/>
  <c r="DD7" i="65"/>
  <c r="DE7" i="65" s="1"/>
  <c r="DB7" i="65"/>
  <c r="DC7" i="65" s="1"/>
  <c r="CZ7" i="65"/>
  <c r="DA7" i="65" s="1"/>
  <c r="CX7" i="65"/>
  <c r="CY7" i="65" s="1"/>
  <c r="CV7" i="65"/>
  <c r="CW7" i="65" s="1"/>
  <c r="CT7" i="65"/>
  <c r="CU7" i="65" s="1"/>
  <c r="CR7" i="65"/>
  <c r="CS7" i="65" s="1"/>
  <c r="CP7" i="65"/>
  <c r="CQ7" i="65" s="1"/>
  <c r="CN7" i="65"/>
  <c r="CO7" i="65" s="1"/>
  <c r="CL7" i="65"/>
  <c r="CM7" i="65" s="1"/>
  <c r="CJ7" i="65"/>
  <c r="CK7" i="65" s="1"/>
  <c r="CH7" i="65"/>
  <c r="CI7" i="65" s="1"/>
  <c r="CF7" i="65"/>
  <c r="CG7" i="65" s="1"/>
  <c r="CD7" i="65"/>
  <c r="CE7" i="65" s="1"/>
  <c r="CB7" i="65"/>
  <c r="CC7" i="65" s="1"/>
  <c r="BZ7" i="65"/>
  <c r="CA7" i="65" s="1"/>
  <c r="BX7" i="65"/>
  <c r="BY7" i="65" s="1"/>
  <c r="BV7" i="65"/>
  <c r="BW7" i="65" s="1"/>
  <c r="BT7" i="65"/>
  <c r="BU7" i="65" s="1"/>
  <c r="BR7" i="65"/>
  <c r="BS7" i="65" s="1"/>
  <c r="AY7" i="65"/>
  <c r="AX7" i="65"/>
  <c r="AW7" i="65"/>
  <c r="EB115" i="65"/>
  <c r="EC115" i="65" s="1"/>
  <c r="DZ115" i="65"/>
  <c r="EA115" i="65" s="1"/>
  <c r="DX115" i="65"/>
  <c r="DY115" i="65" s="1"/>
  <c r="DV115" i="65"/>
  <c r="DW115" i="65" s="1"/>
  <c r="DT115" i="65"/>
  <c r="DU115" i="65" s="1"/>
  <c r="DR115" i="65"/>
  <c r="DS115" i="65" s="1"/>
  <c r="DP115" i="65"/>
  <c r="DQ115" i="65" s="1"/>
  <c r="DN115" i="65"/>
  <c r="DO115" i="65" s="1"/>
  <c r="DL115" i="65"/>
  <c r="DM115" i="65" s="1"/>
  <c r="DJ115" i="65"/>
  <c r="DK115" i="65" s="1"/>
  <c r="DH115" i="65"/>
  <c r="DI115" i="65" s="1"/>
  <c r="DF115" i="65"/>
  <c r="DG115" i="65" s="1"/>
  <c r="DD115" i="65"/>
  <c r="DE115" i="65" s="1"/>
  <c r="DB115" i="65"/>
  <c r="DC115" i="65" s="1"/>
  <c r="CZ115" i="65"/>
  <c r="DA115" i="65" s="1"/>
  <c r="CX115" i="65"/>
  <c r="CY115" i="65" s="1"/>
  <c r="CV115" i="65"/>
  <c r="CW115" i="65" s="1"/>
  <c r="CT115" i="65"/>
  <c r="CU115" i="65" s="1"/>
  <c r="CR115" i="65"/>
  <c r="CS115" i="65" s="1"/>
  <c r="CP115" i="65"/>
  <c r="CQ115" i="65" s="1"/>
  <c r="CN115" i="65"/>
  <c r="CO115" i="65" s="1"/>
  <c r="CL115" i="65"/>
  <c r="CM115" i="65" s="1"/>
  <c r="CJ115" i="65"/>
  <c r="CK115" i="65" s="1"/>
  <c r="CH115" i="65"/>
  <c r="CI115" i="65" s="1"/>
  <c r="CF115" i="65"/>
  <c r="CG115" i="65" s="1"/>
  <c r="CD115" i="65"/>
  <c r="CE115" i="65" s="1"/>
  <c r="CB115" i="65"/>
  <c r="CC115" i="65" s="1"/>
  <c r="BZ115" i="65"/>
  <c r="CA115" i="65" s="1"/>
  <c r="BX115" i="65"/>
  <c r="BY115" i="65" s="1"/>
  <c r="BV115" i="65"/>
  <c r="BW115" i="65" s="1"/>
  <c r="BT115" i="65"/>
  <c r="BU115" i="65" s="1"/>
  <c r="BR115" i="65"/>
  <c r="BS115" i="65" s="1"/>
  <c r="AY115" i="65"/>
  <c r="AX115" i="65"/>
  <c r="AW115" i="65"/>
  <c r="EB114" i="65"/>
  <c r="EC114" i="65" s="1"/>
  <c r="DZ114" i="65"/>
  <c r="EA114" i="65" s="1"/>
  <c r="DX114" i="65"/>
  <c r="DY114" i="65" s="1"/>
  <c r="DV114" i="65"/>
  <c r="DW114" i="65" s="1"/>
  <c r="DT114" i="65"/>
  <c r="DU114" i="65" s="1"/>
  <c r="DR114" i="65"/>
  <c r="DS114" i="65" s="1"/>
  <c r="DP114" i="65"/>
  <c r="DQ114" i="65" s="1"/>
  <c r="DN114" i="65"/>
  <c r="DO114" i="65" s="1"/>
  <c r="DL114" i="65"/>
  <c r="DM114" i="65" s="1"/>
  <c r="DJ114" i="65"/>
  <c r="DK114" i="65" s="1"/>
  <c r="DH114" i="65"/>
  <c r="DI114" i="65" s="1"/>
  <c r="DF114" i="65"/>
  <c r="DG114" i="65" s="1"/>
  <c r="DD114" i="65"/>
  <c r="DE114" i="65" s="1"/>
  <c r="DB114" i="65"/>
  <c r="DC114" i="65" s="1"/>
  <c r="CZ114" i="65"/>
  <c r="DA114" i="65" s="1"/>
  <c r="CX114" i="65"/>
  <c r="CY114" i="65" s="1"/>
  <c r="CV114" i="65"/>
  <c r="CW114" i="65" s="1"/>
  <c r="CT114" i="65"/>
  <c r="CU114" i="65" s="1"/>
  <c r="CR114" i="65"/>
  <c r="CS114" i="65" s="1"/>
  <c r="CP114" i="65"/>
  <c r="CQ114" i="65" s="1"/>
  <c r="CN114" i="65"/>
  <c r="CO114" i="65" s="1"/>
  <c r="CL114" i="65"/>
  <c r="CM114" i="65" s="1"/>
  <c r="CJ114" i="65"/>
  <c r="CK114" i="65" s="1"/>
  <c r="CH114" i="65"/>
  <c r="CI114" i="65" s="1"/>
  <c r="CF114" i="65"/>
  <c r="CG114" i="65" s="1"/>
  <c r="CD114" i="65"/>
  <c r="CE114" i="65" s="1"/>
  <c r="CB114" i="65"/>
  <c r="CC114" i="65" s="1"/>
  <c r="BZ114" i="65"/>
  <c r="CA114" i="65" s="1"/>
  <c r="BX114" i="65"/>
  <c r="BY114" i="65" s="1"/>
  <c r="BV114" i="65"/>
  <c r="BW114" i="65" s="1"/>
  <c r="BT114" i="65"/>
  <c r="BU114" i="65" s="1"/>
  <c r="BR114" i="65"/>
  <c r="BS114" i="65" s="1"/>
  <c r="AY114" i="65"/>
  <c r="AX114" i="65"/>
  <c r="AW114" i="65"/>
  <c r="EB6" i="65"/>
  <c r="EC6" i="65" s="1"/>
  <c r="DZ6" i="65"/>
  <c r="EA6" i="65" s="1"/>
  <c r="DX6" i="65"/>
  <c r="DY6" i="65" s="1"/>
  <c r="DV6" i="65"/>
  <c r="DW6" i="65" s="1"/>
  <c r="DT6" i="65"/>
  <c r="DU6" i="65" s="1"/>
  <c r="DR6" i="65"/>
  <c r="DS6" i="65" s="1"/>
  <c r="DP6" i="65"/>
  <c r="DQ6" i="65" s="1"/>
  <c r="DN6" i="65"/>
  <c r="DO6" i="65" s="1"/>
  <c r="DL6" i="65"/>
  <c r="DM6" i="65" s="1"/>
  <c r="DJ6" i="65"/>
  <c r="DK6" i="65" s="1"/>
  <c r="DH6" i="65"/>
  <c r="DI6" i="65" s="1"/>
  <c r="DF6" i="65"/>
  <c r="DG6" i="65" s="1"/>
  <c r="DD6" i="65"/>
  <c r="DE6" i="65" s="1"/>
  <c r="DB6" i="65"/>
  <c r="DC6" i="65" s="1"/>
  <c r="CZ6" i="65"/>
  <c r="DA6" i="65" s="1"/>
  <c r="CX6" i="65"/>
  <c r="CY6" i="65" s="1"/>
  <c r="CV6" i="65"/>
  <c r="CW6" i="65" s="1"/>
  <c r="CT6" i="65"/>
  <c r="CU6" i="65" s="1"/>
  <c r="CR6" i="65"/>
  <c r="CS6" i="65" s="1"/>
  <c r="CP6" i="65"/>
  <c r="CQ6" i="65" s="1"/>
  <c r="CN6" i="65"/>
  <c r="CO6" i="65" s="1"/>
  <c r="CL6" i="65"/>
  <c r="CM6" i="65" s="1"/>
  <c r="CJ6" i="65"/>
  <c r="CK6" i="65" s="1"/>
  <c r="CH6" i="65"/>
  <c r="CI6" i="65" s="1"/>
  <c r="CF6" i="65"/>
  <c r="CG6" i="65" s="1"/>
  <c r="CD6" i="65"/>
  <c r="CE6" i="65" s="1"/>
  <c r="CB6" i="65"/>
  <c r="CC6" i="65" s="1"/>
  <c r="BZ6" i="65"/>
  <c r="CA6" i="65" s="1"/>
  <c r="BX6" i="65"/>
  <c r="BY6" i="65" s="1"/>
  <c r="BV6" i="65"/>
  <c r="BW6" i="65" s="1"/>
  <c r="BT6" i="65"/>
  <c r="BU6" i="65" s="1"/>
  <c r="BR6" i="65"/>
  <c r="BS6" i="65" s="1"/>
  <c r="AY6" i="65"/>
  <c r="AX6" i="65"/>
  <c r="AW6" i="65"/>
  <c r="EB5" i="65"/>
  <c r="EC5" i="65" s="1"/>
  <c r="DZ5" i="65"/>
  <c r="EA5" i="65" s="1"/>
  <c r="DX5" i="65"/>
  <c r="DY5" i="65" s="1"/>
  <c r="DV5" i="65"/>
  <c r="DW5" i="65" s="1"/>
  <c r="DT5" i="65"/>
  <c r="DU5" i="65" s="1"/>
  <c r="DR5" i="65"/>
  <c r="DS5" i="65" s="1"/>
  <c r="DP5" i="65"/>
  <c r="DQ5" i="65" s="1"/>
  <c r="DN5" i="65"/>
  <c r="DO5" i="65" s="1"/>
  <c r="DL5" i="65"/>
  <c r="DM5" i="65" s="1"/>
  <c r="DJ5" i="65"/>
  <c r="DK5" i="65" s="1"/>
  <c r="DH5" i="65"/>
  <c r="DI5" i="65" s="1"/>
  <c r="DF5" i="65"/>
  <c r="DG5" i="65" s="1"/>
  <c r="DD5" i="65"/>
  <c r="DE5" i="65" s="1"/>
  <c r="DB5" i="65"/>
  <c r="DC5" i="65" s="1"/>
  <c r="CZ5" i="65"/>
  <c r="DA5" i="65" s="1"/>
  <c r="CX5" i="65"/>
  <c r="CY5" i="65" s="1"/>
  <c r="CV5" i="65"/>
  <c r="CW5" i="65" s="1"/>
  <c r="CT5" i="65"/>
  <c r="CU5" i="65" s="1"/>
  <c r="CR5" i="65"/>
  <c r="CS5" i="65" s="1"/>
  <c r="CP5" i="65"/>
  <c r="CQ5" i="65" s="1"/>
  <c r="CN5" i="65"/>
  <c r="CO5" i="65" s="1"/>
  <c r="CL5" i="65"/>
  <c r="CM5" i="65" s="1"/>
  <c r="CJ5" i="65"/>
  <c r="CK5" i="65" s="1"/>
  <c r="CH5" i="65"/>
  <c r="CI5" i="65" s="1"/>
  <c r="CF5" i="65"/>
  <c r="CG5" i="65" s="1"/>
  <c r="CD5" i="65"/>
  <c r="CE5" i="65" s="1"/>
  <c r="CB5" i="65"/>
  <c r="CC5" i="65" s="1"/>
  <c r="BZ5" i="65"/>
  <c r="CA5" i="65" s="1"/>
  <c r="BX5" i="65"/>
  <c r="BY5" i="65" s="1"/>
  <c r="BV5" i="65"/>
  <c r="BW5" i="65" s="1"/>
  <c r="BT5" i="65"/>
  <c r="BU5" i="65" s="1"/>
  <c r="BR5" i="65"/>
  <c r="BS5" i="65" s="1"/>
  <c r="AY5" i="65"/>
  <c r="AX5" i="65"/>
  <c r="AW5" i="65"/>
  <c r="EB4" i="65"/>
  <c r="EC4" i="65" s="1"/>
  <c r="DZ4" i="65"/>
  <c r="EA4" i="65" s="1"/>
  <c r="DX4" i="65"/>
  <c r="DY4" i="65" s="1"/>
  <c r="DV4" i="65"/>
  <c r="DW4" i="65" s="1"/>
  <c r="DT4" i="65"/>
  <c r="DU4" i="65" s="1"/>
  <c r="DR4" i="65"/>
  <c r="DS4" i="65" s="1"/>
  <c r="DP4" i="65"/>
  <c r="DQ4" i="65" s="1"/>
  <c r="DN4" i="65"/>
  <c r="DO4" i="65" s="1"/>
  <c r="DL4" i="65"/>
  <c r="DM4" i="65" s="1"/>
  <c r="DJ4" i="65"/>
  <c r="DK4" i="65" s="1"/>
  <c r="DH4" i="65"/>
  <c r="DI4" i="65" s="1"/>
  <c r="DF4" i="65"/>
  <c r="DG4" i="65" s="1"/>
  <c r="DD4" i="65"/>
  <c r="DE4" i="65" s="1"/>
  <c r="DB4" i="65"/>
  <c r="DC4" i="65" s="1"/>
  <c r="CZ4" i="65"/>
  <c r="DA4" i="65" s="1"/>
  <c r="CX4" i="65"/>
  <c r="CY4" i="65" s="1"/>
  <c r="CV4" i="65"/>
  <c r="CW4" i="65" s="1"/>
  <c r="CT4" i="65"/>
  <c r="CU4" i="65" s="1"/>
  <c r="CR4" i="65"/>
  <c r="CS4" i="65" s="1"/>
  <c r="CP4" i="65"/>
  <c r="CQ4" i="65" s="1"/>
  <c r="CN4" i="65"/>
  <c r="CO4" i="65" s="1"/>
  <c r="CL4" i="65"/>
  <c r="CM4" i="65" s="1"/>
  <c r="CJ4" i="65"/>
  <c r="CK4" i="65" s="1"/>
  <c r="CH4" i="65"/>
  <c r="CI4" i="65" s="1"/>
  <c r="CF4" i="65"/>
  <c r="CG4" i="65" s="1"/>
  <c r="CD4" i="65"/>
  <c r="CE4" i="65" s="1"/>
  <c r="CB4" i="65"/>
  <c r="CC4" i="65" s="1"/>
  <c r="BZ4" i="65"/>
  <c r="CA4" i="65" s="1"/>
  <c r="BX4" i="65"/>
  <c r="BY4" i="65" s="1"/>
  <c r="BV4" i="65"/>
  <c r="BW4" i="65" s="1"/>
  <c r="BT4" i="65"/>
  <c r="BU4" i="65" s="1"/>
  <c r="BR4" i="65"/>
  <c r="BS4" i="65" s="1"/>
  <c r="AY4" i="65"/>
  <c r="AX4" i="65"/>
  <c r="AW4" i="65"/>
  <c r="EB113" i="65"/>
  <c r="EC113" i="65" s="1"/>
  <c r="DZ113" i="65"/>
  <c r="EA113" i="65" s="1"/>
  <c r="DX113" i="65"/>
  <c r="DY113" i="65" s="1"/>
  <c r="DV113" i="65"/>
  <c r="DW113" i="65" s="1"/>
  <c r="DT113" i="65"/>
  <c r="DU113" i="65" s="1"/>
  <c r="DR113" i="65"/>
  <c r="DS113" i="65" s="1"/>
  <c r="DP113" i="65"/>
  <c r="DQ113" i="65" s="1"/>
  <c r="DN113" i="65"/>
  <c r="DO113" i="65" s="1"/>
  <c r="DL113" i="65"/>
  <c r="DM113" i="65" s="1"/>
  <c r="DJ113" i="65"/>
  <c r="DK113" i="65" s="1"/>
  <c r="DH113" i="65"/>
  <c r="DI113" i="65" s="1"/>
  <c r="DF113" i="65"/>
  <c r="DG113" i="65" s="1"/>
  <c r="DD113" i="65"/>
  <c r="DE113" i="65" s="1"/>
  <c r="DB113" i="65"/>
  <c r="DC113" i="65" s="1"/>
  <c r="CZ113" i="65"/>
  <c r="DA113" i="65" s="1"/>
  <c r="CX113" i="65"/>
  <c r="CY113" i="65" s="1"/>
  <c r="CV113" i="65"/>
  <c r="CW113" i="65" s="1"/>
  <c r="CT113" i="65"/>
  <c r="CU113" i="65" s="1"/>
  <c r="CR113" i="65"/>
  <c r="CS113" i="65" s="1"/>
  <c r="CP113" i="65"/>
  <c r="CQ113" i="65" s="1"/>
  <c r="CN113" i="65"/>
  <c r="CO113" i="65" s="1"/>
  <c r="CL113" i="65"/>
  <c r="CM113" i="65" s="1"/>
  <c r="CJ113" i="65"/>
  <c r="CK113" i="65" s="1"/>
  <c r="CH113" i="65"/>
  <c r="CI113" i="65" s="1"/>
  <c r="CF113" i="65"/>
  <c r="CG113" i="65" s="1"/>
  <c r="CD113" i="65"/>
  <c r="CE113" i="65" s="1"/>
  <c r="CB113" i="65"/>
  <c r="CC113" i="65" s="1"/>
  <c r="BZ113" i="65"/>
  <c r="CA113" i="65" s="1"/>
  <c r="BX113" i="65"/>
  <c r="BY113" i="65" s="1"/>
  <c r="BV113" i="65"/>
  <c r="BW113" i="65" s="1"/>
  <c r="BT113" i="65"/>
  <c r="BU113" i="65" s="1"/>
  <c r="BR113" i="65"/>
  <c r="BS113" i="65" s="1"/>
  <c r="BM113" i="65"/>
  <c r="AY113" i="65"/>
  <c r="AX113" i="65"/>
  <c r="AW113" i="65"/>
  <c r="AV113" i="65"/>
  <c r="AU113" i="65"/>
  <c r="BD12" i="65" l="1"/>
  <c r="BF12" i="65"/>
  <c r="BC12" i="65"/>
  <c r="BC20" i="65"/>
  <c r="BD20" i="65"/>
  <c r="BF20" i="65"/>
  <c r="BD27" i="65"/>
  <c r="BC27" i="65"/>
  <c r="BF27" i="65"/>
  <c r="BC38" i="65"/>
  <c r="BD38" i="65"/>
  <c r="BF38" i="65"/>
  <c r="BC44" i="65"/>
  <c r="BD44" i="65"/>
  <c r="BF44" i="65"/>
  <c r="BC121" i="65"/>
  <c r="BD121" i="65"/>
  <c r="BF121" i="65"/>
  <c r="BF64" i="65"/>
  <c r="BC64" i="65"/>
  <c r="BD64" i="65"/>
  <c r="BF110" i="65"/>
  <c r="BD110" i="65"/>
  <c r="BC110" i="65"/>
  <c r="BD80" i="65"/>
  <c r="BF80" i="65"/>
  <c r="BC80" i="65"/>
  <c r="BG22" i="65"/>
  <c r="BH22" i="65"/>
  <c r="BH25" i="65"/>
  <c r="BG25" i="65"/>
  <c r="BG119" i="65"/>
  <c r="BH119" i="65"/>
  <c r="BH43" i="65"/>
  <c r="BG43" i="65"/>
  <c r="BH46" i="65"/>
  <c r="BG46" i="65"/>
  <c r="BH64" i="65"/>
  <c r="BG64" i="65"/>
  <c r="BG110" i="65"/>
  <c r="BH110" i="65"/>
  <c r="BG82" i="65"/>
  <c r="BH82" i="65"/>
  <c r="BD7" i="65"/>
  <c r="BF7" i="65"/>
  <c r="BC7" i="65"/>
  <c r="BC10" i="65"/>
  <c r="BD10" i="65"/>
  <c r="BF10" i="65"/>
  <c r="BD117" i="65"/>
  <c r="BF117" i="65"/>
  <c r="BC117" i="65"/>
  <c r="BC21" i="65"/>
  <c r="BF21" i="65"/>
  <c r="BD21" i="65"/>
  <c r="BF24" i="65"/>
  <c r="BD24" i="65"/>
  <c r="BC24" i="65"/>
  <c r="BC26" i="65"/>
  <c r="BD26" i="65"/>
  <c r="BC115" i="65"/>
  <c r="BD115" i="65"/>
  <c r="BF115" i="65"/>
  <c r="BC116" i="65"/>
  <c r="BD116" i="65"/>
  <c r="BF116" i="65"/>
  <c r="BC25" i="65"/>
  <c r="BD25" i="65"/>
  <c r="BF25" i="65"/>
  <c r="BF33" i="65"/>
  <c r="BD33" i="65"/>
  <c r="BC33" i="65"/>
  <c r="BC43" i="65"/>
  <c r="BD43" i="65"/>
  <c r="BF43" i="65"/>
  <c r="BC54" i="65"/>
  <c r="BD54" i="65"/>
  <c r="BF54" i="65"/>
  <c r="BD66" i="65"/>
  <c r="BF66" i="65"/>
  <c r="BC66" i="65"/>
  <c r="BC76" i="65"/>
  <c r="BF76" i="65"/>
  <c r="BD76" i="65"/>
  <c r="BF8" i="65"/>
  <c r="BD8" i="65"/>
  <c r="BC8" i="65"/>
  <c r="BH115" i="65"/>
  <c r="BG115" i="65"/>
  <c r="BG14" i="65"/>
  <c r="BH14" i="65"/>
  <c r="BH116" i="65"/>
  <c r="BG116" i="65"/>
  <c r="BG19" i="65"/>
  <c r="BH19" i="65"/>
  <c r="BG38" i="65"/>
  <c r="BH38" i="65"/>
  <c r="BG59" i="65"/>
  <c r="BH59" i="65"/>
  <c r="BC113" i="65"/>
  <c r="BD113" i="65"/>
  <c r="BF113" i="65"/>
  <c r="BF13" i="65"/>
  <c r="BC13" i="65"/>
  <c r="BD13" i="65"/>
  <c r="BD17" i="65"/>
  <c r="BF17" i="65"/>
  <c r="BC17" i="65"/>
  <c r="BC30" i="65"/>
  <c r="BD30" i="65"/>
  <c r="BF30" i="65"/>
  <c r="BC34" i="65"/>
  <c r="BD34" i="65"/>
  <c r="BF34" i="65"/>
  <c r="BC120" i="65"/>
  <c r="BD120" i="65"/>
  <c r="BF120" i="65"/>
  <c r="BC47" i="65"/>
  <c r="BF47" i="65"/>
  <c r="BD47" i="65"/>
  <c r="BC53" i="65"/>
  <c r="BD53" i="65"/>
  <c r="BF53" i="65"/>
  <c r="BC58" i="65"/>
  <c r="BF58" i="65"/>
  <c r="BD58" i="65"/>
  <c r="BC122" i="65"/>
  <c r="BD122" i="65"/>
  <c r="BF122" i="65"/>
  <c r="BF67" i="65"/>
  <c r="BC67" i="65"/>
  <c r="BD67" i="65"/>
  <c r="BC69" i="65"/>
  <c r="BD69" i="65"/>
  <c r="BF69" i="65"/>
  <c r="BC71" i="65"/>
  <c r="BD71" i="65"/>
  <c r="BF71" i="65"/>
  <c r="BC73" i="65"/>
  <c r="BD73" i="65"/>
  <c r="BF73" i="65"/>
  <c r="BC74" i="65"/>
  <c r="BD74" i="65"/>
  <c r="BF74" i="65"/>
  <c r="BC77" i="65"/>
  <c r="BF77" i="65"/>
  <c r="BD77" i="65"/>
  <c r="BC111" i="65"/>
  <c r="BD111" i="65"/>
  <c r="BF111" i="65"/>
  <c r="BC79" i="65"/>
  <c r="BD79" i="65"/>
  <c r="BF79" i="65"/>
  <c r="BD81" i="65"/>
  <c r="BF81" i="65"/>
  <c r="BC81" i="65"/>
  <c r="BF75" i="65"/>
  <c r="BC75" i="65"/>
  <c r="BD75" i="65"/>
  <c r="BC11" i="65"/>
  <c r="BF11" i="65"/>
  <c r="BD11" i="65"/>
  <c r="BC126" i="65"/>
  <c r="BF126" i="65"/>
  <c r="BD126" i="65"/>
  <c r="BC6" i="65"/>
  <c r="BD6" i="65"/>
  <c r="BF6" i="65"/>
  <c r="BC16" i="65"/>
  <c r="BD16" i="65"/>
  <c r="BF16" i="65"/>
  <c r="BF23" i="65"/>
  <c r="BD23" i="65"/>
  <c r="BC23" i="65"/>
  <c r="BD29" i="65"/>
  <c r="BF29" i="65"/>
  <c r="BC29" i="65"/>
  <c r="BC119" i="65"/>
  <c r="BD119" i="65"/>
  <c r="BF119" i="65"/>
  <c r="BC39" i="65"/>
  <c r="BD39" i="65"/>
  <c r="BF39" i="65"/>
  <c r="BF46" i="65"/>
  <c r="BC46" i="65"/>
  <c r="BD46" i="65"/>
  <c r="BD50" i="65"/>
  <c r="BC50" i="65"/>
  <c r="BF50" i="65"/>
  <c r="BF57" i="65"/>
  <c r="BC57" i="65"/>
  <c r="BD57" i="65"/>
  <c r="BD61" i="65"/>
  <c r="BC61" i="65"/>
  <c r="BF61" i="65"/>
  <c r="BC68" i="65"/>
  <c r="BF68" i="65"/>
  <c r="BD68" i="65"/>
  <c r="BD124" i="65"/>
  <c r="BF124" i="65"/>
  <c r="BC124" i="65"/>
  <c r="BG6" i="65"/>
  <c r="BH6" i="65"/>
  <c r="BG12" i="65"/>
  <c r="BH12" i="65"/>
  <c r="BG20" i="65"/>
  <c r="BH20" i="65"/>
  <c r="BG29" i="65"/>
  <c r="BH29" i="65"/>
  <c r="BH33" i="65"/>
  <c r="BG33" i="65"/>
  <c r="BG36" i="65"/>
  <c r="BH36" i="65"/>
  <c r="BG39" i="65"/>
  <c r="BH39" i="65"/>
  <c r="BG44" i="65"/>
  <c r="BH44" i="65"/>
  <c r="BG48" i="65"/>
  <c r="BH48" i="65"/>
  <c r="BG54" i="65"/>
  <c r="BH54" i="65"/>
  <c r="BG121" i="65"/>
  <c r="BH121" i="65"/>
  <c r="BG61" i="65"/>
  <c r="BH61" i="65"/>
  <c r="BG80" i="65"/>
  <c r="BH80" i="65"/>
  <c r="BC15" i="65"/>
  <c r="BD15" i="65"/>
  <c r="BF15" i="65"/>
  <c r="BD35" i="65"/>
  <c r="BF35" i="65"/>
  <c r="BC35" i="65"/>
  <c r="BC42" i="65"/>
  <c r="BD42" i="65"/>
  <c r="BF42" i="65"/>
  <c r="BC49" i="65"/>
  <c r="BD49" i="65"/>
  <c r="BF49" i="65"/>
  <c r="BC56" i="65"/>
  <c r="BD56" i="65"/>
  <c r="BF56" i="65"/>
  <c r="BC65" i="65"/>
  <c r="BF65" i="65"/>
  <c r="BD65" i="65"/>
  <c r="BG7" i="65"/>
  <c r="BH7" i="65"/>
  <c r="BH13" i="65"/>
  <c r="BG13" i="65"/>
  <c r="BG117" i="65"/>
  <c r="BH117" i="65"/>
  <c r="BG21" i="65"/>
  <c r="BH21" i="65"/>
  <c r="BG24" i="65"/>
  <c r="BH24" i="65"/>
  <c r="BD4" i="65"/>
  <c r="BF4" i="65"/>
  <c r="BC4" i="65"/>
  <c r="BF9" i="65"/>
  <c r="BD9" i="65"/>
  <c r="BC9" i="65"/>
  <c r="BC14" i="65"/>
  <c r="BD14" i="65"/>
  <c r="BF14" i="65"/>
  <c r="BF19" i="65"/>
  <c r="BD19" i="65"/>
  <c r="BC19" i="65"/>
  <c r="BD22" i="65"/>
  <c r="BC22" i="65"/>
  <c r="BF22" i="65"/>
  <c r="BF31" i="65"/>
  <c r="BD31" i="65"/>
  <c r="BC31" i="65"/>
  <c r="BD36" i="65"/>
  <c r="BC36" i="65"/>
  <c r="BF36" i="65"/>
  <c r="BF41" i="65"/>
  <c r="BD41" i="65"/>
  <c r="BC41" i="65"/>
  <c r="BC48" i="65"/>
  <c r="BD48" i="65"/>
  <c r="BF48" i="65"/>
  <c r="BC52" i="65"/>
  <c r="BD52" i="65"/>
  <c r="BF52" i="65"/>
  <c r="BF59" i="65"/>
  <c r="BC59" i="65"/>
  <c r="BD59" i="65"/>
  <c r="BC62" i="65"/>
  <c r="BF62" i="65"/>
  <c r="BD62" i="65"/>
  <c r="BD70" i="65"/>
  <c r="BF70" i="65"/>
  <c r="BC70" i="65"/>
  <c r="BF72" i="65"/>
  <c r="BC72" i="65"/>
  <c r="BD72" i="65"/>
  <c r="BC78" i="65"/>
  <c r="BF78" i="65"/>
  <c r="BD78" i="65"/>
  <c r="BC82" i="65"/>
  <c r="BD82" i="65"/>
  <c r="BF82" i="65"/>
  <c r="BH4" i="65"/>
  <c r="BG4" i="65"/>
  <c r="BH9" i="65"/>
  <c r="BG9" i="65"/>
  <c r="BG16" i="65"/>
  <c r="BH16" i="65"/>
  <c r="BH23" i="65"/>
  <c r="BG23" i="65"/>
  <c r="BG27" i="65"/>
  <c r="BH27" i="65"/>
  <c r="BG31" i="65"/>
  <c r="BH31" i="65"/>
  <c r="BH41" i="65"/>
  <c r="BG41" i="65"/>
  <c r="BH50" i="65"/>
  <c r="BG50" i="65"/>
  <c r="BH52" i="65"/>
  <c r="BG52" i="65"/>
  <c r="BG57" i="65"/>
  <c r="BH57" i="65"/>
  <c r="BG62" i="65"/>
  <c r="BH62" i="65"/>
  <c r="BG66" i="65"/>
  <c r="BH66" i="65"/>
  <c r="BG68" i="65"/>
  <c r="BH68" i="65"/>
  <c r="BH70" i="65"/>
  <c r="BG70" i="65"/>
  <c r="BG72" i="65"/>
  <c r="BH72" i="65"/>
  <c r="BG76" i="65"/>
  <c r="BH76" i="65"/>
  <c r="BG78" i="65"/>
  <c r="BH78" i="65"/>
  <c r="BH8" i="65"/>
  <c r="BG8" i="65"/>
  <c r="BG124" i="65"/>
  <c r="BH124" i="65"/>
  <c r="BC5" i="65"/>
  <c r="BD5" i="65"/>
  <c r="BF5" i="65"/>
  <c r="BF18" i="65"/>
  <c r="BC18" i="65"/>
  <c r="BD18" i="65"/>
  <c r="BG113" i="65"/>
  <c r="BH113" i="65"/>
  <c r="BF28" i="65"/>
  <c r="BC28" i="65"/>
  <c r="BD28" i="65"/>
  <c r="BD32" i="65"/>
  <c r="BC32" i="65"/>
  <c r="BF32" i="65"/>
  <c r="BF37" i="65"/>
  <c r="BC37" i="65"/>
  <c r="BD37" i="65"/>
  <c r="BD40" i="65"/>
  <c r="BC40" i="65"/>
  <c r="BF40" i="65"/>
  <c r="BD45" i="65"/>
  <c r="BF45" i="65"/>
  <c r="BC45" i="65"/>
  <c r="BF51" i="65"/>
  <c r="BC51" i="65"/>
  <c r="BD51" i="65"/>
  <c r="BD55" i="65"/>
  <c r="BF55" i="65"/>
  <c r="BC55" i="65"/>
  <c r="BD60" i="65"/>
  <c r="BC60" i="65"/>
  <c r="BF60" i="65"/>
  <c r="BC63" i="65"/>
  <c r="BF63" i="65"/>
  <c r="BD63" i="65"/>
  <c r="BG5" i="65"/>
  <c r="BH5" i="65"/>
  <c r="BG10" i="65"/>
  <c r="BH10" i="65"/>
  <c r="BG15" i="65"/>
  <c r="BH15" i="65"/>
  <c r="BG17" i="65"/>
  <c r="BH17" i="65"/>
  <c r="BH18" i="65"/>
  <c r="BG18" i="65"/>
  <c r="BG26" i="65"/>
  <c r="BH26" i="65"/>
  <c r="BF26" i="65"/>
  <c r="BH28" i="65"/>
  <c r="BG28" i="65"/>
  <c r="BG30" i="65"/>
  <c r="BH30" i="65"/>
  <c r="BG32" i="65"/>
  <c r="BH32" i="65"/>
  <c r="BG34" i="65"/>
  <c r="BH34" i="65"/>
  <c r="BG35" i="65"/>
  <c r="BH35" i="65"/>
  <c r="BH37" i="65"/>
  <c r="BG37" i="65"/>
  <c r="BH120" i="65"/>
  <c r="BG120" i="65"/>
  <c r="BH40" i="65"/>
  <c r="BG40" i="65"/>
  <c r="BG42" i="65"/>
  <c r="BH42" i="65"/>
  <c r="BG45" i="65"/>
  <c r="BH45" i="65"/>
  <c r="BG47" i="65"/>
  <c r="BH47" i="65"/>
  <c r="BG49" i="65"/>
  <c r="BH49" i="65"/>
  <c r="BH51" i="65"/>
  <c r="BG51" i="65"/>
  <c r="BG53" i="65"/>
  <c r="BH53" i="65"/>
  <c r="BG55" i="65"/>
  <c r="BH55" i="65"/>
  <c r="BH56" i="65"/>
  <c r="BG56" i="65"/>
  <c r="BH58" i="65"/>
  <c r="BG58" i="65"/>
  <c r="BG60" i="65"/>
  <c r="BH60" i="65"/>
  <c r="BG122" i="65"/>
  <c r="BH122" i="65"/>
  <c r="BG63" i="65"/>
  <c r="BH63" i="65"/>
  <c r="BG65" i="65"/>
  <c r="BH65" i="65"/>
  <c r="BG67" i="65"/>
  <c r="BH67" i="65"/>
  <c r="BG69" i="65"/>
  <c r="BH69" i="65"/>
  <c r="BG71" i="65"/>
  <c r="BH71" i="65"/>
  <c r="BH73" i="65"/>
  <c r="BG73" i="65"/>
  <c r="BH74" i="65"/>
  <c r="BG74" i="65"/>
  <c r="BG77" i="65"/>
  <c r="BH77" i="65"/>
  <c r="BG111" i="65"/>
  <c r="BH111" i="65"/>
  <c r="BG79" i="65"/>
  <c r="BH79" i="65"/>
  <c r="BG81" i="65"/>
  <c r="BH81" i="65"/>
  <c r="BG75" i="65"/>
  <c r="BH75" i="65"/>
  <c r="BG11" i="65"/>
  <c r="BH11" i="65"/>
  <c r="BH126" i="65"/>
  <c r="BG126" i="65"/>
  <c r="BG127" i="65"/>
  <c r="BH127" i="65"/>
  <c r="BF127" i="65"/>
  <c r="BD127" i="65"/>
  <c r="BC127" i="65"/>
  <c r="BF125" i="65"/>
  <c r="BC125" i="65"/>
  <c r="BD125" i="65"/>
  <c r="BG125" i="65"/>
  <c r="BH125" i="65"/>
  <c r="BF118" i="65"/>
  <c r="BC118" i="65"/>
  <c r="BD118" i="65"/>
  <c r="BG118" i="65"/>
  <c r="BH118" i="65"/>
  <c r="BD114" i="65"/>
  <c r="BC114" i="65"/>
  <c r="BF114" i="65"/>
  <c r="BG114" i="65"/>
  <c r="BH114" i="65"/>
  <c r="BK61" i="59"/>
  <c r="BO61" i="59" s="1"/>
  <c r="BR61" i="59" s="1"/>
  <c r="BK64" i="59"/>
  <c r="BO64" i="59" s="1"/>
  <c r="BR64" i="59" s="1"/>
  <c r="BK63" i="59"/>
  <c r="BO63" i="59" s="1"/>
  <c r="BR63" i="59" s="1"/>
  <c r="BK62" i="59"/>
  <c r="BO62" i="59" s="1"/>
  <c r="BR62" i="59" s="1"/>
  <c r="AT6" i="65"/>
  <c r="BE6" i="65" s="1"/>
  <c r="AT16" i="65"/>
  <c r="BE16" i="65" s="1"/>
  <c r="AT23" i="65"/>
  <c r="BE23" i="65" s="1"/>
  <c r="AT117" i="65"/>
  <c r="BE117" i="65" s="1"/>
  <c r="AT10" i="65"/>
  <c r="BE10" i="65" s="1"/>
  <c r="AT21" i="65"/>
  <c r="BE21" i="65" s="1"/>
  <c r="AT28" i="65"/>
  <c r="BE28" i="65" s="1"/>
  <c r="AT33" i="65"/>
  <c r="BE33" i="65" s="1"/>
  <c r="AT37" i="65"/>
  <c r="BE37" i="65" s="1"/>
  <c r="AT41" i="65"/>
  <c r="BE41" i="65" s="1"/>
  <c r="AT55" i="65"/>
  <c r="BE55" i="65" s="1"/>
  <c r="AT59" i="65"/>
  <c r="BE59" i="65" s="1"/>
  <c r="AT25" i="65"/>
  <c r="BE25" i="65" s="1"/>
  <c r="AT120" i="65"/>
  <c r="BE120" i="65" s="1"/>
  <c r="AT52" i="65"/>
  <c r="BE52" i="65" s="1"/>
  <c r="AT26" i="65"/>
  <c r="BE26" i="65" s="1"/>
  <c r="AT31" i="65"/>
  <c r="BE31" i="65" s="1"/>
  <c r="AT35" i="65"/>
  <c r="BE35" i="65" s="1"/>
  <c r="AT39" i="65"/>
  <c r="BE39" i="65" s="1"/>
  <c r="AT125" i="65"/>
  <c r="BE125" i="65" s="1"/>
  <c r="AT48" i="65"/>
  <c r="BE48" i="65" s="1"/>
  <c r="AT53" i="65"/>
  <c r="BE53" i="65" s="1"/>
  <c r="AT57" i="65"/>
  <c r="BE57" i="65" s="1"/>
  <c r="AT122" i="65"/>
  <c r="BE122" i="65" s="1"/>
  <c r="AT66" i="65"/>
  <c r="BE66" i="65" s="1"/>
  <c r="AT71" i="65"/>
  <c r="BE71" i="65" s="1"/>
  <c r="AT76" i="65"/>
  <c r="BE76" i="65" s="1"/>
  <c r="AT79" i="65"/>
  <c r="BE79" i="65" s="1"/>
  <c r="AT8" i="65"/>
  <c r="BE8" i="65" s="1"/>
  <c r="AT75" i="65"/>
  <c r="BE75" i="65" s="1"/>
  <c r="AT63" i="65"/>
  <c r="BE63" i="65" s="1"/>
  <c r="AT127" i="65"/>
  <c r="BE127" i="65" s="1"/>
  <c r="AT81" i="65"/>
  <c r="BE81" i="65" s="1"/>
  <c r="AT116" i="65"/>
  <c r="BE116" i="65" s="1"/>
  <c r="AT119" i="65"/>
  <c r="BE119" i="65" s="1"/>
  <c r="AT70" i="65"/>
  <c r="BE70" i="65" s="1"/>
  <c r="AT50" i="65"/>
  <c r="BE50" i="65" s="1"/>
  <c r="AT74" i="65"/>
  <c r="BE74" i="65" s="1"/>
  <c r="AT9" i="65"/>
  <c r="BE9" i="65" s="1"/>
  <c r="AT27" i="65"/>
  <c r="BE27" i="65" s="1"/>
  <c r="AT32" i="65"/>
  <c r="BE32" i="65" s="1"/>
  <c r="AT36" i="65"/>
  <c r="BE36" i="65" s="1"/>
  <c r="AT40" i="65"/>
  <c r="BE40" i="65" s="1"/>
  <c r="AT44" i="65"/>
  <c r="BE44" i="65" s="1"/>
  <c r="AT49" i="65"/>
  <c r="BE49" i="65" s="1"/>
  <c r="AT54" i="65"/>
  <c r="BE54" i="65" s="1"/>
  <c r="AT58" i="65"/>
  <c r="BE58" i="65" s="1"/>
  <c r="AT62" i="65"/>
  <c r="BE62" i="65" s="1"/>
  <c r="AT67" i="65"/>
  <c r="BE67" i="65" s="1"/>
  <c r="AT72" i="65"/>
  <c r="BE72" i="65" s="1"/>
  <c r="AT77" i="65"/>
  <c r="BE77" i="65" s="1"/>
  <c r="AT80" i="65"/>
  <c r="BE80" i="65" s="1"/>
  <c r="AT11" i="65"/>
  <c r="BE11" i="65" s="1"/>
  <c r="AT68" i="65"/>
  <c r="BE68" i="65" s="1"/>
  <c r="AT20" i="65"/>
  <c r="BE20" i="65" s="1"/>
  <c r="AT30" i="65"/>
  <c r="BE30" i="65" s="1"/>
  <c r="AT47" i="65"/>
  <c r="BE47" i="65" s="1"/>
  <c r="AT61" i="65"/>
  <c r="BE61" i="65" s="1"/>
  <c r="AT65" i="65"/>
  <c r="BE65" i="65" s="1"/>
  <c r="AT78" i="65"/>
  <c r="BE78" i="65" s="1"/>
  <c r="AT5" i="65"/>
  <c r="BE5" i="65" s="1"/>
  <c r="AT15" i="65"/>
  <c r="BE15" i="65" s="1"/>
  <c r="AT19" i="65"/>
  <c r="BE19" i="65" s="1"/>
  <c r="AT114" i="65"/>
  <c r="BE114" i="65" s="1"/>
  <c r="AT12" i="65"/>
  <c r="BE12" i="65" s="1"/>
  <c r="AT17" i="65"/>
  <c r="BE17" i="65" s="1"/>
  <c r="AT22" i="65"/>
  <c r="BE22" i="65" s="1"/>
  <c r="AT24" i="65"/>
  <c r="BE24" i="65" s="1"/>
  <c r="AT29" i="65"/>
  <c r="BE29" i="65" s="1"/>
  <c r="AT34" i="65"/>
  <c r="BE34" i="65" s="1"/>
  <c r="AT38" i="65"/>
  <c r="BE38" i="65" s="1"/>
  <c r="AT42" i="65"/>
  <c r="BE42" i="65" s="1"/>
  <c r="AT46" i="65"/>
  <c r="BE46" i="65" s="1"/>
  <c r="AT51" i="65"/>
  <c r="BE51" i="65" s="1"/>
  <c r="AT121" i="65"/>
  <c r="BE121" i="65" s="1"/>
  <c r="AT60" i="65"/>
  <c r="BE60" i="65" s="1"/>
  <c r="AT64" i="65"/>
  <c r="BE64" i="65" s="1"/>
  <c r="AT69" i="65"/>
  <c r="BE69" i="65" s="1"/>
  <c r="AT110" i="65"/>
  <c r="BE110" i="65" s="1"/>
  <c r="AT111" i="65"/>
  <c r="BE111" i="65" s="1"/>
  <c r="AT82" i="65"/>
  <c r="BE82" i="65" s="1"/>
  <c r="AT126" i="65"/>
  <c r="BE126" i="65" s="1"/>
  <c r="AT45" i="65"/>
  <c r="BE45" i="65" s="1"/>
  <c r="AT73" i="65"/>
  <c r="BE73" i="65" s="1"/>
  <c r="AT124" i="65"/>
  <c r="BE124" i="65" s="1"/>
  <c r="AT115" i="65"/>
  <c r="BE115" i="65" s="1"/>
  <c r="AT13" i="65"/>
  <c r="BE13" i="65" s="1"/>
  <c r="AT43" i="65"/>
  <c r="BE43" i="65" s="1"/>
  <c r="AT56" i="65"/>
  <c r="BE56" i="65" s="1"/>
  <c r="AT4" i="65"/>
  <c r="BE4" i="65" s="1"/>
  <c r="AT7" i="65"/>
  <c r="BE7" i="65" s="1"/>
  <c r="AT14" i="65"/>
  <c r="BE14" i="65" s="1"/>
  <c r="AT18" i="65"/>
  <c r="BE18" i="65" s="1"/>
  <c r="AT118" i="65"/>
  <c r="BE118" i="65" s="1"/>
  <c r="DF131" i="65"/>
  <c r="DG131" i="65" s="1"/>
  <c r="AV131" i="65"/>
  <c r="CZ131" i="65"/>
  <c r="DA131" i="65" s="1"/>
  <c r="CX131" i="65"/>
  <c r="CY131" i="65" s="1"/>
  <c r="CF131" i="65"/>
  <c r="CG131" i="65" s="1"/>
  <c r="CB131" i="65"/>
  <c r="CC131" i="65" s="1"/>
  <c r="DT131" i="65"/>
  <c r="DU131" i="65" s="1"/>
  <c r="DJ131" i="65"/>
  <c r="DK131" i="65" s="1"/>
  <c r="AT113" i="65"/>
  <c r="BE113" i="65" s="1"/>
  <c r="BB131" i="65"/>
  <c r="AW131" i="65"/>
  <c r="AU131" i="65"/>
  <c r="BM131" i="65"/>
  <c r="AX131" i="65"/>
  <c r="AY131" i="65"/>
  <c r="DL131" i="65"/>
  <c r="DM131" i="65" s="1"/>
  <c r="DD131" i="65"/>
  <c r="DE131" i="65" s="1"/>
  <c r="BZ131" i="65"/>
  <c r="CA131" i="65" s="1"/>
  <c r="CH131" i="65"/>
  <c r="CI131" i="65" s="1"/>
  <c r="DR131" i="65"/>
  <c r="DS131" i="65" s="1"/>
  <c r="CJ131" i="65"/>
  <c r="CK131" i="65" s="1"/>
  <c r="EB131" i="65"/>
  <c r="EC131" i="65" s="1"/>
  <c r="DP131" i="65"/>
  <c r="DQ131" i="65" s="1"/>
  <c r="CD131" i="65"/>
  <c r="CE131" i="65" s="1"/>
  <c r="DN131" i="65"/>
  <c r="DO131" i="65" s="1"/>
  <c r="DB131" i="65"/>
  <c r="DC131" i="65" s="1"/>
  <c r="CP131" i="65"/>
  <c r="CQ131" i="65" s="1"/>
  <c r="DZ131" i="65"/>
  <c r="EA131" i="65" s="1"/>
  <c r="DH131" i="65"/>
  <c r="DI131" i="65" s="1"/>
  <c r="CR131" i="65"/>
  <c r="CS131" i="65" s="1"/>
  <c r="DX131" i="65"/>
  <c r="DY131" i="65" s="1"/>
  <c r="CN131" i="65"/>
  <c r="CO131" i="65" s="1"/>
  <c r="DV131" i="65"/>
  <c r="DW131" i="65" s="1"/>
  <c r="CT131" i="65"/>
  <c r="CU131" i="65" s="1"/>
  <c r="CV131" i="65"/>
  <c r="CW131" i="65" s="1"/>
  <c r="CL131" i="65"/>
  <c r="CM131" i="65" s="1"/>
  <c r="BJ115" i="65" l="1"/>
  <c r="BN115" i="65" s="1"/>
  <c r="BQ115" i="65" s="1"/>
  <c r="BJ47" i="65"/>
  <c r="BN47" i="65" s="1"/>
  <c r="BQ47" i="65" s="1"/>
  <c r="BJ56" i="65"/>
  <c r="BN56" i="65" s="1"/>
  <c r="BQ56" i="65" s="1"/>
  <c r="BJ18" i="65"/>
  <c r="BN18" i="65" s="1"/>
  <c r="BQ18" i="65" s="1"/>
  <c r="BJ37" i="65"/>
  <c r="BN37" i="65" s="1"/>
  <c r="BQ37" i="65" s="1"/>
  <c r="BJ33" i="65"/>
  <c r="BN33" i="65" s="1"/>
  <c r="BQ33" i="65" s="1"/>
  <c r="BJ52" i="65"/>
  <c r="BN52" i="65" s="1"/>
  <c r="BQ52" i="65" s="1"/>
  <c r="BJ74" i="65"/>
  <c r="BN74" i="65" s="1"/>
  <c r="BQ74" i="65" s="1"/>
  <c r="BJ77" i="65"/>
  <c r="BN77" i="65" s="1"/>
  <c r="BQ77" i="65" s="1"/>
  <c r="BJ60" i="65"/>
  <c r="BN60" i="65" s="1"/>
  <c r="BQ60" i="65" s="1"/>
  <c r="BJ40" i="65"/>
  <c r="BN40" i="65" s="1"/>
  <c r="BQ40" i="65" s="1"/>
  <c r="BJ15" i="65"/>
  <c r="BN15" i="65" s="1"/>
  <c r="BQ15" i="65" s="1"/>
  <c r="BJ54" i="65"/>
  <c r="BN54" i="65" s="1"/>
  <c r="BQ54" i="65" s="1"/>
  <c r="BJ29" i="65"/>
  <c r="BN29" i="65" s="1"/>
  <c r="BQ29" i="65" s="1"/>
  <c r="BJ31" i="65"/>
  <c r="BN31" i="65" s="1"/>
  <c r="BQ31" i="65" s="1"/>
  <c r="BJ13" i="65"/>
  <c r="BN13" i="65" s="1"/>
  <c r="BQ13" i="65" s="1"/>
  <c r="BJ35" i="65"/>
  <c r="BN35" i="65" s="1"/>
  <c r="BQ35" i="65" s="1"/>
  <c r="BJ111" i="65"/>
  <c r="BN111" i="65" s="1"/>
  <c r="BQ111" i="65" s="1"/>
  <c r="BJ62" i="65"/>
  <c r="BN62" i="65" s="1"/>
  <c r="BQ62" i="65" s="1"/>
  <c r="BJ22" i="65"/>
  <c r="BN22" i="65" s="1"/>
  <c r="BQ22" i="65" s="1"/>
  <c r="BJ41" i="65"/>
  <c r="BN41" i="65" s="1"/>
  <c r="BQ41" i="65" s="1"/>
  <c r="BJ67" i="65"/>
  <c r="BN67" i="65" s="1"/>
  <c r="BQ67" i="65" s="1"/>
  <c r="BJ49" i="65"/>
  <c r="BN49" i="65" s="1"/>
  <c r="BQ49" i="65" s="1"/>
  <c r="BJ17" i="65"/>
  <c r="BN17" i="65" s="1"/>
  <c r="BQ17" i="65" s="1"/>
  <c r="BJ39" i="65"/>
  <c r="BN39" i="65" s="1"/>
  <c r="BQ39" i="65" s="1"/>
  <c r="BJ32" i="65"/>
  <c r="BN32" i="65" s="1"/>
  <c r="BQ32" i="65" s="1"/>
  <c r="BJ82" i="65"/>
  <c r="BN82" i="65" s="1"/>
  <c r="BQ82" i="65" s="1"/>
  <c r="BJ36" i="65"/>
  <c r="BN36" i="65" s="1"/>
  <c r="BQ36" i="65" s="1"/>
  <c r="BJ21" i="65"/>
  <c r="BN21" i="65" s="1"/>
  <c r="BQ21" i="65" s="1"/>
  <c r="BJ55" i="65"/>
  <c r="BN55" i="65" s="1"/>
  <c r="BQ55" i="65" s="1"/>
  <c r="BJ114" i="65"/>
  <c r="BN114" i="65" s="1"/>
  <c r="BQ114" i="65" s="1"/>
  <c r="BJ76" i="65"/>
  <c r="BN76" i="65" s="1"/>
  <c r="BQ76" i="65" s="1"/>
  <c r="BJ26" i="65"/>
  <c r="BN26" i="65" s="1"/>
  <c r="BQ26" i="65" s="1"/>
  <c r="BJ6" i="65"/>
  <c r="BN6" i="65" s="1"/>
  <c r="BQ6" i="65" s="1"/>
  <c r="BJ72" i="65"/>
  <c r="BN72" i="65" s="1"/>
  <c r="BQ72" i="65" s="1"/>
  <c r="BJ44" i="65"/>
  <c r="BN44" i="65" s="1"/>
  <c r="BQ44" i="65" s="1"/>
  <c r="BJ45" i="65"/>
  <c r="BN45" i="65" s="1"/>
  <c r="BQ45" i="65" s="1"/>
  <c r="BJ121" i="65"/>
  <c r="BN121" i="65" s="1"/>
  <c r="BQ121" i="65" s="1"/>
  <c r="BJ7" i="65"/>
  <c r="BN7" i="65" s="1"/>
  <c r="BQ7" i="65" s="1"/>
  <c r="BJ9" i="65"/>
  <c r="BN9" i="65" s="1"/>
  <c r="BQ9" i="65" s="1"/>
  <c r="BJ11" i="65"/>
  <c r="BN11" i="65" s="1"/>
  <c r="BQ11" i="65" s="1"/>
  <c r="BJ42" i="65"/>
  <c r="BN42" i="65" s="1"/>
  <c r="BQ42" i="65" s="1"/>
  <c r="BJ50" i="65"/>
  <c r="BN50" i="65" s="1"/>
  <c r="BQ50" i="65" s="1"/>
  <c r="BJ126" i="65"/>
  <c r="BN126" i="65" s="1"/>
  <c r="BQ126" i="65" s="1"/>
  <c r="BJ34" i="65"/>
  <c r="BN34" i="65" s="1"/>
  <c r="BQ34" i="65" s="1"/>
  <c r="BJ70" i="65"/>
  <c r="BN70" i="65" s="1"/>
  <c r="BQ70" i="65" s="1"/>
  <c r="BJ110" i="65"/>
  <c r="BN110" i="65" s="1"/>
  <c r="BQ110" i="65" s="1"/>
  <c r="BJ81" i="65"/>
  <c r="BN81" i="65" s="1"/>
  <c r="BQ81" i="65" s="1"/>
  <c r="BJ27" i="65"/>
  <c r="BN27" i="65" s="1"/>
  <c r="BQ27" i="65" s="1"/>
  <c r="BJ4" i="65"/>
  <c r="BN4" i="65" s="1"/>
  <c r="BQ4" i="65" s="1"/>
  <c r="BJ78" i="65"/>
  <c r="BN78" i="65" s="1"/>
  <c r="BQ78" i="65" s="1"/>
  <c r="BJ117" i="65"/>
  <c r="BN117" i="65" s="1"/>
  <c r="BQ117" i="65" s="1"/>
  <c r="BJ63" i="65"/>
  <c r="BN63" i="65" s="1"/>
  <c r="BQ63" i="65" s="1"/>
  <c r="BJ43" i="65"/>
  <c r="BN43" i="65" s="1"/>
  <c r="BQ43" i="65" s="1"/>
  <c r="BJ118" i="65"/>
  <c r="BN118" i="65" s="1"/>
  <c r="BQ118" i="65" s="1"/>
  <c r="BJ65" i="65"/>
  <c r="BN65" i="65" s="1"/>
  <c r="BQ65" i="65" s="1"/>
  <c r="BJ8" i="65"/>
  <c r="BN8" i="65" s="1"/>
  <c r="BQ8" i="65" s="1"/>
  <c r="BJ38" i="65"/>
  <c r="BN38" i="65" s="1"/>
  <c r="BQ38" i="65" s="1"/>
  <c r="BJ127" i="65"/>
  <c r="BN127" i="65" s="1"/>
  <c r="BQ127" i="65" s="1"/>
  <c r="BJ64" i="65"/>
  <c r="BN64" i="65" s="1"/>
  <c r="BQ64" i="65" s="1"/>
  <c r="BJ73" i="65"/>
  <c r="BN73" i="65" s="1"/>
  <c r="BQ73" i="65" s="1"/>
  <c r="BJ58" i="65"/>
  <c r="BN58" i="65" s="1"/>
  <c r="BQ58" i="65" s="1"/>
  <c r="BJ80" i="65"/>
  <c r="BN80" i="65" s="1"/>
  <c r="BQ80" i="65" s="1"/>
  <c r="BJ124" i="65"/>
  <c r="BN124" i="65" s="1"/>
  <c r="BQ124" i="65" s="1"/>
  <c r="BJ30" i="65"/>
  <c r="BN30" i="65" s="1"/>
  <c r="BQ30" i="65" s="1"/>
  <c r="BJ66" i="65"/>
  <c r="BN66" i="65" s="1"/>
  <c r="BQ66" i="65" s="1"/>
  <c r="BJ24" i="65"/>
  <c r="BN24" i="65" s="1"/>
  <c r="BQ24" i="65" s="1"/>
  <c r="BJ28" i="65"/>
  <c r="BN28" i="65" s="1"/>
  <c r="BQ28" i="65" s="1"/>
  <c r="BJ75" i="65"/>
  <c r="BN75" i="65" s="1"/>
  <c r="BQ75" i="65" s="1"/>
  <c r="BJ120" i="65"/>
  <c r="BN120" i="65" s="1"/>
  <c r="BQ120" i="65" s="1"/>
  <c r="BJ10" i="65"/>
  <c r="BN10" i="65" s="1"/>
  <c r="BQ10" i="65" s="1"/>
  <c r="BJ14" i="65"/>
  <c r="BN14" i="65" s="1"/>
  <c r="BQ14" i="65" s="1"/>
  <c r="BJ79" i="65"/>
  <c r="BN79" i="65" s="1"/>
  <c r="BQ79" i="65" s="1"/>
  <c r="BJ51" i="65"/>
  <c r="BN51" i="65" s="1"/>
  <c r="BQ51" i="65" s="1"/>
  <c r="BJ46" i="65"/>
  <c r="BN46" i="65" s="1"/>
  <c r="BQ46" i="65" s="1"/>
  <c r="BJ57" i="65"/>
  <c r="BN57" i="65" s="1"/>
  <c r="BQ57" i="65" s="1"/>
  <c r="BJ119" i="65"/>
  <c r="BN119" i="65" s="1"/>
  <c r="BQ119" i="65" s="1"/>
  <c r="BJ25" i="65"/>
  <c r="BN25" i="65" s="1"/>
  <c r="BQ25" i="65" s="1"/>
  <c r="BJ19" i="65"/>
  <c r="BN19" i="65" s="1"/>
  <c r="BQ19" i="65" s="1"/>
  <c r="BJ61" i="65"/>
  <c r="BN61" i="65" s="1"/>
  <c r="BQ61" i="65" s="1"/>
  <c r="BJ12" i="65"/>
  <c r="BN12" i="65" s="1"/>
  <c r="BQ12" i="65" s="1"/>
  <c r="BJ59" i="65"/>
  <c r="BN59" i="65" s="1"/>
  <c r="BQ59" i="65" s="1"/>
  <c r="BJ48" i="65"/>
  <c r="BN48" i="65" s="1"/>
  <c r="BQ48" i="65" s="1"/>
  <c r="BJ69" i="65"/>
  <c r="BN69" i="65" s="1"/>
  <c r="BQ69" i="65" s="1"/>
  <c r="BJ71" i="65"/>
  <c r="BN71" i="65" s="1"/>
  <c r="BQ71" i="65" s="1"/>
  <c r="BJ122" i="65"/>
  <c r="BN122" i="65" s="1"/>
  <c r="BQ122" i="65" s="1"/>
  <c r="BJ125" i="65"/>
  <c r="BN125" i="65" s="1"/>
  <c r="BQ125" i="65" s="1"/>
  <c r="BJ53" i="65"/>
  <c r="BN53" i="65" s="1"/>
  <c r="BQ53" i="65" s="1"/>
  <c r="BJ23" i="65"/>
  <c r="BN23" i="65" s="1"/>
  <c r="BQ23" i="65" s="1"/>
  <c r="BJ68" i="65"/>
  <c r="BN68" i="65" s="1"/>
  <c r="BQ68" i="65" s="1"/>
  <c r="BJ5" i="65"/>
  <c r="BN5" i="65" s="1"/>
  <c r="BQ5" i="65" s="1"/>
  <c r="BJ16" i="65"/>
  <c r="BN16" i="65" s="1"/>
  <c r="BQ16" i="65" s="1"/>
  <c r="BJ20" i="65"/>
  <c r="BN20" i="65" s="1"/>
  <c r="BQ20" i="65" s="1"/>
  <c r="BJ116" i="65"/>
  <c r="BN116" i="65" s="1"/>
  <c r="BQ116" i="65" s="1"/>
  <c r="BG131" i="65"/>
  <c r="BD131" i="65"/>
  <c r="BH131" i="65"/>
  <c r="BC131" i="65"/>
  <c r="AT131" i="65"/>
  <c r="BE131" i="65"/>
  <c r="BF131" i="65"/>
  <c r="BJ113" i="65" l="1"/>
  <c r="BJ131" i="65" s="1"/>
  <c r="BN113" i="65" l="1"/>
  <c r="BN131" i="65" s="1"/>
  <c r="BQ113" i="65" l="1"/>
  <c r="BQ131" i="65" s="1"/>
  <c r="EC60" i="59" l="1"/>
  <c r="ED60" i="59" s="1"/>
  <c r="EA60" i="59"/>
  <c r="EB60" i="59" s="1"/>
  <c r="DY60" i="59"/>
  <c r="DZ60" i="59" s="1"/>
  <c r="DW60" i="59"/>
  <c r="DX60" i="59" s="1"/>
  <c r="DU60" i="59"/>
  <c r="DV60" i="59" s="1"/>
  <c r="DS60" i="59"/>
  <c r="DT60" i="59" s="1"/>
  <c r="DQ60" i="59"/>
  <c r="DR60" i="59" s="1"/>
  <c r="DO60" i="59"/>
  <c r="DP60" i="59" s="1"/>
  <c r="DM60" i="59"/>
  <c r="DN60" i="59" s="1"/>
  <c r="DK60" i="59"/>
  <c r="DL60" i="59" s="1"/>
  <c r="DI60" i="59"/>
  <c r="DJ60" i="59" s="1"/>
  <c r="DG60" i="59"/>
  <c r="DH60" i="59" s="1"/>
  <c r="DE60" i="59"/>
  <c r="DF60" i="59" s="1"/>
  <c r="DC60" i="59"/>
  <c r="DD60" i="59" s="1"/>
  <c r="DA60" i="59"/>
  <c r="DB60" i="59" s="1"/>
  <c r="CY60" i="59"/>
  <c r="CZ60" i="59" s="1"/>
  <c r="CW60" i="59"/>
  <c r="CX60" i="59" s="1"/>
  <c r="CU60" i="59"/>
  <c r="CV60" i="59" s="1"/>
  <c r="CS60" i="59"/>
  <c r="CT60" i="59" s="1"/>
  <c r="CQ60" i="59"/>
  <c r="CR60" i="59" s="1"/>
  <c r="CO60" i="59"/>
  <c r="CP60" i="59" s="1"/>
  <c r="CM60" i="59"/>
  <c r="CN60" i="59" s="1"/>
  <c r="CK60" i="59"/>
  <c r="CL60" i="59" s="1"/>
  <c r="CI60" i="59"/>
  <c r="CJ60" i="59" s="1"/>
  <c r="CG60" i="59"/>
  <c r="CH60" i="59" s="1"/>
  <c r="CE60" i="59"/>
  <c r="CF60" i="59" s="1"/>
  <c r="CC60" i="59"/>
  <c r="CD60" i="59" s="1"/>
  <c r="CA60" i="59"/>
  <c r="CB60" i="59" s="1"/>
  <c r="BY60" i="59"/>
  <c r="BZ60" i="59" s="1"/>
  <c r="BW60" i="59"/>
  <c r="BX60" i="59" s="1"/>
  <c r="BU60" i="59"/>
  <c r="BV60" i="59" s="1"/>
  <c r="BS60" i="59"/>
  <c r="BT60" i="59" s="1"/>
  <c r="AY60" i="59"/>
  <c r="AX60" i="59"/>
  <c r="AW60" i="59"/>
  <c r="AV60" i="59"/>
  <c r="EC59" i="59"/>
  <c r="ED59" i="59" s="1"/>
  <c r="EA59" i="59"/>
  <c r="EB59" i="59" s="1"/>
  <c r="DY59" i="59"/>
  <c r="DZ59" i="59" s="1"/>
  <c r="DW59" i="59"/>
  <c r="DX59" i="59" s="1"/>
  <c r="DU59" i="59"/>
  <c r="DV59" i="59" s="1"/>
  <c r="DS59" i="59"/>
  <c r="DT59" i="59" s="1"/>
  <c r="DQ59" i="59"/>
  <c r="DR59" i="59" s="1"/>
  <c r="DO59" i="59"/>
  <c r="DP59" i="59" s="1"/>
  <c r="DM59" i="59"/>
  <c r="DN59" i="59" s="1"/>
  <c r="DK59" i="59"/>
  <c r="DL59" i="59" s="1"/>
  <c r="DI59" i="59"/>
  <c r="DJ59" i="59" s="1"/>
  <c r="DG59" i="59"/>
  <c r="DH59" i="59" s="1"/>
  <c r="DE59" i="59"/>
  <c r="DF59" i="59" s="1"/>
  <c r="DC59" i="59"/>
  <c r="DD59" i="59" s="1"/>
  <c r="DA59" i="59"/>
  <c r="DB59" i="59" s="1"/>
  <c r="CY59" i="59"/>
  <c r="CZ59" i="59" s="1"/>
  <c r="CW59" i="59"/>
  <c r="CX59" i="59" s="1"/>
  <c r="CU59" i="59"/>
  <c r="CV59" i="59" s="1"/>
  <c r="CS59" i="59"/>
  <c r="CT59" i="59" s="1"/>
  <c r="CQ59" i="59"/>
  <c r="CR59" i="59" s="1"/>
  <c r="CO59" i="59"/>
  <c r="CP59" i="59" s="1"/>
  <c r="CM59" i="59"/>
  <c r="CN59" i="59" s="1"/>
  <c r="CK59" i="59"/>
  <c r="CL59" i="59" s="1"/>
  <c r="CI59" i="59"/>
  <c r="CJ59" i="59" s="1"/>
  <c r="CG59" i="59"/>
  <c r="CH59" i="59" s="1"/>
  <c r="CE59" i="59"/>
  <c r="CF59" i="59" s="1"/>
  <c r="CC59" i="59"/>
  <c r="CD59" i="59" s="1"/>
  <c r="CA59" i="59"/>
  <c r="CB59" i="59" s="1"/>
  <c r="BY59" i="59"/>
  <c r="BZ59" i="59" s="1"/>
  <c r="BW59" i="59"/>
  <c r="BX59" i="59" s="1"/>
  <c r="BU59" i="59"/>
  <c r="BV59" i="59" s="1"/>
  <c r="BS59" i="59"/>
  <c r="BT59" i="59" s="1"/>
  <c r="AY59" i="59"/>
  <c r="AX59" i="59"/>
  <c r="AW59" i="59"/>
  <c r="AV59" i="59"/>
  <c r="EC58" i="59"/>
  <c r="ED58" i="59" s="1"/>
  <c r="EA58" i="59"/>
  <c r="EB58" i="59" s="1"/>
  <c r="DY58" i="59"/>
  <c r="DZ58" i="59" s="1"/>
  <c r="DW58" i="59"/>
  <c r="DX58" i="59" s="1"/>
  <c r="DU58" i="59"/>
  <c r="DV58" i="59" s="1"/>
  <c r="DS58" i="59"/>
  <c r="DT58" i="59" s="1"/>
  <c r="DQ58" i="59"/>
  <c r="DR58" i="59" s="1"/>
  <c r="DO58" i="59"/>
  <c r="DP58" i="59" s="1"/>
  <c r="DM58" i="59"/>
  <c r="DN58" i="59" s="1"/>
  <c r="DK58" i="59"/>
  <c r="DL58" i="59" s="1"/>
  <c r="DI58" i="59"/>
  <c r="DJ58" i="59" s="1"/>
  <c r="DG58" i="59"/>
  <c r="DH58" i="59" s="1"/>
  <c r="DE58" i="59"/>
  <c r="DF58" i="59" s="1"/>
  <c r="DC58" i="59"/>
  <c r="DD58" i="59" s="1"/>
  <c r="DA58" i="59"/>
  <c r="DB58" i="59" s="1"/>
  <c r="CY58" i="59"/>
  <c r="CZ58" i="59" s="1"/>
  <c r="CW58" i="59"/>
  <c r="CX58" i="59" s="1"/>
  <c r="CU58" i="59"/>
  <c r="CV58" i="59" s="1"/>
  <c r="CS58" i="59"/>
  <c r="CT58" i="59" s="1"/>
  <c r="CQ58" i="59"/>
  <c r="CR58" i="59" s="1"/>
  <c r="CO58" i="59"/>
  <c r="CP58" i="59" s="1"/>
  <c r="CM58" i="59"/>
  <c r="CN58" i="59" s="1"/>
  <c r="CK58" i="59"/>
  <c r="CL58" i="59" s="1"/>
  <c r="CI58" i="59"/>
  <c r="CJ58" i="59" s="1"/>
  <c r="CG58" i="59"/>
  <c r="CH58" i="59" s="1"/>
  <c r="CE58" i="59"/>
  <c r="CF58" i="59" s="1"/>
  <c r="CC58" i="59"/>
  <c r="CD58" i="59" s="1"/>
  <c r="CA58" i="59"/>
  <c r="CB58" i="59" s="1"/>
  <c r="BY58" i="59"/>
  <c r="BZ58" i="59" s="1"/>
  <c r="BW58" i="59"/>
  <c r="BX58" i="59" s="1"/>
  <c r="BU58" i="59"/>
  <c r="BV58" i="59" s="1"/>
  <c r="BS58" i="59"/>
  <c r="BT58" i="59" s="1"/>
  <c r="AY58" i="59"/>
  <c r="AX58" i="59"/>
  <c r="AW58" i="59"/>
  <c r="AV58" i="59"/>
  <c r="EC99" i="59"/>
  <c r="ED99" i="59" s="1"/>
  <c r="EA99" i="59"/>
  <c r="EB99" i="59" s="1"/>
  <c r="DY99" i="59"/>
  <c r="DZ99" i="59" s="1"/>
  <c r="DW99" i="59"/>
  <c r="DX99" i="59" s="1"/>
  <c r="DU99" i="59"/>
  <c r="DV99" i="59" s="1"/>
  <c r="DS99" i="59"/>
  <c r="DT99" i="59" s="1"/>
  <c r="DQ99" i="59"/>
  <c r="DR99" i="59" s="1"/>
  <c r="DO99" i="59"/>
  <c r="DP99" i="59" s="1"/>
  <c r="DM99" i="59"/>
  <c r="DN99" i="59" s="1"/>
  <c r="DK99" i="59"/>
  <c r="DL99" i="59" s="1"/>
  <c r="DI99" i="59"/>
  <c r="DJ99" i="59" s="1"/>
  <c r="DG99" i="59"/>
  <c r="DH99" i="59" s="1"/>
  <c r="DE99" i="59"/>
  <c r="DF99" i="59" s="1"/>
  <c r="DC99" i="59"/>
  <c r="DD99" i="59" s="1"/>
  <c r="DA99" i="59"/>
  <c r="DB99" i="59" s="1"/>
  <c r="CY99" i="59"/>
  <c r="CZ99" i="59" s="1"/>
  <c r="CW99" i="59"/>
  <c r="CX99" i="59" s="1"/>
  <c r="CU99" i="59"/>
  <c r="CV99" i="59" s="1"/>
  <c r="CS99" i="59"/>
  <c r="CT99" i="59" s="1"/>
  <c r="CQ99" i="59"/>
  <c r="CR99" i="59" s="1"/>
  <c r="CO99" i="59"/>
  <c r="CP99" i="59" s="1"/>
  <c r="CM99" i="59"/>
  <c r="CN99" i="59" s="1"/>
  <c r="CK99" i="59"/>
  <c r="CL99" i="59" s="1"/>
  <c r="CI99" i="59"/>
  <c r="CJ99" i="59" s="1"/>
  <c r="CG99" i="59"/>
  <c r="CH99" i="59" s="1"/>
  <c r="CE99" i="59"/>
  <c r="CF99" i="59" s="1"/>
  <c r="CC99" i="59"/>
  <c r="CD99" i="59" s="1"/>
  <c r="CA99" i="59"/>
  <c r="CB99" i="59" s="1"/>
  <c r="BY99" i="59"/>
  <c r="BZ99" i="59" s="1"/>
  <c r="BW99" i="59"/>
  <c r="BX99" i="59" s="1"/>
  <c r="BU99" i="59"/>
  <c r="BV99" i="59" s="1"/>
  <c r="BS99" i="59"/>
  <c r="BT99" i="59" s="1"/>
  <c r="AY99" i="59"/>
  <c r="AX99" i="59"/>
  <c r="AW99" i="59"/>
  <c r="AV99" i="59"/>
  <c r="EC57" i="59"/>
  <c r="ED57" i="59" s="1"/>
  <c r="EA57" i="59"/>
  <c r="EB57" i="59" s="1"/>
  <c r="DY57" i="59"/>
  <c r="DZ57" i="59" s="1"/>
  <c r="DW57" i="59"/>
  <c r="DX57" i="59" s="1"/>
  <c r="DU57" i="59"/>
  <c r="DV57" i="59" s="1"/>
  <c r="DS57" i="59"/>
  <c r="DT57" i="59" s="1"/>
  <c r="DQ57" i="59"/>
  <c r="DR57" i="59" s="1"/>
  <c r="DO57" i="59"/>
  <c r="DP57" i="59" s="1"/>
  <c r="DM57" i="59"/>
  <c r="DN57" i="59" s="1"/>
  <c r="DK57" i="59"/>
  <c r="DL57" i="59" s="1"/>
  <c r="DI57" i="59"/>
  <c r="DJ57" i="59" s="1"/>
  <c r="DG57" i="59"/>
  <c r="DH57" i="59" s="1"/>
  <c r="DE57" i="59"/>
  <c r="DF57" i="59" s="1"/>
  <c r="DC57" i="59"/>
  <c r="DD57" i="59" s="1"/>
  <c r="DA57" i="59"/>
  <c r="DB57" i="59" s="1"/>
  <c r="CY57" i="59"/>
  <c r="CZ57" i="59" s="1"/>
  <c r="CW57" i="59"/>
  <c r="CX57" i="59" s="1"/>
  <c r="CU57" i="59"/>
  <c r="CV57" i="59" s="1"/>
  <c r="CS57" i="59"/>
  <c r="CT57" i="59" s="1"/>
  <c r="CQ57" i="59"/>
  <c r="CR57" i="59" s="1"/>
  <c r="CO57" i="59"/>
  <c r="CP57" i="59" s="1"/>
  <c r="CM57" i="59"/>
  <c r="CN57" i="59" s="1"/>
  <c r="CK57" i="59"/>
  <c r="CL57" i="59" s="1"/>
  <c r="CI57" i="59"/>
  <c r="CJ57" i="59" s="1"/>
  <c r="CG57" i="59"/>
  <c r="CH57" i="59" s="1"/>
  <c r="CE57" i="59"/>
  <c r="CF57" i="59" s="1"/>
  <c r="CC57" i="59"/>
  <c r="CD57" i="59" s="1"/>
  <c r="CA57" i="59"/>
  <c r="CB57" i="59" s="1"/>
  <c r="BY57" i="59"/>
  <c r="BZ57" i="59" s="1"/>
  <c r="BW57" i="59"/>
  <c r="BX57" i="59" s="1"/>
  <c r="BU57" i="59"/>
  <c r="BV57" i="59" s="1"/>
  <c r="BS57" i="59"/>
  <c r="BT57" i="59" s="1"/>
  <c r="AY57" i="59"/>
  <c r="AX57" i="59"/>
  <c r="AW57" i="59"/>
  <c r="AV57" i="59"/>
  <c r="EC56" i="59"/>
  <c r="ED56" i="59" s="1"/>
  <c r="EA56" i="59"/>
  <c r="EB56" i="59" s="1"/>
  <c r="DY56" i="59"/>
  <c r="DZ56" i="59" s="1"/>
  <c r="DW56" i="59"/>
  <c r="DX56" i="59" s="1"/>
  <c r="DU56" i="59"/>
  <c r="DV56" i="59" s="1"/>
  <c r="DS56" i="59"/>
  <c r="DT56" i="59" s="1"/>
  <c r="DQ56" i="59"/>
  <c r="DR56" i="59" s="1"/>
  <c r="DO56" i="59"/>
  <c r="DP56" i="59" s="1"/>
  <c r="DM56" i="59"/>
  <c r="DN56" i="59" s="1"/>
  <c r="DK56" i="59"/>
  <c r="DL56" i="59" s="1"/>
  <c r="DI56" i="59"/>
  <c r="DJ56" i="59" s="1"/>
  <c r="DG56" i="59"/>
  <c r="DH56" i="59" s="1"/>
  <c r="DE56" i="59"/>
  <c r="DF56" i="59" s="1"/>
  <c r="DC56" i="59"/>
  <c r="DD56" i="59" s="1"/>
  <c r="DA56" i="59"/>
  <c r="DB56" i="59" s="1"/>
  <c r="CY56" i="59"/>
  <c r="CZ56" i="59" s="1"/>
  <c r="CW56" i="59"/>
  <c r="CX56" i="59" s="1"/>
  <c r="CU56" i="59"/>
  <c r="CV56" i="59" s="1"/>
  <c r="CS56" i="59"/>
  <c r="CT56" i="59" s="1"/>
  <c r="CQ56" i="59"/>
  <c r="CR56" i="59" s="1"/>
  <c r="CO56" i="59"/>
  <c r="CP56" i="59" s="1"/>
  <c r="CM56" i="59"/>
  <c r="CN56" i="59" s="1"/>
  <c r="CK56" i="59"/>
  <c r="CL56" i="59" s="1"/>
  <c r="CI56" i="59"/>
  <c r="CJ56" i="59" s="1"/>
  <c r="CG56" i="59"/>
  <c r="CH56" i="59" s="1"/>
  <c r="CE56" i="59"/>
  <c r="CF56" i="59" s="1"/>
  <c r="CC56" i="59"/>
  <c r="CD56" i="59" s="1"/>
  <c r="CA56" i="59"/>
  <c r="CB56" i="59" s="1"/>
  <c r="BY56" i="59"/>
  <c r="BZ56" i="59" s="1"/>
  <c r="BW56" i="59"/>
  <c r="BX56" i="59" s="1"/>
  <c r="BU56" i="59"/>
  <c r="BV56" i="59" s="1"/>
  <c r="BS56" i="59"/>
  <c r="BT56" i="59" s="1"/>
  <c r="AY56" i="59"/>
  <c r="AX56" i="59"/>
  <c r="AW56" i="59"/>
  <c r="AV56" i="59"/>
  <c r="EC55" i="59"/>
  <c r="ED55" i="59" s="1"/>
  <c r="EA55" i="59"/>
  <c r="EB55" i="59" s="1"/>
  <c r="DY55" i="59"/>
  <c r="DZ55" i="59" s="1"/>
  <c r="DW55" i="59"/>
  <c r="DX55" i="59" s="1"/>
  <c r="DU55" i="59"/>
  <c r="DV55" i="59" s="1"/>
  <c r="DS55" i="59"/>
  <c r="DT55" i="59" s="1"/>
  <c r="DQ55" i="59"/>
  <c r="DR55" i="59" s="1"/>
  <c r="DO55" i="59"/>
  <c r="DP55" i="59" s="1"/>
  <c r="DM55" i="59"/>
  <c r="DN55" i="59" s="1"/>
  <c r="DK55" i="59"/>
  <c r="DL55" i="59" s="1"/>
  <c r="DI55" i="59"/>
  <c r="DJ55" i="59" s="1"/>
  <c r="DG55" i="59"/>
  <c r="DH55" i="59" s="1"/>
  <c r="DE55" i="59"/>
  <c r="DF55" i="59" s="1"/>
  <c r="DC55" i="59"/>
  <c r="DD55" i="59" s="1"/>
  <c r="DA55" i="59"/>
  <c r="DB55" i="59" s="1"/>
  <c r="CY55" i="59"/>
  <c r="CZ55" i="59" s="1"/>
  <c r="CW55" i="59"/>
  <c r="CX55" i="59" s="1"/>
  <c r="CU55" i="59"/>
  <c r="CV55" i="59" s="1"/>
  <c r="CS55" i="59"/>
  <c r="CT55" i="59" s="1"/>
  <c r="CQ55" i="59"/>
  <c r="CR55" i="59" s="1"/>
  <c r="CO55" i="59"/>
  <c r="CP55" i="59" s="1"/>
  <c r="CM55" i="59"/>
  <c r="CN55" i="59" s="1"/>
  <c r="CK55" i="59"/>
  <c r="CL55" i="59" s="1"/>
  <c r="CI55" i="59"/>
  <c r="CJ55" i="59" s="1"/>
  <c r="CG55" i="59"/>
  <c r="CH55" i="59" s="1"/>
  <c r="CE55" i="59"/>
  <c r="CF55" i="59" s="1"/>
  <c r="CC55" i="59"/>
  <c r="CD55" i="59" s="1"/>
  <c r="CA55" i="59"/>
  <c r="CB55" i="59" s="1"/>
  <c r="BY55" i="59"/>
  <c r="BZ55" i="59" s="1"/>
  <c r="BW55" i="59"/>
  <c r="BX55" i="59" s="1"/>
  <c r="BU55" i="59"/>
  <c r="BV55" i="59" s="1"/>
  <c r="BS55" i="59"/>
  <c r="BT55" i="59" s="1"/>
  <c r="AY55" i="59"/>
  <c r="AX55" i="59"/>
  <c r="AW55" i="59"/>
  <c r="AV55" i="59"/>
  <c r="EC108" i="59"/>
  <c r="ED108" i="59" s="1"/>
  <c r="EA108" i="59"/>
  <c r="EB108" i="59" s="1"/>
  <c r="DY108" i="59"/>
  <c r="DZ108" i="59" s="1"/>
  <c r="DW108" i="59"/>
  <c r="DX108" i="59" s="1"/>
  <c r="DU108" i="59"/>
  <c r="DV108" i="59" s="1"/>
  <c r="DS108" i="59"/>
  <c r="DT108" i="59" s="1"/>
  <c r="DQ108" i="59"/>
  <c r="DR108" i="59" s="1"/>
  <c r="DO108" i="59"/>
  <c r="DP108" i="59" s="1"/>
  <c r="DM108" i="59"/>
  <c r="DN108" i="59" s="1"/>
  <c r="DK108" i="59"/>
  <c r="DL108" i="59" s="1"/>
  <c r="DI108" i="59"/>
  <c r="DJ108" i="59" s="1"/>
  <c r="DG108" i="59"/>
  <c r="DH108" i="59" s="1"/>
  <c r="DE108" i="59"/>
  <c r="DF108" i="59" s="1"/>
  <c r="DC108" i="59"/>
  <c r="DD108" i="59" s="1"/>
  <c r="DA108" i="59"/>
  <c r="DB108" i="59" s="1"/>
  <c r="CY108" i="59"/>
  <c r="CZ108" i="59" s="1"/>
  <c r="CW108" i="59"/>
  <c r="CX108" i="59" s="1"/>
  <c r="CU108" i="59"/>
  <c r="CV108" i="59" s="1"/>
  <c r="CS108" i="59"/>
  <c r="CT108" i="59" s="1"/>
  <c r="CQ108" i="59"/>
  <c r="CR108" i="59" s="1"/>
  <c r="CO108" i="59"/>
  <c r="CP108" i="59" s="1"/>
  <c r="CM108" i="59"/>
  <c r="CN108" i="59" s="1"/>
  <c r="CK108" i="59"/>
  <c r="CL108" i="59" s="1"/>
  <c r="CI108" i="59"/>
  <c r="CJ108" i="59" s="1"/>
  <c r="CG108" i="59"/>
  <c r="CH108" i="59" s="1"/>
  <c r="CE108" i="59"/>
  <c r="CF108" i="59" s="1"/>
  <c r="CC108" i="59"/>
  <c r="CD108" i="59" s="1"/>
  <c r="CA108" i="59"/>
  <c r="CB108" i="59" s="1"/>
  <c r="BY108" i="59"/>
  <c r="BZ108" i="59" s="1"/>
  <c r="BW108" i="59"/>
  <c r="BX108" i="59" s="1"/>
  <c r="BU108" i="59"/>
  <c r="BV108" i="59" s="1"/>
  <c r="BS108" i="59"/>
  <c r="BT108" i="59" s="1"/>
  <c r="AY108" i="59"/>
  <c r="AX108" i="59"/>
  <c r="AW108" i="59"/>
  <c r="AV108" i="59"/>
  <c r="AH54" i="61"/>
  <c r="AG54" i="61"/>
  <c r="AF54" i="61"/>
  <c r="AH110" i="59"/>
  <c r="AG110" i="59"/>
  <c r="AF110" i="59"/>
  <c r="EC54" i="59"/>
  <c r="ED54" i="59" s="1"/>
  <c r="EA54" i="59"/>
  <c r="EB54" i="59" s="1"/>
  <c r="DY54" i="59"/>
  <c r="DZ54" i="59" s="1"/>
  <c r="DW54" i="59"/>
  <c r="DX54" i="59" s="1"/>
  <c r="DU54" i="59"/>
  <c r="DV54" i="59" s="1"/>
  <c r="DS54" i="59"/>
  <c r="DT54" i="59" s="1"/>
  <c r="DQ54" i="59"/>
  <c r="DR54" i="59" s="1"/>
  <c r="DO54" i="59"/>
  <c r="DP54" i="59" s="1"/>
  <c r="DM54" i="59"/>
  <c r="DN54" i="59" s="1"/>
  <c r="DK54" i="59"/>
  <c r="DL54" i="59" s="1"/>
  <c r="DI54" i="59"/>
  <c r="DJ54" i="59" s="1"/>
  <c r="DG54" i="59"/>
  <c r="DH54" i="59" s="1"/>
  <c r="DE54" i="59"/>
  <c r="DF54" i="59" s="1"/>
  <c r="DC54" i="59"/>
  <c r="DD54" i="59" s="1"/>
  <c r="DA54" i="59"/>
  <c r="DB54" i="59" s="1"/>
  <c r="CY54" i="59"/>
  <c r="CZ54" i="59" s="1"/>
  <c r="CW54" i="59"/>
  <c r="CX54" i="59" s="1"/>
  <c r="CU54" i="59"/>
  <c r="CV54" i="59" s="1"/>
  <c r="CS54" i="59"/>
  <c r="CT54" i="59" s="1"/>
  <c r="CQ54" i="59"/>
  <c r="CR54" i="59" s="1"/>
  <c r="CO54" i="59"/>
  <c r="CP54" i="59" s="1"/>
  <c r="CM54" i="59"/>
  <c r="CN54" i="59" s="1"/>
  <c r="CK54" i="59"/>
  <c r="CL54" i="59" s="1"/>
  <c r="CI54" i="59"/>
  <c r="CJ54" i="59" s="1"/>
  <c r="CG54" i="59"/>
  <c r="CH54" i="59" s="1"/>
  <c r="CE54" i="59"/>
  <c r="CF54" i="59" s="1"/>
  <c r="CC54" i="59"/>
  <c r="CD54" i="59" s="1"/>
  <c r="CA54" i="59"/>
  <c r="CB54" i="59" s="1"/>
  <c r="BY54" i="59"/>
  <c r="BZ54" i="59" s="1"/>
  <c r="BW54" i="59"/>
  <c r="BX54" i="59" s="1"/>
  <c r="BU54" i="59"/>
  <c r="BV54" i="59" s="1"/>
  <c r="BS54" i="59"/>
  <c r="BT54" i="59" s="1"/>
  <c r="AY54" i="59"/>
  <c r="AX54" i="59"/>
  <c r="AW54" i="59"/>
  <c r="AV54" i="59"/>
  <c r="EC53" i="59"/>
  <c r="ED53" i="59" s="1"/>
  <c r="EA53" i="59"/>
  <c r="EB53" i="59" s="1"/>
  <c r="DY53" i="59"/>
  <c r="DZ53" i="59" s="1"/>
  <c r="DW53" i="59"/>
  <c r="DX53" i="59" s="1"/>
  <c r="DU53" i="59"/>
  <c r="DV53" i="59" s="1"/>
  <c r="DS53" i="59"/>
  <c r="DT53" i="59" s="1"/>
  <c r="DQ53" i="59"/>
  <c r="DR53" i="59" s="1"/>
  <c r="DO53" i="59"/>
  <c r="DP53" i="59" s="1"/>
  <c r="DM53" i="59"/>
  <c r="DN53" i="59" s="1"/>
  <c r="DK53" i="59"/>
  <c r="DL53" i="59" s="1"/>
  <c r="DI53" i="59"/>
  <c r="DJ53" i="59" s="1"/>
  <c r="DG53" i="59"/>
  <c r="DH53" i="59" s="1"/>
  <c r="DE53" i="59"/>
  <c r="DF53" i="59" s="1"/>
  <c r="DC53" i="59"/>
  <c r="DD53" i="59" s="1"/>
  <c r="DA53" i="59"/>
  <c r="DB53" i="59" s="1"/>
  <c r="CY53" i="59"/>
  <c r="CZ53" i="59" s="1"/>
  <c r="CW53" i="59"/>
  <c r="CX53" i="59" s="1"/>
  <c r="CU53" i="59"/>
  <c r="CV53" i="59" s="1"/>
  <c r="CS53" i="59"/>
  <c r="CT53" i="59" s="1"/>
  <c r="CQ53" i="59"/>
  <c r="CR53" i="59" s="1"/>
  <c r="CO53" i="59"/>
  <c r="CP53" i="59" s="1"/>
  <c r="CM53" i="59"/>
  <c r="CN53" i="59" s="1"/>
  <c r="CK53" i="59"/>
  <c r="CL53" i="59" s="1"/>
  <c r="CI53" i="59"/>
  <c r="CJ53" i="59" s="1"/>
  <c r="CG53" i="59"/>
  <c r="CH53" i="59" s="1"/>
  <c r="CE53" i="59"/>
  <c r="CF53" i="59" s="1"/>
  <c r="CC53" i="59"/>
  <c r="CD53" i="59" s="1"/>
  <c r="CA53" i="59"/>
  <c r="CB53" i="59" s="1"/>
  <c r="BY53" i="59"/>
  <c r="BZ53" i="59" s="1"/>
  <c r="BW53" i="59"/>
  <c r="BX53" i="59" s="1"/>
  <c r="BU53" i="59"/>
  <c r="BV53" i="59" s="1"/>
  <c r="BS53" i="59"/>
  <c r="BT53" i="59" s="1"/>
  <c r="AY53" i="59"/>
  <c r="AX53" i="59"/>
  <c r="AW53" i="59"/>
  <c r="AV53" i="59"/>
  <c r="EC52" i="59"/>
  <c r="ED52" i="59" s="1"/>
  <c r="EA52" i="59"/>
  <c r="EB52" i="59" s="1"/>
  <c r="DY52" i="59"/>
  <c r="DZ52" i="59" s="1"/>
  <c r="DW52" i="59"/>
  <c r="DX52" i="59" s="1"/>
  <c r="DU52" i="59"/>
  <c r="DV52" i="59" s="1"/>
  <c r="DS52" i="59"/>
  <c r="DT52" i="59" s="1"/>
  <c r="DQ52" i="59"/>
  <c r="DR52" i="59" s="1"/>
  <c r="DO52" i="59"/>
  <c r="DP52" i="59" s="1"/>
  <c r="DM52" i="59"/>
  <c r="DN52" i="59" s="1"/>
  <c r="DK52" i="59"/>
  <c r="DL52" i="59" s="1"/>
  <c r="DI52" i="59"/>
  <c r="DJ52" i="59" s="1"/>
  <c r="DG52" i="59"/>
  <c r="DH52" i="59" s="1"/>
  <c r="DE52" i="59"/>
  <c r="DF52" i="59" s="1"/>
  <c r="DC52" i="59"/>
  <c r="DD52" i="59" s="1"/>
  <c r="DA52" i="59"/>
  <c r="DB52" i="59" s="1"/>
  <c r="CY52" i="59"/>
  <c r="CZ52" i="59" s="1"/>
  <c r="CW52" i="59"/>
  <c r="CX52" i="59" s="1"/>
  <c r="CU52" i="59"/>
  <c r="CV52" i="59" s="1"/>
  <c r="CS52" i="59"/>
  <c r="CT52" i="59" s="1"/>
  <c r="CQ52" i="59"/>
  <c r="CR52" i="59" s="1"/>
  <c r="CO52" i="59"/>
  <c r="CP52" i="59" s="1"/>
  <c r="CM52" i="59"/>
  <c r="CN52" i="59" s="1"/>
  <c r="CK52" i="59"/>
  <c r="CL52" i="59" s="1"/>
  <c r="CI52" i="59"/>
  <c r="CJ52" i="59" s="1"/>
  <c r="CG52" i="59"/>
  <c r="CH52" i="59" s="1"/>
  <c r="CE52" i="59"/>
  <c r="CF52" i="59" s="1"/>
  <c r="CC52" i="59"/>
  <c r="CD52" i="59" s="1"/>
  <c r="CA52" i="59"/>
  <c r="CB52" i="59" s="1"/>
  <c r="BY52" i="59"/>
  <c r="BZ52" i="59" s="1"/>
  <c r="BW52" i="59"/>
  <c r="BX52" i="59" s="1"/>
  <c r="BU52" i="59"/>
  <c r="BV52" i="59" s="1"/>
  <c r="BS52" i="59"/>
  <c r="BT52" i="59" s="1"/>
  <c r="AY52" i="59"/>
  <c r="AX52" i="59"/>
  <c r="AW52" i="59"/>
  <c r="AV52" i="59"/>
  <c r="EC51" i="59"/>
  <c r="ED51" i="59" s="1"/>
  <c r="EA51" i="59"/>
  <c r="EB51" i="59" s="1"/>
  <c r="DY51" i="59"/>
  <c r="DZ51" i="59" s="1"/>
  <c r="DW51" i="59"/>
  <c r="DX51" i="59" s="1"/>
  <c r="DU51" i="59"/>
  <c r="DV51" i="59" s="1"/>
  <c r="DS51" i="59"/>
  <c r="DT51" i="59" s="1"/>
  <c r="DQ51" i="59"/>
  <c r="DR51" i="59" s="1"/>
  <c r="DO51" i="59"/>
  <c r="DP51" i="59" s="1"/>
  <c r="DM51" i="59"/>
  <c r="DN51" i="59" s="1"/>
  <c r="DK51" i="59"/>
  <c r="DL51" i="59" s="1"/>
  <c r="DI51" i="59"/>
  <c r="DJ51" i="59" s="1"/>
  <c r="DG51" i="59"/>
  <c r="DH51" i="59" s="1"/>
  <c r="DE51" i="59"/>
  <c r="DF51" i="59" s="1"/>
  <c r="DC51" i="59"/>
  <c r="DD51" i="59" s="1"/>
  <c r="DA51" i="59"/>
  <c r="DB51" i="59" s="1"/>
  <c r="CY51" i="59"/>
  <c r="CZ51" i="59" s="1"/>
  <c r="CW51" i="59"/>
  <c r="CX51" i="59" s="1"/>
  <c r="CU51" i="59"/>
  <c r="CV51" i="59" s="1"/>
  <c r="CS51" i="59"/>
  <c r="CT51" i="59" s="1"/>
  <c r="CQ51" i="59"/>
  <c r="CR51" i="59" s="1"/>
  <c r="CO51" i="59"/>
  <c r="CP51" i="59" s="1"/>
  <c r="CM51" i="59"/>
  <c r="CN51" i="59" s="1"/>
  <c r="CK51" i="59"/>
  <c r="CL51" i="59" s="1"/>
  <c r="CI51" i="59"/>
  <c r="CJ51" i="59" s="1"/>
  <c r="CG51" i="59"/>
  <c r="CH51" i="59" s="1"/>
  <c r="CE51" i="59"/>
  <c r="CF51" i="59" s="1"/>
  <c r="CC51" i="59"/>
  <c r="CD51" i="59" s="1"/>
  <c r="CA51" i="59"/>
  <c r="CB51" i="59" s="1"/>
  <c r="BY51" i="59"/>
  <c r="BZ51" i="59" s="1"/>
  <c r="BW51" i="59"/>
  <c r="BX51" i="59" s="1"/>
  <c r="BU51" i="59"/>
  <c r="BV51" i="59" s="1"/>
  <c r="BS51" i="59"/>
  <c r="BT51" i="59" s="1"/>
  <c r="AY51" i="59"/>
  <c r="AX51" i="59"/>
  <c r="AW51" i="59"/>
  <c r="AV51" i="59"/>
  <c r="EC50" i="59"/>
  <c r="ED50" i="59" s="1"/>
  <c r="EA50" i="59"/>
  <c r="EB50" i="59" s="1"/>
  <c r="DY50" i="59"/>
  <c r="DZ50" i="59" s="1"/>
  <c r="DW50" i="59"/>
  <c r="DX50" i="59" s="1"/>
  <c r="DU50" i="59"/>
  <c r="DV50" i="59" s="1"/>
  <c r="DS50" i="59"/>
  <c r="DT50" i="59" s="1"/>
  <c r="DQ50" i="59"/>
  <c r="DR50" i="59" s="1"/>
  <c r="DO50" i="59"/>
  <c r="DP50" i="59" s="1"/>
  <c r="DM50" i="59"/>
  <c r="DN50" i="59" s="1"/>
  <c r="DK50" i="59"/>
  <c r="DL50" i="59" s="1"/>
  <c r="DI50" i="59"/>
  <c r="DJ50" i="59" s="1"/>
  <c r="DG50" i="59"/>
  <c r="DH50" i="59" s="1"/>
  <c r="DE50" i="59"/>
  <c r="DF50" i="59" s="1"/>
  <c r="DC50" i="59"/>
  <c r="DD50" i="59" s="1"/>
  <c r="DA50" i="59"/>
  <c r="DB50" i="59" s="1"/>
  <c r="CY50" i="59"/>
  <c r="CZ50" i="59" s="1"/>
  <c r="CW50" i="59"/>
  <c r="CX50" i="59" s="1"/>
  <c r="CU50" i="59"/>
  <c r="CV50" i="59" s="1"/>
  <c r="CS50" i="59"/>
  <c r="CT50" i="59" s="1"/>
  <c r="CQ50" i="59"/>
  <c r="CR50" i="59" s="1"/>
  <c r="CO50" i="59"/>
  <c r="CP50" i="59" s="1"/>
  <c r="CM50" i="59"/>
  <c r="CN50" i="59" s="1"/>
  <c r="CK50" i="59"/>
  <c r="CL50" i="59" s="1"/>
  <c r="CI50" i="59"/>
  <c r="CJ50" i="59" s="1"/>
  <c r="CG50" i="59"/>
  <c r="CH50" i="59" s="1"/>
  <c r="CE50" i="59"/>
  <c r="CF50" i="59" s="1"/>
  <c r="CC50" i="59"/>
  <c r="CD50" i="59" s="1"/>
  <c r="CA50" i="59"/>
  <c r="CB50" i="59" s="1"/>
  <c r="BY50" i="59"/>
  <c r="BZ50" i="59" s="1"/>
  <c r="BW50" i="59"/>
  <c r="BX50" i="59" s="1"/>
  <c r="BU50" i="59"/>
  <c r="BV50" i="59" s="1"/>
  <c r="BS50" i="59"/>
  <c r="BT50" i="59" s="1"/>
  <c r="AY50" i="59"/>
  <c r="AX50" i="59"/>
  <c r="AW50" i="59"/>
  <c r="AV50" i="59"/>
  <c r="EC49" i="59"/>
  <c r="ED49" i="59" s="1"/>
  <c r="EA49" i="59"/>
  <c r="EB49" i="59" s="1"/>
  <c r="DY49" i="59"/>
  <c r="DZ49" i="59" s="1"/>
  <c r="DW49" i="59"/>
  <c r="DX49" i="59" s="1"/>
  <c r="DU49" i="59"/>
  <c r="DV49" i="59" s="1"/>
  <c r="DS49" i="59"/>
  <c r="DT49" i="59" s="1"/>
  <c r="DQ49" i="59"/>
  <c r="DR49" i="59" s="1"/>
  <c r="DO49" i="59"/>
  <c r="DP49" i="59" s="1"/>
  <c r="DM49" i="59"/>
  <c r="DN49" i="59" s="1"/>
  <c r="DK49" i="59"/>
  <c r="DL49" i="59" s="1"/>
  <c r="DI49" i="59"/>
  <c r="DJ49" i="59" s="1"/>
  <c r="DG49" i="59"/>
  <c r="DH49" i="59" s="1"/>
  <c r="DE49" i="59"/>
  <c r="DF49" i="59" s="1"/>
  <c r="DC49" i="59"/>
  <c r="DD49" i="59" s="1"/>
  <c r="DA49" i="59"/>
  <c r="DB49" i="59" s="1"/>
  <c r="CY49" i="59"/>
  <c r="CZ49" i="59" s="1"/>
  <c r="CW49" i="59"/>
  <c r="CX49" i="59" s="1"/>
  <c r="CU49" i="59"/>
  <c r="CV49" i="59" s="1"/>
  <c r="CS49" i="59"/>
  <c r="CT49" i="59" s="1"/>
  <c r="CQ49" i="59"/>
  <c r="CR49" i="59" s="1"/>
  <c r="CO49" i="59"/>
  <c r="CP49" i="59" s="1"/>
  <c r="CM49" i="59"/>
  <c r="CN49" i="59" s="1"/>
  <c r="CK49" i="59"/>
  <c r="CL49" i="59" s="1"/>
  <c r="CI49" i="59"/>
  <c r="CJ49" i="59" s="1"/>
  <c r="CG49" i="59"/>
  <c r="CH49" i="59" s="1"/>
  <c r="CE49" i="59"/>
  <c r="CF49" i="59" s="1"/>
  <c r="CC49" i="59"/>
  <c r="CD49" i="59" s="1"/>
  <c r="CA49" i="59"/>
  <c r="CB49" i="59" s="1"/>
  <c r="BY49" i="59"/>
  <c r="BZ49" i="59" s="1"/>
  <c r="BW49" i="59"/>
  <c r="BX49" i="59" s="1"/>
  <c r="BU49" i="59"/>
  <c r="BV49" i="59" s="1"/>
  <c r="BS49" i="59"/>
  <c r="BT49" i="59" s="1"/>
  <c r="AY49" i="59"/>
  <c r="AX49" i="59"/>
  <c r="AW49" i="59"/>
  <c r="AV49" i="59"/>
  <c r="EC48" i="59"/>
  <c r="ED48" i="59" s="1"/>
  <c r="EA48" i="59"/>
  <c r="EB48" i="59" s="1"/>
  <c r="DY48" i="59"/>
  <c r="DZ48" i="59" s="1"/>
  <c r="DW48" i="59"/>
  <c r="DX48" i="59" s="1"/>
  <c r="DU48" i="59"/>
  <c r="DV48" i="59" s="1"/>
  <c r="DS48" i="59"/>
  <c r="DT48" i="59" s="1"/>
  <c r="DQ48" i="59"/>
  <c r="DR48" i="59" s="1"/>
  <c r="DO48" i="59"/>
  <c r="DP48" i="59" s="1"/>
  <c r="DM48" i="59"/>
  <c r="DN48" i="59" s="1"/>
  <c r="DK48" i="59"/>
  <c r="DL48" i="59" s="1"/>
  <c r="DI48" i="59"/>
  <c r="DJ48" i="59" s="1"/>
  <c r="DG48" i="59"/>
  <c r="DH48" i="59" s="1"/>
  <c r="DE48" i="59"/>
  <c r="DF48" i="59" s="1"/>
  <c r="DC48" i="59"/>
  <c r="DD48" i="59" s="1"/>
  <c r="DA48" i="59"/>
  <c r="DB48" i="59" s="1"/>
  <c r="CY48" i="59"/>
  <c r="CZ48" i="59" s="1"/>
  <c r="CW48" i="59"/>
  <c r="CX48" i="59" s="1"/>
  <c r="CU48" i="59"/>
  <c r="CV48" i="59" s="1"/>
  <c r="CS48" i="59"/>
  <c r="CT48" i="59" s="1"/>
  <c r="CQ48" i="59"/>
  <c r="CR48" i="59" s="1"/>
  <c r="CO48" i="59"/>
  <c r="CP48" i="59" s="1"/>
  <c r="CM48" i="59"/>
  <c r="CN48" i="59" s="1"/>
  <c r="CK48" i="59"/>
  <c r="CL48" i="59" s="1"/>
  <c r="CI48" i="59"/>
  <c r="CJ48" i="59" s="1"/>
  <c r="CG48" i="59"/>
  <c r="CH48" i="59" s="1"/>
  <c r="CE48" i="59"/>
  <c r="CF48" i="59" s="1"/>
  <c r="CC48" i="59"/>
  <c r="CD48" i="59" s="1"/>
  <c r="CA48" i="59"/>
  <c r="CB48" i="59" s="1"/>
  <c r="BY48" i="59"/>
  <c r="BZ48" i="59" s="1"/>
  <c r="BW48" i="59"/>
  <c r="BX48" i="59" s="1"/>
  <c r="BU48" i="59"/>
  <c r="BV48" i="59" s="1"/>
  <c r="BS48" i="59"/>
  <c r="BT48" i="59" s="1"/>
  <c r="AY48" i="59"/>
  <c r="AX48" i="59"/>
  <c r="AW48" i="59"/>
  <c r="AV48" i="59"/>
  <c r="EC47" i="59"/>
  <c r="ED47" i="59" s="1"/>
  <c r="EA47" i="59"/>
  <c r="EB47" i="59" s="1"/>
  <c r="DY47" i="59"/>
  <c r="DZ47" i="59" s="1"/>
  <c r="DW47" i="59"/>
  <c r="DX47" i="59" s="1"/>
  <c r="DU47" i="59"/>
  <c r="DV47" i="59" s="1"/>
  <c r="DS47" i="59"/>
  <c r="DT47" i="59" s="1"/>
  <c r="DQ47" i="59"/>
  <c r="DR47" i="59" s="1"/>
  <c r="DO47" i="59"/>
  <c r="DP47" i="59" s="1"/>
  <c r="DM47" i="59"/>
  <c r="DN47" i="59" s="1"/>
  <c r="DK47" i="59"/>
  <c r="DL47" i="59" s="1"/>
  <c r="DI47" i="59"/>
  <c r="DJ47" i="59" s="1"/>
  <c r="DG47" i="59"/>
  <c r="DH47" i="59" s="1"/>
  <c r="DE47" i="59"/>
  <c r="DF47" i="59" s="1"/>
  <c r="DC47" i="59"/>
  <c r="DD47" i="59" s="1"/>
  <c r="DA47" i="59"/>
  <c r="DB47" i="59" s="1"/>
  <c r="CY47" i="59"/>
  <c r="CZ47" i="59" s="1"/>
  <c r="CW47" i="59"/>
  <c r="CX47" i="59" s="1"/>
  <c r="CU47" i="59"/>
  <c r="CV47" i="59" s="1"/>
  <c r="CS47" i="59"/>
  <c r="CT47" i="59" s="1"/>
  <c r="CQ47" i="59"/>
  <c r="CR47" i="59" s="1"/>
  <c r="CO47" i="59"/>
  <c r="CP47" i="59" s="1"/>
  <c r="CM47" i="59"/>
  <c r="CN47" i="59" s="1"/>
  <c r="CK47" i="59"/>
  <c r="CL47" i="59" s="1"/>
  <c r="CI47" i="59"/>
  <c r="CJ47" i="59" s="1"/>
  <c r="CG47" i="59"/>
  <c r="CH47" i="59" s="1"/>
  <c r="CE47" i="59"/>
  <c r="CF47" i="59" s="1"/>
  <c r="CC47" i="59"/>
  <c r="CD47" i="59" s="1"/>
  <c r="CA47" i="59"/>
  <c r="CB47" i="59" s="1"/>
  <c r="BY47" i="59"/>
  <c r="BZ47" i="59" s="1"/>
  <c r="BW47" i="59"/>
  <c r="BX47" i="59" s="1"/>
  <c r="BU47" i="59"/>
  <c r="BV47" i="59" s="1"/>
  <c r="BS47" i="59"/>
  <c r="BT47" i="59" s="1"/>
  <c r="AY47" i="59"/>
  <c r="AX47" i="59"/>
  <c r="AW47" i="59"/>
  <c r="AV47" i="59"/>
  <c r="AV44" i="59"/>
  <c r="BH108" i="59" l="1"/>
  <c r="BG108" i="59"/>
  <c r="BC108" i="59"/>
  <c r="BD108" i="59"/>
  <c r="BF108" i="59"/>
  <c r="BC51" i="59"/>
  <c r="BD51" i="59"/>
  <c r="BF51" i="59"/>
  <c r="BG51" i="59"/>
  <c r="BH51" i="59"/>
  <c r="BF49" i="59"/>
  <c r="BC49" i="59"/>
  <c r="BD49" i="59"/>
  <c r="BG52" i="59"/>
  <c r="BH52" i="59"/>
  <c r="BG49" i="59"/>
  <c r="BH49" i="59"/>
  <c r="BD56" i="59"/>
  <c r="BF56" i="59"/>
  <c r="BC56" i="59"/>
  <c r="BG58" i="59"/>
  <c r="BH58" i="59"/>
  <c r="BC60" i="59"/>
  <c r="BD60" i="59"/>
  <c r="BF60" i="59"/>
  <c r="BC57" i="59"/>
  <c r="BD57" i="59"/>
  <c r="BF57" i="59"/>
  <c r="BG54" i="59"/>
  <c r="BH54" i="59"/>
  <c r="BH57" i="59"/>
  <c r="BG57" i="59"/>
  <c r="BC53" i="59"/>
  <c r="BD53" i="59"/>
  <c r="BF53" i="59"/>
  <c r="BC50" i="59"/>
  <c r="BD50" i="59"/>
  <c r="BF50" i="59"/>
  <c r="BG53" i="59"/>
  <c r="BH53" i="59"/>
  <c r="BH56" i="59"/>
  <c r="BG56" i="59"/>
  <c r="BC99" i="59"/>
  <c r="BF99" i="59"/>
  <c r="BD99" i="59"/>
  <c r="BG60" i="59"/>
  <c r="BH60" i="59"/>
  <c r="BG47" i="59"/>
  <c r="BH47" i="59"/>
  <c r="BH48" i="59"/>
  <c r="BG48" i="59"/>
  <c r="BC54" i="59"/>
  <c r="BD54" i="59"/>
  <c r="BF54" i="59"/>
  <c r="BG55" i="59"/>
  <c r="BH55" i="59"/>
  <c r="BG59" i="59"/>
  <c r="BH59" i="59"/>
  <c r="BC58" i="59"/>
  <c r="BF58" i="59"/>
  <c r="BD58" i="59"/>
  <c r="BC48" i="59"/>
  <c r="BF48" i="59"/>
  <c r="BD48" i="59"/>
  <c r="BD47" i="59"/>
  <c r="BF47" i="59"/>
  <c r="BC47" i="59"/>
  <c r="BG50" i="59"/>
  <c r="BH50" i="59"/>
  <c r="BC52" i="59"/>
  <c r="BD52" i="59"/>
  <c r="BF52" i="59"/>
  <c r="BF55" i="59"/>
  <c r="BD55" i="59"/>
  <c r="BC55" i="59"/>
  <c r="BG99" i="59"/>
  <c r="BH99" i="59"/>
  <c r="BF59" i="59"/>
  <c r="BC59" i="59"/>
  <c r="BD59" i="59"/>
  <c r="AT57" i="59"/>
  <c r="BE57" i="59" s="1"/>
  <c r="AT49" i="59"/>
  <c r="BE49" i="59" s="1"/>
  <c r="AT52" i="59"/>
  <c r="BE52" i="59" s="1"/>
  <c r="AT51" i="59"/>
  <c r="BE51" i="59" s="1"/>
  <c r="AT54" i="59"/>
  <c r="BE54" i="59" s="1"/>
  <c r="AT55" i="59"/>
  <c r="BE55" i="59" s="1"/>
  <c r="AT99" i="59"/>
  <c r="BE99" i="59" s="1"/>
  <c r="AT59" i="59"/>
  <c r="BE59" i="59" s="1"/>
  <c r="AT58" i="59"/>
  <c r="BE58" i="59" s="1"/>
  <c r="AT47" i="59"/>
  <c r="BE47" i="59" s="1"/>
  <c r="AT50" i="59"/>
  <c r="BE50" i="59" s="1"/>
  <c r="AT60" i="59"/>
  <c r="BE60" i="59" s="1"/>
  <c r="AT56" i="59"/>
  <c r="BE56" i="59" s="1"/>
  <c r="AT48" i="59"/>
  <c r="BE48" i="59" s="1"/>
  <c r="AT53" i="59"/>
  <c r="BE53" i="59" s="1"/>
  <c r="AT108" i="59"/>
  <c r="BE108" i="59" s="1"/>
  <c r="BK55" i="59" l="1"/>
  <c r="BO55" i="59" s="1"/>
  <c r="BR55" i="59" s="1"/>
  <c r="BK54" i="59"/>
  <c r="BO54" i="59" s="1"/>
  <c r="BR54" i="59" s="1"/>
  <c r="BK53" i="59"/>
  <c r="BO53" i="59" s="1"/>
  <c r="BR53" i="59" s="1"/>
  <c r="BK58" i="59"/>
  <c r="BO58" i="59" s="1"/>
  <c r="BR58" i="59" s="1"/>
  <c r="BK48" i="59"/>
  <c r="BO48" i="59" s="1"/>
  <c r="BR48" i="59" s="1"/>
  <c r="BK51" i="59"/>
  <c r="BO51" i="59" s="1"/>
  <c r="BR51" i="59" s="1"/>
  <c r="BK99" i="59"/>
  <c r="BO99" i="59" s="1"/>
  <c r="BR99" i="59" s="1"/>
  <c r="BK59" i="59"/>
  <c r="BO59" i="59" s="1"/>
  <c r="BR59" i="59" s="1"/>
  <c r="BK47" i="59"/>
  <c r="BO47" i="59" s="1"/>
  <c r="BR47" i="59" s="1"/>
  <c r="BK108" i="59"/>
  <c r="BO108" i="59" s="1"/>
  <c r="BR108" i="59" s="1"/>
  <c r="BK60" i="59"/>
  <c r="BO60" i="59" s="1"/>
  <c r="BR60" i="59" s="1"/>
  <c r="BK52" i="59"/>
  <c r="BO52" i="59" s="1"/>
  <c r="BR52" i="59" s="1"/>
  <c r="BK57" i="59"/>
  <c r="BO57" i="59" s="1"/>
  <c r="BR57" i="59" s="1"/>
  <c r="BK56" i="59"/>
  <c r="BO56" i="59" s="1"/>
  <c r="BR56" i="59" s="1"/>
  <c r="BK50" i="59"/>
  <c r="BO50" i="59" s="1"/>
  <c r="BR50" i="59" s="1"/>
  <c r="BK49" i="59"/>
  <c r="BO49" i="59" s="1"/>
  <c r="BR49" i="59" s="1"/>
  <c r="EC106" i="59"/>
  <c r="ED106" i="59" s="1"/>
  <c r="EA106" i="59"/>
  <c r="EB106" i="59" s="1"/>
  <c r="DY106" i="59"/>
  <c r="DZ106" i="59" s="1"/>
  <c r="DW106" i="59"/>
  <c r="DX106" i="59" s="1"/>
  <c r="DU106" i="59"/>
  <c r="DV106" i="59" s="1"/>
  <c r="DS106" i="59"/>
  <c r="DT106" i="59" s="1"/>
  <c r="DQ106" i="59"/>
  <c r="DR106" i="59" s="1"/>
  <c r="DO106" i="59"/>
  <c r="DP106" i="59" s="1"/>
  <c r="DM106" i="59"/>
  <c r="DN106" i="59" s="1"/>
  <c r="DK106" i="59"/>
  <c r="DL106" i="59" s="1"/>
  <c r="DI106" i="59"/>
  <c r="DJ106" i="59" s="1"/>
  <c r="DG106" i="59"/>
  <c r="DH106" i="59" s="1"/>
  <c r="DE106" i="59"/>
  <c r="DF106" i="59" s="1"/>
  <c r="DC106" i="59"/>
  <c r="DD106" i="59" s="1"/>
  <c r="DA106" i="59"/>
  <c r="DB106" i="59" s="1"/>
  <c r="CY106" i="59"/>
  <c r="CZ106" i="59" s="1"/>
  <c r="CW106" i="59"/>
  <c r="CX106" i="59" s="1"/>
  <c r="CU106" i="59"/>
  <c r="CV106" i="59" s="1"/>
  <c r="CS106" i="59"/>
  <c r="CT106" i="59" s="1"/>
  <c r="CQ106" i="59"/>
  <c r="CR106" i="59" s="1"/>
  <c r="CO106" i="59"/>
  <c r="CP106" i="59" s="1"/>
  <c r="CM106" i="59"/>
  <c r="CN106" i="59" s="1"/>
  <c r="CK106" i="59"/>
  <c r="CL106" i="59" s="1"/>
  <c r="CI106" i="59"/>
  <c r="CJ106" i="59" s="1"/>
  <c r="CG106" i="59"/>
  <c r="CH106" i="59" s="1"/>
  <c r="CE106" i="59"/>
  <c r="CF106" i="59" s="1"/>
  <c r="CC106" i="59"/>
  <c r="CD106" i="59" s="1"/>
  <c r="CA106" i="59"/>
  <c r="CB106" i="59" s="1"/>
  <c r="BY106" i="59"/>
  <c r="BZ106" i="59" s="1"/>
  <c r="BW106" i="59"/>
  <c r="BX106" i="59" s="1"/>
  <c r="BU106" i="59"/>
  <c r="BV106" i="59" s="1"/>
  <c r="BS106" i="59"/>
  <c r="BT106" i="59" s="1"/>
  <c r="AY106" i="59"/>
  <c r="AX106" i="59"/>
  <c r="AW106" i="59"/>
  <c r="AV106" i="59"/>
  <c r="AU106" i="59"/>
  <c r="BG106" i="59" l="1"/>
  <c r="BH106" i="59"/>
  <c r="BD106" i="59"/>
  <c r="BC106" i="59"/>
  <c r="BF106" i="59"/>
  <c r="AT106" i="59"/>
  <c r="BE106" i="59" s="1"/>
  <c r="BK106" i="59" l="1"/>
  <c r="BO106" i="59" s="1"/>
  <c r="BR106" i="59" s="1"/>
  <c r="AW103" i="59"/>
  <c r="EC46" i="59"/>
  <c r="ED46" i="59" s="1"/>
  <c r="EA46" i="59"/>
  <c r="EB46" i="59" s="1"/>
  <c r="DY46" i="59"/>
  <c r="DZ46" i="59" s="1"/>
  <c r="DW46" i="59"/>
  <c r="DX46" i="59" s="1"/>
  <c r="DU46" i="59"/>
  <c r="DV46" i="59" s="1"/>
  <c r="DS46" i="59"/>
  <c r="DT46" i="59" s="1"/>
  <c r="DQ46" i="59"/>
  <c r="DR46" i="59" s="1"/>
  <c r="DO46" i="59"/>
  <c r="DP46" i="59" s="1"/>
  <c r="DM46" i="59"/>
  <c r="DN46" i="59" s="1"/>
  <c r="DK46" i="59"/>
  <c r="DL46" i="59" s="1"/>
  <c r="DI46" i="59"/>
  <c r="DJ46" i="59" s="1"/>
  <c r="DG46" i="59"/>
  <c r="DH46" i="59" s="1"/>
  <c r="DE46" i="59"/>
  <c r="DF46" i="59" s="1"/>
  <c r="DC46" i="59"/>
  <c r="DD46" i="59" s="1"/>
  <c r="DA46" i="59"/>
  <c r="DB46" i="59" s="1"/>
  <c r="CY46" i="59"/>
  <c r="CZ46" i="59" s="1"/>
  <c r="CW46" i="59"/>
  <c r="CX46" i="59" s="1"/>
  <c r="CU46" i="59"/>
  <c r="CV46" i="59" s="1"/>
  <c r="CS46" i="59"/>
  <c r="CT46" i="59" s="1"/>
  <c r="CQ46" i="59"/>
  <c r="CR46" i="59" s="1"/>
  <c r="CO46" i="59"/>
  <c r="CP46" i="59" s="1"/>
  <c r="CM46" i="59"/>
  <c r="CN46" i="59" s="1"/>
  <c r="CK46" i="59"/>
  <c r="CL46" i="59" s="1"/>
  <c r="CI46" i="59"/>
  <c r="CJ46" i="59" s="1"/>
  <c r="CG46" i="59"/>
  <c r="CH46" i="59" s="1"/>
  <c r="CE46" i="59"/>
  <c r="CF46" i="59" s="1"/>
  <c r="CC46" i="59"/>
  <c r="CD46" i="59" s="1"/>
  <c r="CA46" i="59"/>
  <c r="CB46" i="59" s="1"/>
  <c r="BY46" i="59"/>
  <c r="BZ46" i="59" s="1"/>
  <c r="BW46" i="59"/>
  <c r="BX46" i="59" s="1"/>
  <c r="BU46" i="59"/>
  <c r="BV46" i="59" s="1"/>
  <c r="BS46" i="59"/>
  <c r="BT46" i="59" s="1"/>
  <c r="AY46" i="59"/>
  <c r="AX46" i="59"/>
  <c r="AW46" i="59"/>
  <c r="AV46" i="59"/>
  <c r="EC45" i="59"/>
  <c r="ED45" i="59" s="1"/>
  <c r="EA45" i="59"/>
  <c r="EB45" i="59" s="1"/>
  <c r="DY45" i="59"/>
  <c r="DZ45" i="59" s="1"/>
  <c r="DW45" i="59"/>
  <c r="DX45" i="59" s="1"/>
  <c r="DU45" i="59"/>
  <c r="DV45" i="59" s="1"/>
  <c r="DS45" i="59"/>
  <c r="DT45" i="59" s="1"/>
  <c r="DQ45" i="59"/>
  <c r="DR45" i="59" s="1"/>
  <c r="DO45" i="59"/>
  <c r="DP45" i="59" s="1"/>
  <c r="DM45" i="59"/>
  <c r="DN45" i="59" s="1"/>
  <c r="DK45" i="59"/>
  <c r="DL45" i="59" s="1"/>
  <c r="DI45" i="59"/>
  <c r="DJ45" i="59" s="1"/>
  <c r="DG45" i="59"/>
  <c r="DH45" i="59" s="1"/>
  <c r="DE45" i="59"/>
  <c r="DF45" i="59" s="1"/>
  <c r="DC45" i="59"/>
  <c r="DD45" i="59" s="1"/>
  <c r="DA45" i="59"/>
  <c r="DB45" i="59" s="1"/>
  <c r="CY45" i="59"/>
  <c r="CZ45" i="59" s="1"/>
  <c r="CW45" i="59"/>
  <c r="CX45" i="59" s="1"/>
  <c r="CU45" i="59"/>
  <c r="CV45" i="59" s="1"/>
  <c r="CS45" i="59"/>
  <c r="CT45" i="59" s="1"/>
  <c r="CQ45" i="59"/>
  <c r="CR45" i="59" s="1"/>
  <c r="CO45" i="59"/>
  <c r="CP45" i="59" s="1"/>
  <c r="CM45" i="59"/>
  <c r="CN45" i="59" s="1"/>
  <c r="CK45" i="59"/>
  <c r="CL45" i="59" s="1"/>
  <c r="CI45" i="59"/>
  <c r="CJ45" i="59" s="1"/>
  <c r="CG45" i="59"/>
  <c r="CH45" i="59" s="1"/>
  <c r="CE45" i="59"/>
  <c r="CF45" i="59" s="1"/>
  <c r="CC45" i="59"/>
  <c r="CD45" i="59" s="1"/>
  <c r="CA45" i="59"/>
  <c r="CB45" i="59" s="1"/>
  <c r="BY45" i="59"/>
  <c r="BZ45" i="59" s="1"/>
  <c r="BW45" i="59"/>
  <c r="BX45" i="59" s="1"/>
  <c r="BU45" i="59"/>
  <c r="BV45" i="59" s="1"/>
  <c r="BS45" i="59"/>
  <c r="BT45" i="59" s="1"/>
  <c r="AY45" i="59"/>
  <c r="AX45" i="59"/>
  <c r="AW45" i="59"/>
  <c r="AV45" i="59"/>
  <c r="EC44" i="59"/>
  <c r="ED44" i="59" s="1"/>
  <c r="EA44" i="59"/>
  <c r="EB44" i="59" s="1"/>
  <c r="DY44" i="59"/>
  <c r="DZ44" i="59" s="1"/>
  <c r="DW44" i="59"/>
  <c r="DX44" i="59" s="1"/>
  <c r="DU44" i="59"/>
  <c r="DV44" i="59" s="1"/>
  <c r="DS44" i="59"/>
  <c r="DT44" i="59" s="1"/>
  <c r="DQ44" i="59"/>
  <c r="DR44" i="59" s="1"/>
  <c r="DO44" i="59"/>
  <c r="DP44" i="59" s="1"/>
  <c r="DM44" i="59"/>
  <c r="DN44" i="59" s="1"/>
  <c r="DK44" i="59"/>
  <c r="DL44" i="59" s="1"/>
  <c r="DI44" i="59"/>
  <c r="DJ44" i="59" s="1"/>
  <c r="DG44" i="59"/>
  <c r="DH44" i="59" s="1"/>
  <c r="DE44" i="59"/>
  <c r="DF44" i="59" s="1"/>
  <c r="DC44" i="59"/>
  <c r="DD44" i="59" s="1"/>
  <c r="DA44" i="59"/>
  <c r="DB44" i="59" s="1"/>
  <c r="CY44" i="59"/>
  <c r="CZ44" i="59" s="1"/>
  <c r="CW44" i="59"/>
  <c r="CX44" i="59" s="1"/>
  <c r="CU44" i="59"/>
  <c r="CV44" i="59" s="1"/>
  <c r="CS44" i="59"/>
  <c r="CT44" i="59" s="1"/>
  <c r="CQ44" i="59"/>
  <c r="CR44" i="59" s="1"/>
  <c r="CO44" i="59"/>
  <c r="CP44" i="59" s="1"/>
  <c r="CM44" i="59"/>
  <c r="CN44" i="59" s="1"/>
  <c r="CK44" i="59"/>
  <c r="CL44" i="59" s="1"/>
  <c r="CI44" i="59"/>
  <c r="CJ44" i="59" s="1"/>
  <c r="CG44" i="59"/>
  <c r="CH44" i="59" s="1"/>
  <c r="CE44" i="59"/>
  <c r="CF44" i="59" s="1"/>
  <c r="CC44" i="59"/>
  <c r="CD44" i="59" s="1"/>
  <c r="CA44" i="59"/>
  <c r="CB44" i="59" s="1"/>
  <c r="BY44" i="59"/>
  <c r="BZ44" i="59" s="1"/>
  <c r="BW44" i="59"/>
  <c r="BX44" i="59" s="1"/>
  <c r="BU44" i="59"/>
  <c r="BV44" i="59" s="1"/>
  <c r="BS44" i="59"/>
  <c r="BT44" i="59" s="1"/>
  <c r="AY44" i="59"/>
  <c r="AX44" i="59"/>
  <c r="AW44" i="59"/>
  <c r="EC43" i="59"/>
  <c r="ED43" i="59" s="1"/>
  <c r="EA43" i="59"/>
  <c r="EB43" i="59" s="1"/>
  <c r="DY43" i="59"/>
  <c r="DZ43" i="59" s="1"/>
  <c r="DW43" i="59"/>
  <c r="DX43" i="59" s="1"/>
  <c r="DU43" i="59"/>
  <c r="DV43" i="59" s="1"/>
  <c r="DS43" i="59"/>
  <c r="DT43" i="59" s="1"/>
  <c r="DQ43" i="59"/>
  <c r="DR43" i="59" s="1"/>
  <c r="DO43" i="59"/>
  <c r="DP43" i="59" s="1"/>
  <c r="DM43" i="59"/>
  <c r="DN43" i="59" s="1"/>
  <c r="DK43" i="59"/>
  <c r="DL43" i="59" s="1"/>
  <c r="DI43" i="59"/>
  <c r="DJ43" i="59" s="1"/>
  <c r="DG43" i="59"/>
  <c r="DH43" i="59" s="1"/>
  <c r="DE43" i="59"/>
  <c r="DF43" i="59" s="1"/>
  <c r="DC43" i="59"/>
  <c r="DD43" i="59" s="1"/>
  <c r="DA43" i="59"/>
  <c r="DB43" i="59" s="1"/>
  <c r="CY43" i="59"/>
  <c r="CZ43" i="59" s="1"/>
  <c r="CW43" i="59"/>
  <c r="CX43" i="59" s="1"/>
  <c r="CU43" i="59"/>
  <c r="CV43" i="59" s="1"/>
  <c r="CS43" i="59"/>
  <c r="CT43" i="59" s="1"/>
  <c r="CQ43" i="59"/>
  <c r="CR43" i="59" s="1"/>
  <c r="CO43" i="59"/>
  <c r="CP43" i="59" s="1"/>
  <c r="CM43" i="59"/>
  <c r="CN43" i="59" s="1"/>
  <c r="CK43" i="59"/>
  <c r="CL43" i="59" s="1"/>
  <c r="CI43" i="59"/>
  <c r="CJ43" i="59" s="1"/>
  <c r="CG43" i="59"/>
  <c r="CH43" i="59" s="1"/>
  <c r="CE43" i="59"/>
  <c r="CF43" i="59" s="1"/>
  <c r="CC43" i="59"/>
  <c r="CD43" i="59" s="1"/>
  <c r="CA43" i="59"/>
  <c r="CB43" i="59" s="1"/>
  <c r="BY43" i="59"/>
  <c r="BZ43" i="59" s="1"/>
  <c r="BW43" i="59"/>
  <c r="BX43" i="59" s="1"/>
  <c r="BU43" i="59"/>
  <c r="BV43" i="59" s="1"/>
  <c r="BS43" i="59"/>
  <c r="BT43" i="59" s="1"/>
  <c r="AY43" i="59"/>
  <c r="AX43" i="59"/>
  <c r="AW43" i="59"/>
  <c r="AV43" i="59"/>
  <c r="EC42" i="59"/>
  <c r="ED42" i="59" s="1"/>
  <c r="EA42" i="59"/>
  <c r="EB42" i="59" s="1"/>
  <c r="DY42" i="59"/>
  <c r="DZ42" i="59" s="1"/>
  <c r="DW42" i="59"/>
  <c r="DX42" i="59" s="1"/>
  <c r="DU42" i="59"/>
  <c r="DV42" i="59" s="1"/>
  <c r="DS42" i="59"/>
  <c r="DT42" i="59" s="1"/>
  <c r="DQ42" i="59"/>
  <c r="DR42" i="59" s="1"/>
  <c r="DO42" i="59"/>
  <c r="DP42" i="59" s="1"/>
  <c r="DM42" i="59"/>
  <c r="DN42" i="59" s="1"/>
  <c r="DK42" i="59"/>
  <c r="DL42" i="59" s="1"/>
  <c r="DI42" i="59"/>
  <c r="DJ42" i="59" s="1"/>
  <c r="DG42" i="59"/>
  <c r="DH42" i="59" s="1"/>
  <c r="DE42" i="59"/>
  <c r="DF42" i="59" s="1"/>
  <c r="DC42" i="59"/>
  <c r="DD42" i="59" s="1"/>
  <c r="DA42" i="59"/>
  <c r="DB42" i="59" s="1"/>
  <c r="CY42" i="59"/>
  <c r="CZ42" i="59" s="1"/>
  <c r="CW42" i="59"/>
  <c r="CX42" i="59" s="1"/>
  <c r="CU42" i="59"/>
  <c r="CV42" i="59" s="1"/>
  <c r="CS42" i="59"/>
  <c r="CT42" i="59" s="1"/>
  <c r="CQ42" i="59"/>
  <c r="CR42" i="59" s="1"/>
  <c r="CO42" i="59"/>
  <c r="CP42" i="59" s="1"/>
  <c r="CM42" i="59"/>
  <c r="CN42" i="59" s="1"/>
  <c r="CK42" i="59"/>
  <c r="CL42" i="59" s="1"/>
  <c r="CI42" i="59"/>
  <c r="CJ42" i="59" s="1"/>
  <c r="CG42" i="59"/>
  <c r="CH42" i="59" s="1"/>
  <c r="CE42" i="59"/>
  <c r="CF42" i="59" s="1"/>
  <c r="CC42" i="59"/>
  <c r="CD42" i="59" s="1"/>
  <c r="CA42" i="59"/>
  <c r="CB42" i="59" s="1"/>
  <c r="BY42" i="59"/>
  <c r="BZ42" i="59" s="1"/>
  <c r="BW42" i="59"/>
  <c r="BX42" i="59" s="1"/>
  <c r="BU42" i="59"/>
  <c r="BV42" i="59" s="1"/>
  <c r="BS42" i="59"/>
  <c r="BT42" i="59" s="1"/>
  <c r="AY42" i="59"/>
  <c r="AX42" i="59"/>
  <c r="AW42" i="59"/>
  <c r="AV42" i="59"/>
  <c r="AZ88" i="59"/>
  <c r="BF103" i="59" l="1"/>
  <c r="BD103" i="59"/>
  <c r="BC103" i="59"/>
  <c r="BC46" i="59"/>
  <c r="BD46" i="59"/>
  <c r="BF46" i="59"/>
  <c r="BC43" i="59"/>
  <c r="BD43" i="59"/>
  <c r="BF43" i="59"/>
  <c r="BF42" i="59"/>
  <c r="BC42" i="59"/>
  <c r="BD42" i="59"/>
  <c r="BC45" i="59"/>
  <c r="BD45" i="59"/>
  <c r="BF45" i="59"/>
  <c r="BG42" i="59"/>
  <c r="BH42" i="59"/>
  <c r="BG44" i="59"/>
  <c r="BH44" i="59"/>
  <c r="BG46" i="59"/>
  <c r="BH46" i="59"/>
  <c r="BF44" i="59"/>
  <c r="BC44" i="59"/>
  <c r="BD44" i="59"/>
  <c r="BH43" i="59"/>
  <c r="BG43" i="59"/>
  <c r="BG45" i="59"/>
  <c r="BH45" i="59"/>
  <c r="AT42" i="59"/>
  <c r="BE42" i="59" s="1"/>
  <c r="AT45" i="59"/>
  <c r="BE45" i="59" s="1"/>
  <c r="AT44" i="59"/>
  <c r="BE44" i="59" s="1"/>
  <c r="AT43" i="59"/>
  <c r="BE43" i="59" s="1"/>
  <c r="AT46" i="59"/>
  <c r="BE46" i="59" s="1"/>
  <c r="BK44" i="59" l="1"/>
  <c r="BO44" i="59" s="1"/>
  <c r="BR44" i="59" s="1"/>
  <c r="BK46" i="59"/>
  <c r="BO46" i="59" s="1"/>
  <c r="BR46" i="59" s="1"/>
  <c r="BK43" i="59"/>
  <c r="BO43" i="59" s="1"/>
  <c r="BR43" i="59" s="1"/>
  <c r="BK45" i="59"/>
  <c r="BO45" i="59" s="1"/>
  <c r="BR45" i="59" s="1"/>
  <c r="BK42" i="59"/>
  <c r="BO42" i="59" s="1"/>
  <c r="BR42" i="59" s="1"/>
  <c r="EC39" i="59"/>
  <c r="ED39" i="59" s="1"/>
  <c r="EA39" i="59"/>
  <c r="EB39" i="59" s="1"/>
  <c r="DY39" i="59"/>
  <c r="DZ39" i="59" s="1"/>
  <c r="DW39" i="59"/>
  <c r="DX39" i="59" s="1"/>
  <c r="DU39" i="59"/>
  <c r="DV39" i="59" s="1"/>
  <c r="DS39" i="59"/>
  <c r="DT39" i="59" s="1"/>
  <c r="DQ39" i="59"/>
  <c r="DR39" i="59" s="1"/>
  <c r="DO39" i="59"/>
  <c r="DP39" i="59" s="1"/>
  <c r="DM39" i="59"/>
  <c r="DN39" i="59" s="1"/>
  <c r="DK39" i="59"/>
  <c r="DL39" i="59" s="1"/>
  <c r="DI39" i="59"/>
  <c r="DJ39" i="59" s="1"/>
  <c r="DG39" i="59"/>
  <c r="DH39" i="59" s="1"/>
  <c r="DE39" i="59"/>
  <c r="DF39" i="59" s="1"/>
  <c r="DC39" i="59"/>
  <c r="DD39" i="59" s="1"/>
  <c r="DA39" i="59"/>
  <c r="DB39" i="59" s="1"/>
  <c r="CY39" i="59"/>
  <c r="CZ39" i="59" s="1"/>
  <c r="CW39" i="59"/>
  <c r="CX39" i="59" s="1"/>
  <c r="CU39" i="59"/>
  <c r="CV39" i="59" s="1"/>
  <c r="CS39" i="59"/>
  <c r="CT39" i="59" s="1"/>
  <c r="CQ39" i="59"/>
  <c r="CR39" i="59" s="1"/>
  <c r="CO39" i="59"/>
  <c r="CP39" i="59" s="1"/>
  <c r="CM39" i="59"/>
  <c r="CN39" i="59" s="1"/>
  <c r="CK39" i="59"/>
  <c r="CL39" i="59" s="1"/>
  <c r="CI39" i="59"/>
  <c r="CJ39" i="59" s="1"/>
  <c r="CG39" i="59"/>
  <c r="CH39" i="59" s="1"/>
  <c r="CE39" i="59"/>
  <c r="CF39" i="59" s="1"/>
  <c r="CC39" i="59"/>
  <c r="CD39" i="59" s="1"/>
  <c r="CA39" i="59"/>
  <c r="CB39" i="59" s="1"/>
  <c r="BY39" i="59"/>
  <c r="BZ39" i="59" s="1"/>
  <c r="BW39" i="59"/>
  <c r="BX39" i="59" s="1"/>
  <c r="BU39" i="59"/>
  <c r="BV39" i="59" s="1"/>
  <c r="BS39" i="59"/>
  <c r="BT39" i="59" s="1"/>
  <c r="AY39" i="59"/>
  <c r="AX39" i="59"/>
  <c r="AW39" i="59"/>
  <c r="AV39" i="59"/>
  <c r="EC38" i="59"/>
  <c r="ED38" i="59" s="1"/>
  <c r="EA38" i="59"/>
  <c r="EB38" i="59" s="1"/>
  <c r="DY38" i="59"/>
  <c r="DZ38" i="59" s="1"/>
  <c r="DW38" i="59"/>
  <c r="DX38" i="59" s="1"/>
  <c r="DU38" i="59"/>
  <c r="DV38" i="59" s="1"/>
  <c r="DS38" i="59"/>
  <c r="DT38" i="59" s="1"/>
  <c r="DQ38" i="59"/>
  <c r="DR38" i="59" s="1"/>
  <c r="DO38" i="59"/>
  <c r="DP38" i="59" s="1"/>
  <c r="DM38" i="59"/>
  <c r="DN38" i="59" s="1"/>
  <c r="DK38" i="59"/>
  <c r="DL38" i="59" s="1"/>
  <c r="DI38" i="59"/>
  <c r="DJ38" i="59" s="1"/>
  <c r="DG38" i="59"/>
  <c r="DH38" i="59" s="1"/>
  <c r="DE38" i="59"/>
  <c r="DF38" i="59" s="1"/>
  <c r="DC38" i="59"/>
  <c r="DD38" i="59" s="1"/>
  <c r="DA38" i="59"/>
  <c r="DB38" i="59" s="1"/>
  <c r="CY38" i="59"/>
  <c r="CZ38" i="59" s="1"/>
  <c r="CW38" i="59"/>
  <c r="CX38" i="59" s="1"/>
  <c r="CU38" i="59"/>
  <c r="CV38" i="59" s="1"/>
  <c r="CS38" i="59"/>
  <c r="CT38" i="59" s="1"/>
  <c r="CQ38" i="59"/>
  <c r="CR38" i="59" s="1"/>
  <c r="CO38" i="59"/>
  <c r="CP38" i="59" s="1"/>
  <c r="CM38" i="59"/>
  <c r="CN38" i="59" s="1"/>
  <c r="CK38" i="59"/>
  <c r="CL38" i="59" s="1"/>
  <c r="CI38" i="59"/>
  <c r="CJ38" i="59" s="1"/>
  <c r="CG38" i="59"/>
  <c r="CH38" i="59" s="1"/>
  <c r="CE38" i="59"/>
  <c r="CF38" i="59" s="1"/>
  <c r="CC38" i="59"/>
  <c r="CD38" i="59" s="1"/>
  <c r="CA38" i="59"/>
  <c r="CB38" i="59" s="1"/>
  <c r="BY38" i="59"/>
  <c r="BZ38" i="59" s="1"/>
  <c r="BW38" i="59"/>
  <c r="BX38" i="59" s="1"/>
  <c r="BU38" i="59"/>
  <c r="BV38" i="59" s="1"/>
  <c r="BS38" i="59"/>
  <c r="BT38" i="59" s="1"/>
  <c r="AY38" i="59"/>
  <c r="AX38" i="59"/>
  <c r="AW38" i="59"/>
  <c r="AV38" i="59"/>
  <c r="EC40" i="59"/>
  <c r="ED40" i="59" s="1"/>
  <c r="EA40" i="59"/>
  <c r="EB40" i="59" s="1"/>
  <c r="DY40" i="59"/>
  <c r="DZ40" i="59" s="1"/>
  <c r="DW40" i="59"/>
  <c r="DX40" i="59" s="1"/>
  <c r="DU40" i="59"/>
  <c r="DV40" i="59" s="1"/>
  <c r="DS40" i="59"/>
  <c r="DT40" i="59" s="1"/>
  <c r="DQ40" i="59"/>
  <c r="DR40" i="59" s="1"/>
  <c r="DO40" i="59"/>
  <c r="DP40" i="59" s="1"/>
  <c r="DM40" i="59"/>
  <c r="DN40" i="59" s="1"/>
  <c r="DK40" i="59"/>
  <c r="DL40" i="59" s="1"/>
  <c r="DI40" i="59"/>
  <c r="DJ40" i="59" s="1"/>
  <c r="DG40" i="59"/>
  <c r="DH40" i="59" s="1"/>
  <c r="DE40" i="59"/>
  <c r="DF40" i="59" s="1"/>
  <c r="DC40" i="59"/>
  <c r="DD40" i="59" s="1"/>
  <c r="DA40" i="59"/>
  <c r="DB40" i="59" s="1"/>
  <c r="CY40" i="59"/>
  <c r="CZ40" i="59" s="1"/>
  <c r="CW40" i="59"/>
  <c r="CX40" i="59" s="1"/>
  <c r="CU40" i="59"/>
  <c r="CV40" i="59" s="1"/>
  <c r="CS40" i="59"/>
  <c r="CT40" i="59" s="1"/>
  <c r="CQ40" i="59"/>
  <c r="CR40" i="59" s="1"/>
  <c r="CO40" i="59"/>
  <c r="CP40" i="59" s="1"/>
  <c r="CM40" i="59"/>
  <c r="CN40" i="59" s="1"/>
  <c r="CK40" i="59"/>
  <c r="CL40" i="59" s="1"/>
  <c r="CI40" i="59"/>
  <c r="CJ40" i="59" s="1"/>
  <c r="CG40" i="59"/>
  <c r="CH40" i="59" s="1"/>
  <c r="CE40" i="59"/>
  <c r="CF40" i="59" s="1"/>
  <c r="CC40" i="59"/>
  <c r="CD40" i="59" s="1"/>
  <c r="CA40" i="59"/>
  <c r="CB40" i="59" s="1"/>
  <c r="BY40" i="59"/>
  <c r="BZ40" i="59" s="1"/>
  <c r="BW40" i="59"/>
  <c r="BX40" i="59" s="1"/>
  <c r="BU40" i="59"/>
  <c r="BV40" i="59" s="1"/>
  <c r="BS40" i="59"/>
  <c r="BT40" i="59" s="1"/>
  <c r="AY40" i="59"/>
  <c r="AX40" i="59"/>
  <c r="AW40" i="59"/>
  <c r="AV40" i="59"/>
  <c r="EC41" i="59"/>
  <c r="ED41" i="59" s="1"/>
  <c r="EA41" i="59"/>
  <c r="EB41" i="59" s="1"/>
  <c r="DY41" i="59"/>
  <c r="DZ41" i="59" s="1"/>
  <c r="DW41" i="59"/>
  <c r="DX41" i="59" s="1"/>
  <c r="DU41" i="59"/>
  <c r="DV41" i="59" s="1"/>
  <c r="DS41" i="59"/>
  <c r="DT41" i="59" s="1"/>
  <c r="DQ41" i="59"/>
  <c r="DR41" i="59" s="1"/>
  <c r="DO41" i="59"/>
  <c r="DP41" i="59" s="1"/>
  <c r="DM41" i="59"/>
  <c r="DN41" i="59" s="1"/>
  <c r="DK41" i="59"/>
  <c r="DL41" i="59" s="1"/>
  <c r="DI41" i="59"/>
  <c r="DJ41" i="59" s="1"/>
  <c r="DG41" i="59"/>
  <c r="DH41" i="59" s="1"/>
  <c r="DE41" i="59"/>
  <c r="DF41" i="59" s="1"/>
  <c r="DC41" i="59"/>
  <c r="DD41" i="59" s="1"/>
  <c r="DA41" i="59"/>
  <c r="DB41" i="59" s="1"/>
  <c r="CY41" i="59"/>
  <c r="CZ41" i="59" s="1"/>
  <c r="CW41" i="59"/>
  <c r="CX41" i="59" s="1"/>
  <c r="CU41" i="59"/>
  <c r="CV41" i="59" s="1"/>
  <c r="CS41" i="59"/>
  <c r="CT41" i="59" s="1"/>
  <c r="CQ41" i="59"/>
  <c r="CR41" i="59" s="1"/>
  <c r="CO41" i="59"/>
  <c r="CP41" i="59" s="1"/>
  <c r="CM41" i="59"/>
  <c r="CN41" i="59" s="1"/>
  <c r="CK41" i="59"/>
  <c r="CL41" i="59" s="1"/>
  <c r="CI41" i="59"/>
  <c r="CJ41" i="59" s="1"/>
  <c r="CG41" i="59"/>
  <c r="CH41" i="59" s="1"/>
  <c r="CE41" i="59"/>
  <c r="CF41" i="59" s="1"/>
  <c r="CC41" i="59"/>
  <c r="CD41" i="59" s="1"/>
  <c r="CA41" i="59"/>
  <c r="CB41" i="59" s="1"/>
  <c r="BY41" i="59"/>
  <c r="BZ41" i="59" s="1"/>
  <c r="BW41" i="59"/>
  <c r="BX41" i="59" s="1"/>
  <c r="BU41" i="59"/>
  <c r="BV41" i="59" s="1"/>
  <c r="BS41" i="59"/>
  <c r="BT41" i="59" s="1"/>
  <c r="AY41" i="59"/>
  <c r="AX41" i="59"/>
  <c r="AW41" i="59"/>
  <c r="AV41" i="59"/>
  <c r="EC107" i="59"/>
  <c r="ED107" i="59" s="1"/>
  <c r="EA107" i="59"/>
  <c r="EB107" i="59" s="1"/>
  <c r="DY107" i="59"/>
  <c r="DZ107" i="59" s="1"/>
  <c r="DW107" i="59"/>
  <c r="DX107" i="59" s="1"/>
  <c r="DU107" i="59"/>
  <c r="DV107" i="59" s="1"/>
  <c r="DS107" i="59"/>
  <c r="DT107" i="59" s="1"/>
  <c r="DQ107" i="59"/>
  <c r="DR107" i="59" s="1"/>
  <c r="DO107" i="59"/>
  <c r="DP107" i="59" s="1"/>
  <c r="DM107" i="59"/>
  <c r="DN107" i="59" s="1"/>
  <c r="DK107" i="59"/>
  <c r="DL107" i="59" s="1"/>
  <c r="DI107" i="59"/>
  <c r="DJ107" i="59" s="1"/>
  <c r="DG107" i="59"/>
  <c r="DH107" i="59" s="1"/>
  <c r="DE107" i="59"/>
  <c r="DF107" i="59" s="1"/>
  <c r="DC107" i="59"/>
  <c r="DD107" i="59" s="1"/>
  <c r="DA107" i="59"/>
  <c r="DB107" i="59" s="1"/>
  <c r="CY107" i="59"/>
  <c r="CZ107" i="59" s="1"/>
  <c r="CW107" i="59"/>
  <c r="CX107" i="59" s="1"/>
  <c r="CU107" i="59"/>
  <c r="CV107" i="59" s="1"/>
  <c r="CS107" i="59"/>
  <c r="CT107" i="59" s="1"/>
  <c r="CQ107" i="59"/>
  <c r="CR107" i="59" s="1"/>
  <c r="CO107" i="59"/>
  <c r="CP107" i="59" s="1"/>
  <c r="CM107" i="59"/>
  <c r="CN107" i="59" s="1"/>
  <c r="CK107" i="59"/>
  <c r="CL107" i="59" s="1"/>
  <c r="CI107" i="59"/>
  <c r="CJ107" i="59" s="1"/>
  <c r="CG107" i="59"/>
  <c r="CH107" i="59" s="1"/>
  <c r="CE107" i="59"/>
  <c r="CF107" i="59" s="1"/>
  <c r="CC107" i="59"/>
  <c r="CD107" i="59" s="1"/>
  <c r="CA107" i="59"/>
  <c r="CB107" i="59" s="1"/>
  <c r="BY107" i="59"/>
  <c r="BZ107" i="59" s="1"/>
  <c r="BW107" i="59"/>
  <c r="BX107" i="59" s="1"/>
  <c r="BU107" i="59"/>
  <c r="BV107" i="59" s="1"/>
  <c r="BS107" i="59"/>
  <c r="BT107" i="59" s="1"/>
  <c r="AY107" i="59"/>
  <c r="AX107" i="59"/>
  <c r="AW107" i="59"/>
  <c r="AV107" i="59"/>
  <c r="BD107" i="59" l="1"/>
  <c r="BF107" i="59"/>
  <c r="BC107" i="59"/>
  <c r="BH107" i="59"/>
  <c r="BG107" i="59"/>
  <c r="BC38" i="59"/>
  <c r="BD38" i="59"/>
  <c r="BF38" i="59"/>
  <c r="BG38" i="59"/>
  <c r="BH38" i="59"/>
  <c r="BG40" i="59"/>
  <c r="BH40" i="59"/>
  <c r="BH41" i="59"/>
  <c r="BG41" i="59"/>
  <c r="BF39" i="59"/>
  <c r="BD39" i="59"/>
  <c r="BC39" i="59"/>
  <c r="BC41" i="59"/>
  <c r="BD41" i="59"/>
  <c r="BF41" i="59"/>
  <c r="BG39" i="59"/>
  <c r="BH39" i="59"/>
  <c r="BD40" i="59"/>
  <c r="BC40" i="59"/>
  <c r="BF40" i="59"/>
  <c r="AT107" i="59"/>
  <c r="BE107" i="59" s="1"/>
  <c r="AT38" i="59"/>
  <c r="BE38" i="59" s="1"/>
  <c r="AT40" i="59"/>
  <c r="BE40" i="59" s="1"/>
  <c r="AT39" i="59"/>
  <c r="BE39" i="59" s="1"/>
  <c r="AT41" i="59"/>
  <c r="BE41" i="59" s="1"/>
  <c r="AA110" i="59"/>
  <c r="AK5" i="61"/>
  <c r="AK26" i="61"/>
  <c r="AK6" i="61"/>
  <c r="AK27" i="61"/>
  <c r="AK31" i="61"/>
  <c r="AK28" i="61"/>
  <c r="AK7" i="61"/>
  <c r="AK8" i="61"/>
  <c r="AK29" i="61"/>
  <c r="AK9" i="61"/>
  <c r="AK10" i="61"/>
  <c r="AK32" i="61"/>
  <c r="AK11" i="61"/>
  <c r="AK12" i="61"/>
  <c r="AK33" i="61"/>
  <c r="AK13" i="61"/>
  <c r="AK14" i="61"/>
  <c r="AK34" i="61"/>
  <c r="AK35" i="61"/>
  <c r="AK15" i="61"/>
  <c r="AK16" i="61"/>
  <c r="AK17" i="61"/>
  <c r="AK18" i="61"/>
  <c r="AK19" i="61"/>
  <c r="AK20" i="61"/>
  <c r="AK36" i="61"/>
  <c r="AK37" i="61"/>
  <c r="AK21" i="61"/>
  <c r="AK38" i="61"/>
  <c r="AK22" i="61"/>
  <c r="AK23" i="61"/>
  <c r="AK24" i="61"/>
  <c r="AK25" i="61"/>
  <c r="AK39" i="61"/>
  <c r="AK40" i="61"/>
  <c r="AK41" i="61"/>
  <c r="AK42" i="61"/>
  <c r="AK43" i="61"/>
  <c r="AK44" i="61"/>
  <c r="AK45" i="61"/>
  <c r="AK46" i="61"/>
  <c r="AK47" i="61"/>
  <c r="AK48" i="61"/>
  <c r="AK49" i="61"/>
  <c r="AK50" i="61"/>
  <c r="AK51" i="61"/>
  <c r="AK52" i="61"/>
  <c r="AK4" i="61"/>
  <c r="BK41" i="59" l="1"/>
  <c r="BO41" i="59" s="1"/>
  <c r="BR41" i="59" s="1"/>
  <c r="BK39" i="59"/>
  <c r="BO39" i="59" s="1"/>
  <c r="BR39" i="59" s="1"/>
  <c r="BK107" i="59"/>
  <c r="BO107" i="59" s="1"/>
  <c r="BR107" i="59" s="1"/>
  <c r="BK38" i="59"/>
  <c r="BO38" i="59" s="1"/>
  <c r="BR38" i="59" s="1"/>
  <c r="BK40" i="59"/>
  <c r="BO40" i="59" s="1"/>
  <c r="BR40" i="59" s="1"/>
  <c r="EC37" i="59"/>
  <c r="ED37" i="59" s="1"/>
  <c r="EA37" i="59"/>
  <c r="EB37" i="59" s="1"/>
  <c r="DY37" i="59"/>
  <c r="DZ37" i="59" s="1"/>
  <c r="DW37" i="59"/>
  <c r="DX37" i="59" s="1"/>
  <c r="DU37" i="59"/>
  <c r="DV37" i="59" s="1"/>
  <c r="DS37" i="59"/>
  <c r="DT37" i="59" s="1"/>
  <c r="DQ37" i="59"/>
  <c r="DR37" i="59" s="1"/>
  <c r="DO37" i="59"/>
  <c r="DP37" i="59" s="1"/>
  <c r="DM37" i="59"/>
  <c r="DN37" i="59" s="1"/>
  <c r="DK37" i="59"/>
  <c r="DL37" i="59" s="1"/>
  <c r="DI37" i="59"/>
  <c r="DJ37" i="59" s="1"/>
  <c r="DG37" i="59"/>
  <c r="DH37" i="59" s="1"/>
  <c r="DE37" i="59"/>
  <c r="DF37" i="59" s="1"/>
  <c r="DC37" i="59"/>
  <c r="DD37" i="59" s="1"/>
  <c r="DA37" i="59"/>
  <c r="DB37" i="59" s="1"/>
  <c r="CY37" i="59"/>
  <c r="CZ37" i="59" s="1"/>
  <c r="CW37" i="59"/>
  <c r="CX37" i="59" s="1"/>
  <c r="CU37" i="59"/>
  <c r="CV37" i="59" s="1"/>
  <c r="CS37" i="59"/>
  <c r="CT37" i="59" s="1"/>
  <c r="CQ37" i="59"/>
  <c r="CR37" i="59" s="1"/>
  <c r="CO37" i="59"/>
  <c r="CP37" i="59" s="1"/>
  <c r="CM37" i="59"/>
  <c r="CN37" i="59" s="1"/>
  <c r="CK37" i="59"/>
  <c r="CL37" i="59" s="1"/>
  <c r="CI37" i="59"/>
  <c r="CJ37" i="59" s="1"/>
  <c r="CG37" i="59"/>
  <c r="CH37" i="59" s="1"/>
  <c r="CE37" i="59"/>
  <c r="CF37" i="59" s="1"/>
  <c r="CC37" i="59"/>
  <c r="CD37" i="59" s="1"/>
  <c r="CA37" i="59"/>
  <c r="CB37" i="59" s="1"/>
  <c r="BY37" i="59"/>
  <c r="BZ37" i="59" s="1"/>
  <c r="BW37" i="59"/>
  <c r="BX37" i="59" s="1"/>
  <c r="BU37" i="59"/>
  <c r="BV37" i="59" s="1"/>
  <c r="BS37" i="59"/>
  <c r="BT37" i="59" s="1"/>
  <c r="AY37" i="59"/>
  <c r="AX37" i="59"/>
  <c r="AW37" i="59"/>
  <c r="AV37" i="59"/>
  <c r="BG37" i="59" l="1"/>
  <c r="BH37" i="59"/>
  <c r="BC37" i="59"/>
  <c r="BF37" i="59"/>
  <c r="BD37" i="59"/>
  <c r="AT37" i="59"/>
  <c r="BE37" i="59" s="1"/>
  <c r="BK37" i="59" l="1"/>
  <c r="BO37" i="59" s="1"/>
  <c r="BR37" i="59" s="1"/>
  <c r="EC36" i="59"/>
  <c r="ED36" i="59" s="1"/>
  <c r="EA36" i="59"/>
  <c r="EB36" i="59" s="1"/>
  <c r="DY36" i="59"/>
  <c r="DZ36" i="59" s="1"/>
  <c r="DW36" i="59"/>
  <c r="DX36" i="59" s="1"/>
  <c r="DU36" i="59"/>
  <c r="DV36" i="59" s="1"/>
  <c r="DS36" i="59"/>
  <c r="DT36" i="59" s="1"/>
  <c r="DQ36" i="59"/>
  <c r="DR36" i="59" s="1"/>
  <c r="DO36" i="59"/>
  <c r="DP36" i="59" s="1"/>
  <c r="DM36" i="59"/>
  <c r="DN36" i="59" s="1"/>
  <c r="DK36" i="59"/>
  <c r="DL36" i="59" s="1"/>
  <c r="DI36" i="59"/>
  <c r="DJ36" i="59" s="1"/>
  <c r="DG36" i="59"/>
  <c r="DH36" i="59" s="1"/>
  <c r="DE36" i="59"/>
  <c r="DF36" i="59" s="1"/>
  <c r="DC36" i="59"/>
  <c r="DD36" i="59" s="1"/>
  <c r="DA36" i="59"/>
  <c r="DB36" i="59" s="1"/>
  <c r="CY36" i="59"/>
  <c r="CZ36" i="59" s="1"/>
  <c r="CW36" i="59"/>
  <c r="CX36" i="59" s="1"/>
  <c r="CU36" i="59"/>
  <c r="CV36" i="59" s="1"/>
  <c r="CS36" i="59"/>
  <c r="CT36" i="59" s="1"/>
  <c r="CQ36" i="59"/>
  <c r="CR36" i="59" s="1"/>
  <c r="CO36" i="59"/>
  <c r="CP36" i="59" s="1"/>
  <c r="CM36" i="59"/>
  <c r="CN36" i="59" s="1"/>
  <c r="CK36" i="59"/>
  <c r="CL36" i="59" s="1"/>
  <c r="CI36" i="59"/>
  <c r="CJ36" i="59" s="1"/>
  <c r="CG36" i="59"/>
  <c r="CH36" i="59" s="1"/>
  <c r="CE36" i="59"/>
  <c r="CF36" i="59" s="1"/>
  <c r="CC36" i="59"/>
  <c r="CD36" i="59" s="1"/>
  <c r="CA36" i="59"/>
  <c r="CB36" i="59" s="1"/>
  <c r="BY36" i="59"/>
  <c r="BZ36" i="59" s="1"/>
  <c r="BW36" i="59"/>
  <c r="BX36" i="59" s="1"/>
  <c r="BU36" i="59"/>
  <c r="BV36" i="59" s="1"/>
  <c r="BS36" i="59"/>
  <c r="BT36" i="59" s="1"/>
  <c r="AY36" i="59"/>
  <c r="AX36" i="59"/>
  <c r="AW36" i="59"/>
  <c r="AV36" i="59"/>
  <c r="AU36" i="59"/>
  <c r="EC35" i="59"/>
  <c r="ED35" i="59" s="1"/>
  <c r="EA35" i="59"/>
  <c r="EB35" i="59" s="1"/>
  <c r="DY35" i="59"/>
  <c r="DZ35" i="59" s="1"/>
  <c r="DW35" i="59"/>
  <c r="DX35" i="59" s="1"/>
  <c r="DU35" i="59"/>
  <c r="DV35" i="59" s="1"/>
  <c r="DS35" i="59"/>
  <c r="DT35" i="59" s="1"/>
  <c r="DQ35" i="59"/>
  <c r="DR35" i="59" s="1"/>
  <c r="DO35" i="59"/>
  <c r="DP35" i="59" s="1"/>
  <c r="DM35" i="59"/>
  <c r="DN35" i="59" s="1"/>
  <c r="DK35" i="59"/>
  <c r="DL35" i="59" s="1"/>
  <c r="DI35" i="59"/>
  <c r="DJ35" i="59" s="1"/>
  <c r="DG35" i="59"/>
  <c r="DH35" i="59" s="1"/>
  <c r="DE35" i="59"/>
  <c r="DF35" i="59" s="1"/>
  <c r="DC35" i="59"/>
  <c r="DD35" i="59" s="1"/>
  <c r="DA35" i="59"/>
  <c r="DB35" i="59" s="1"/>
  <c r="CY35" i="59"/>
  <c r="CZ35" i="59" s="1"/>
  <c r="CW35" i="59"/>
  <c r="CX35" i="59" s="1"/>
  <c r="CU35" i="59"/>
  <c r="CV35" i="59" s="1"/>
  <c r="CS35" i="59"/>
  <c r="CT35" i="59" s="1"/>
  <c r="CQ35" i="59"/>
  <c r="CR35" i="59" s="1"/>
  <c r="CO35" i="59"/>
  <c r="CP35" i="59" s="1"/>
  <c r="CM35" i="59"/>
  <c r="CN35" i="59" s="1"/>
  <c r="CK35" i="59"/>
  <c r="CL35" i="59" s="1"/>
  <c r="CI35" i="59"/>
  <c r="CJ35" i="59" s="1"/>
  <c r="CG35" i="59"/>
  <c r="CH35" i="59" s="1"/>
  <c r="CE35" i="59"/>
  <c r="CF35" i="59" s="1"/>
  <c r="CC35" i="59"/>
  <c r="CD35" i="59" s="1"/>
  <c r="CA35" i="59"/>
  <c r="CB35" i="59" s="1"/>
  <c r="BY35" i="59"/>
  <c r="BZ35" i="59" s="1"/>
  <c r="BW35" i="59"/>
  <c r="BX35" i="59" s="1"/>
  <c r="BU35" i="59"/>
  <c r="BV35" i="59" s="1"/>
  <c r="BS35" i="59"/>
  <c r="BT35" i="59" s="1"/>
  <c r="AY35" i="59"/>
  <c r="AX35" i="59"/>
  <c r="AW35" i="59"/>
  <c r="AV35" i="59"/>
  <c r="EC34" i="59"/>
  <c r="ED34" i="59" s="1"/>
  <c r="EA34" i="59"/>
  <c r="EB34" i="59" s="1"/>
  <c r="DY34" i="59"/>
  <c r="DZ34" i="59" s="1"/>
  <c r="DW34" i="59"/>
  <c r="DX34" i="59" s="1"/>
  <c r="DU34" i="59"/>
  <c r="DV34" i="59" s="1"/>
  <c r="DS34" i="59"/>
  <c r="DT34" i="59" s="1"/>
  <c r="DQ34" i="59"/>
  <c r="DR34" i="59" s="1"/>
  <c r="DO34" i="59"/>
  <c r="DP34" i="59" s="1"/>
  <c r="DM34" i="59"/>
  <c r="DN34" i="59" s="1"/>
  <c r="DK34" i="59"/>
  <c r="DL34" i="59" s="1"/>
  <c r="DI34" i="59"/>
  <c r="DJ34" i="59" s="1"/>
  <c r="DG34" i="59"/>
  <c r="DH34" i="59" s="1"/>
  <c r="DE34" i="59"/>
  <c r="DF34" i="59" s="1"/>
  <c r="DC34" i="59"/>
  <c r="DD34" i="59" s="1"/>
  <c r="DA34" i="59"/>
  <c r="DB34" i="59" s="1"/>
  <c r="CY34" i="59"/>
  <c r="CZ34" i="59" s="1"/>
  <c r="CW34" i="59"/>
  <c r="CX34" i="59" s="1"/>
  <c r="CU34" i="59"/>
  <c r="CV34" i="59" s="1"/>
  <c r="CS34" i="59"/>
  <c r="CT34" i="59" s="1"/>
  <c r="CQ34" i="59"/>
  <c r="CR34" i="59" s="1"/>
  <c r="CO34" i="59"/>
  <c r="CP34" i="59" s="1"/>
  <c r="CM34" i="59"/>
  <c r="CN34" i="59" s="1"/>
  <c r="CK34" i="59"/>
  <c r="CL34" i="59" s="1"/>
  <c r="CI34" i="59"/>
  <c r="CJ34" i="59" s="1"/>
  <c r="CG34" i="59"/>
  <c r="CH34" i="59" s="1"/>
  <c r="CE34" i="59"/>
  <c r="CF34" i="59" s="1"/>
  <c r="CC34" i="59"/>
  <c r="CD34" i="59" s="1"/>
  <c r="CA34" i="59"/>
  <c r="CB34" i="59" s="1"/>
  <c r="BY34" i="59"/>
  <c r="BZ34" i="59" s="1"/>
  <c r="BW34" i="59"/>
  <c r="BX34" i="59" s="1"/>
  <c r="BU34" i="59"/>
  <c r="BV34" i="59" s="1"/>
  <c r="BS34" i="59"/>
  <c r="BT34" i="59" s="1"/>
  <c r="AY34" i="59"/>
  <c r="AX34" i="59"/>
  <c r="AW34" i="59"/>
  <c r="AV34" i="59"/>
  <c r="EC33" i="59"/>
  <c r="ED33" i="59" s="1"/>
  <c r="EA33" i="59"/>
  <c r="EB33" i="59" s="1"/>
  <c r="DY33" i="59"/>
  <c r="DZ33" i="59" s="1"/>
  <c r="DW33" i="59"/>
  <c r="DX33" i="59" s="1"/>
  <c r="DU33" i="59"/>
  <c r="DV33" i="59" s="1"/>
  <c r="DS33" i="59"/>
  <c r="DT33" i="59" s="1"/>
  <c r="DQ33" i="59"/>
  <c r="DR33" i="59" s="1"/>
  <c r="DO33" i="59"/>
  <c r="DP33" i="59" s="1"/>
  <c r="DM33" i="59"/>
  <c r="DN33" i="59" s="1"/>
  <c r="DK33" i="59"/>
  <c r="DL33" i="59" s="1"/>
  <c r="DI33" i="59"/>
  <c r="DJ33" i="59" s="1"/>
  <c r="DG33" i="59"/>
  <c r="DH33" i="59" s="1"/>
  <c r="DE33" i="59"/>
  <c r="DF33" i="59" s="1"/>
  <c r="DC33" i="59"/>
  <c r="DD33" i="59" s="1"/>
  <c r="DA33" i="59"/>
  <c r="DB33" i="59" s="1"/>
  <c r="CY33" i="59"/>
  <c r="CZ33" i="59" s="1"/>
  <c r="CW33" i="59"/>
  <c r="CX33" i="59" s="1"/>
  <c r="CU33" i="59"/>
  <c r="CV33" i="59" s="1"/>
  <c r="CS33" i="59"/>
  <c r="CT33" i="59" s="1"/>
  <c r="CQ33" i="59"/>
  <c r="CR33" i="59" s="1"/>
  <c r="CO33" i="59"/>
  <c r="CP33" i="59" s="1"/>
  <c r="CM33" i="59"/>
  <c r="CN33" i="59" s="1"/>
  <c r="CK33" i="59"/>
  <c r="CL33" i="59" s="1"/>
  <c r="CI33" i="59"/>
  <c r="CJ33" i="59" s="1"/>
  <c r="CG33" i="59"/>
  <c r="CH33" i="59" s="1"/>
  <c r="CE33" i="59"/>
  <c r="CF33" i="59" s="1"/>
  <c r="CC33" i="59"/>
  <c r="CD33" i="59" s="1"/>
  <c r="CA33" i="59"/>
  <c r="CB33" i="59" s="1"/>
  <c r="BY33" i="59"/>
  <c r="BZ33" i="59" s="1"/>
  <c r="BW33" i="59"/>
  <c r="BX33" i="59" s="1"/>
  <c r="BU33" i="59"/>
  <c r="BV33" i="59" s="1"/>
  <c r="BS33" i="59"/>
  <c r="BT33" i="59" s="1"/>
  <c r="AY33" i="59"/>
  <c r="AX33" i="59"/>
  <c r="AW33" i="59"/>
  <c r="AV33" i="59"/>
  <c r="BF34" i="59" l="1"/>
  <c r="BD34" i="59"/>
  <c r="BC34" i="59"/>
  <c r="BG34" i="59"/>
  <c r="BH34" i="59"/>
  <c r="BG36" i="59"/>
  <c r="BH36" i="59"/>
  <c r="BF35" i="59"/>
  <c r="BC35" i="59"/>
  <c r="BD35" i="59"/>
  <c r="BC36" i="59"/>
  <c r="BD36" i="59"/>
  <c r="BF36" i="59"/>
  <c r="BH33" i="59"/>
  <c r="BG33" i="59"/>
  <c r="BC33" i="59"/>
  <c r="BD33" i="59"/>
  <c r="BF33" i="59"/>
  <c r="BG35" i="59"/>
  <c r="BH35" i="59"/>
  <c r="AT33" i="59"/>
  <c r="BE33" i="59" s="1"/>
  <c r="AT34" i="59"/>
  <c r="BE34" i="59" s="1"/>
  <c r="AT35" i="59"/>
  <c r="BE35" i="59" s="1"/>
  <c r="AT36" i="59"/>
  <c r="BE36" i="59" s="1"/>
  <c r="AW4" i="59"/>
  <c r="AW5" i="59"/>
  <c r="AW96" i="59"/>
  <c r="AW6" i="59"/>
  <c r="AW7" i="59"/>
  <c r="AW8" i="59"/>
  <c r="AW65" i="59"/>
  <c r="AW66" i="59"/>
  <c r="AW67" i="59"/>
  <c r="AW68" i="59"/>
  <c r="AW72" i="59"/>
  <c r="AW73" i="59"/>
  <c r="AW74" i="59"/>
  <c r="AW9" i="59"/>
  <c r="AW10" i="59"/>
  <c r="AW11" i="59"/>
  <c r="AW12" i="59"/>
  <c r="AW13" i="59"/>
  <c r="AW97" i="59"/>
  <c r="AW14" i="59"/>
  <c r="AW102" i="59"/>
  <c r="AW88" i="59"/>
  <c r="AW15" i="59"/>
  <c r="AW16" i="59"/>
  <c r="AW17" i="59"/>
  <c r="AW18" i="59"/>
  <c r="AW98" i="59"/>
  <c r="AW19" i="59"/>
  <c r="AW20" i="59"/>
  <c r="AW21" i="59"/>
  <c r="AW22" i="59"/>
  <c r="AW104" i="59"/>
  <c r="AW105" i="59"/>
  <c r="AW23" i="59"/>
  <c r="AW24" i="59"/>
  <c r="AW25" i="59"/>
  <c r="AW100" i="59"/>
  <c r="AW101" i="59"/>
  <c r="AW26" i="59"/>
  <c r="AW95" i="59"/>
  <c r="AW27" i="59"/>
  <c r="AW28" i="59"/>
  <c r="AW29" i="59"/>
  <c r="AW30" i="59"/>
  <c r="AW31" i="59"/>
  <c r="AW32" i="59"/>
  <c r="BF105" i="59" l="1"/>
  <c r="BC105" i="59"/>
  <c r="BD105" i="59"/>
  <c r="BC104" i="59"/>
  <c r="BD104" i="59"/>
  <c r="BF104" i="59"/>
  <c r="BD102" i="59"/>
  <c r="BF102" i="59"/>
  <c r="BC102" i="59"/>
  <c r="BD96" i="59"/>
  <c r="BC96" i="59"/>
  <c r="BF96" i="59"/>
  <c r="BD95" i="59"/>
  <c r="BC95" i="59"/>
  <c r="BF95" i="59"/>
  <c r="BD88" i="59"/>
  <c r="BC88" i="59"/>
  <c r="BF88" i="59"/>
  <c r="BD32" i="59"/>
  <c r="BC32" i="59"/>
  <c r="BF32" i="59"/>
  <c r="BF8" i="59"/>
  <c r="BD8" i="59"/>
  <c r="BC8" i="59"/>
  <c r="BF17" i="59"/>
  <c r="BC17" i="59"/>
  <c r="BD17" i="59"/>
  <c r="BC30" i="59"/>
  <c r="BF30" i="59"/>
  <c r="BD30" i="59"/>
  <c r="BC6" i="59"/>
  <c r="BD6" i="59"/>
  <c r="BF6" i="59"/>
  <c r="BC15" i="59"/>
  <c r="BF15" i="59"/>
  <c r="BD15" i="59"/>
  <c r="BC73" i="59"/>
  <c r="BF73" i="59"/>
  <c r="BD73" i="59"/>
  <c r="BD22" i="59"/>
  <c r="BC22" i="59"/>
  <c r="BF22" i="59"/>
  <c r="BF72" i="59"/>
  <c r="BC72" i="59"/>
  <c r="BD72" i="59"/>
  <c r="BF4" i="59"/>
  <c r="BC4" i="59"/>
  <c r="BD4" i="59"/>
  <c r="BF21" i="59"/>
  <c r="BC21" i="59"/>
  <c r="BD21" i="59"/>
  <c r="BC14" i="59"/>
  <c r="BD14" i="59"/>
  <c r="BF14" i="59"/>
  <c r="BC68" i="59"/>
  <c r="BD68" i="59"/>
  <c r="BF68" i="59"/>
  <c r="BF18" i="59"/>
  <c r="BC18" i="59"/>
  <c r="BD18" i="59"/>
  <c r="BC10" i="59"/>
  <c r="BD10" i="59"/>
  <c r="BF10" i="59"/>
  <c r="BC23" i="59"/>
  <c r="BD23" i="59"/>
  <c r="BF23" i="59"/>
  <c r="BC28" i="59"/>
  <c r="BF28" i="59"/>
  <c r="BD28" i="59"/>
  <c r="BC26" i="59"/>
  <c r="BD26" i="59"/>
  <c r="BF26" i="59"/>
  <c r="BC20" i="59"/>
  <c r="BD20" i="59"/>
  <c r="BF20" i="59"/>
  <c r="BC97" i="59"/>
  <c r="BD97" i="59"/>
  <c r="BF97" i="59"/>
  <c r="BF67" i="59"/>
  <c r="BC67" i="59"/>
  <c r="BD67" i="59"/>
  <c r="BC25" i="59"/>
  <c r="BF25" i="59"/>
  <c r="BD25" i="59"/>
  <c r="BF24" i="59"/>
  <c r="BC24" i="59"/>
  <c r="BD24" i="59"/>
  <c r="BC16" i="59"/>
  <c r="BF16" i="59"/>
  <c r="BD16" i="59"/>
  <c r="BF74" i="59"/>
  <c r="BC74" i="59"/>
  <c r="BD74" i="59"/>
  <c r="BF27" i="59"/>
  <c r="BC27" i="59"/>
  <c r="BD27" i="59"/>
  <c r="BF19" i="59"/>
  <c r="BC19" i="59"/>
  <c r="BD19" i="59"/>
  <c r="BF13" i="59"/>
  <c r="BC13" i="59"/>
  <c r="BD13" i="59"/>
  <c r="BC66" i="59"/>
  <c r="BD66" i="59"/>
  <c r="BF66" i="59"/>
  <c r="BC11" i="59"/>
  <c r="BD11" i="59"/>
  <c r="BF11" i="59"/>
  <c r="BC31" i="59"/>
  <c r="BD31" i="59"/>
  <c r="BF31" i="59"/>
  <c r="BC7" i="59"/>
  <c r="BF7" i="59"/>
  <c r="BD7" i="59"/>
  <c r="BC9" i="59"/>
  <c r="BF9" i="59"/>
  <c r="BD9" i="59"/>
  <c r="BF29" i="59"/>
  <c r="BC29" i="59"/>
  <c r="BD29" i="59"/>
  <c r="BC5" i="59"/>
  <c r="BD5" i="59"/>
  <c r="BF5" i="59"/>
  <c r="BD101" i="59"/>
  <c r="BC101" i="59"/>
  <c r="BF101" i="59"/>
  <c r="BF100" i="59"/>
  <c r="BD100" i="59"/>
  <c r="BC100" i="59"/>
  <c r="BC98" i="59"/>
  <c r="BD98" i="59"/>
  <c r="BF98" i="59"/>
  <c r="BC12" i="59"/>
  <c r="BF12" i="59"/>
  <c r="BD12" i="59"/>
  <c r="BF65" i="59"/>
  <c r="BD65" i="59"/>
  <c r="BC65" i="59"/>
  <c r="BK34" i="59"/>
  <c r="BO34" i="59" s="1"/>
  <c r="BR34" i="59" s="1"/>
  <c r="BK35" i="59"/>
  <c r="BO35" i="59" s="1"/>
  <c r="BR35" i="59" s="1"/>
  <c r="BK33" i="59"/>
  <c r="BO33" i="59" s="1"/>
  <c r="BR33" i="59" s="1"/>
  <c r="BK36" i="59"/>
  <c r="BO36" i="59" s="1"/>
  <c r="BR36" i="59" s="1"/>
  <c r="EC29" i="59"/>
  <c r="ED29" i="59" s="1"/>
  <c r="EA29" i="59"/>
  <c r="EB29" i="59" s="1"/>
  <c r="DY29" i="59"/>
  <c r="DZ29" i="59" s="1"/>
  <c r="DW29" i="59"/>
  <c r="DX29" i="59" s="1"/>
  <c r="DU29" i="59"/>
  <c r="DV29" i="59" s="1"/>
  <c r="DS29" i="59"/>
  <c r="DT29" i="59" s="1"/>
  <c r="DQ29" i="59"/>
  <c r="DR29" i="59" s="1"/>
  <c r="DO29" i="59"/>
  <c r="DP29" i="59" s="1"/>
  <c r="DM29" i="59"/>
  <c r="DN29" i="59" s="1"/>
  <c r="DK29" i="59"/>
  <c r="DL29" i="59" s="1"/>
  <c r="DI29" i="59"/>
  <c r="DJ29" i="59" s="1"/>
  <c r="DG29" i="59"/>
  <c r="DH29" i="59" s="1"/>
  <c r="DE29" i="59"/>
  <c r="DF29" i="59" s="1"/>
  <c r="DC29" i="59"/>
  <c r="DD29" i="59" s="1"/>
  <c r="DA29" i="59"/>
  <c r="DB29" i="59" s="1"/>
  <c r="CY29" i="59"/>
  <c r="CZ29" i="59" s="1"/>
  <c r="CW29" i="59"/>
  <c r="CX29" i="59" s="1"/>
  <c r="CU29" i="59"/>
  <c r="CV29" i="59" s="1"/>
  <c r="CS29" i="59"/>
  <c r="CT29" i="59" s="1"/>
  <c r="CQ29" i="59"/>
  <c r="CR29" i="59" s="1"/>
  <c r="CO29" i="59"/>
  <c r="CP29" i="59" s="1"/>
  <c r="CM29" i="59"/>
  <c r="CN29" i="59" s="1"/>
  <c r="CK29" i="59"/>
  <c r="CL29" i="59" s="1"/>
  <c r="CI29" i="59"/>
  <c r="CJ29" i="59" s="1"/>
  <c r="CG29" i="59"/>
  <c r="CH29" i="59" s="1"/>
  <c r="CE29" i="59"/>
  <c r="CF29" i="59" s="1"/>
  <c r="CC29" i="59"/>
  <c r="CD29" i="59" s="1"/>
  <c r="CA29" i="59"/>
  <c r="CB29" i="59" s="1"/>
  <c r="BY29" i="59"/>
  <c r="BZ29" i="59" s="1"/>
  <c r="BW29" i="59"/>
  <c r="BX29" i="59" s="1"/>
  <c r="BU29" i="59"/>
  <c r="BV29" i="59" s="1"/>
  <c r="BS29" i="59"/>
  <c r="BT29" i="59" s="1"/>
  <c r="AY29" i="59"/>
  <c r="AX29" i="59"/>
  <c r="AV29" i="59"/>
  <c r="AU29" i="59"/>
  <c r="EC28" i="59"/>
  <c r="ED28" i="59" s="1"/>
  <c r="EA28" i="59"/>
  <c r="EB28" i="59" s="1"/>
  <c r="DY28" i="59"/>
  <c r="DZ28" i="59" s="1"/>
  <c r="DW28" i="59"/>
  <c r="DX28" i="59" s="1"/>
  <c r="DU28" i="59"/>
  <c r="DV28" i="59" s="1"/>
  <c r="DS28" i="59"/>
  <c r="DT28" i="59" s="1"/>
  <c r="DQ28" i="59"/>
  <c r="DR28" i="59" s="1"/>
  <c r="DO28" i="59"/>
  <c r="DP28" i="59" s="1"/>
  <c r="DM28" i="59"/>
  <c r="DN28" i="59" s="1"/>
  <c r="DK28" i="59"/>
  <c r="DL28" i="59" s="1"/>
  <c r="DI28" i="59"/>
  <c r="DJ28" i="59" s="1"/>
  <c r="DG28" i="59"/>
  <c r="DH28" i="59" s="1"/>
  <c r="DE28" i="59"/>
  <c r="DF28" i="59" s="1"/>
  <c r="DC28" i="59"/>
  <c r="DD28" i="59" s="1"/>
  <c r="DA28" i="59"/>
  <c r="DB28" i="59" s="1"/>
  <c r="CY28" i="59"/>
  <c r="CZ28" i="59" s="1"/>
  <c r="CW28" i="59"/>
  <c r="CX28" i="59" s="1"/>
  <c r="CU28" i="59"/>
  <c r="CV28" i="59" s="1"/>
  <c r="CS28" i="59"/>
  <c r="CT28" i="59" s="1"/>
  <c r="CQ28" i="59"/>
  <c r="CR28" i="59" s="1"/>
  <c r="CO28" i="59"/>
  <c r="CP28" i="59" s="1"/>
  <c r="CM28" i="59"/>
  <c r="CN28" i="59" s="1"/>
  <c r="CK28" i="59"/>
  <c r="CL28" i="59" s="1"/>
  <c r="CI28" i="59"/>
  <c r="CJ28" i="59" s="1"/>
  <c r="CG28" i="59"/>
  <c r="CH28" i="59" s="1"/>
  <c r="CE28" i="59"/>
  <c r="CF28" i="59" s="1"/>
  <c r="CC28" i="59"/>
  <c r="CD28" i="59" s="1"/>
  <c r="CA28" i="59"/>
  <c r="CB28" i="59" s="1"/>
  <c r="BY28" i="59"/>
  <c r="BZ28" i="59" s="1"/>
  <c r="BW28" i="59"/>
  <c r="BX28" i="59" s="1"/>
  <c r="BU28" i="59"/>
  <c r="BV28" i="59" s="1"/>
  <c r="BS28" i="59"/>
  <c r="BT28" i="59" s="1"/>
  <c r="AY28" i="59"/>
  <c r="AX28" i="59"/>
  <c r="AV28" i="59"/>
  <c r="EC95" i="59"/>
  <c r="ED95" i="59" s="1"/>
  <c r="EA95" i="59"/>
  <c r="EB95" i="59" s="1"/>
  <c r="DY95" i="59"/>
  <c r="DZ95" i="59" s="1"/>
  <c r="DW95" i="59"/>
  <c r="DX95" i="59" s="1"/>
  <c r="DU95" i="59"/>
  <c r="DV95" i="59" s="1"/>
  <c r="DS95" i="59"/>
  <c r="DT95" i="59" s="1"/>
  <c r="DQ95" i="59"/>
  <c r="DR95" i="59" s="1"/>
  <c r="DO95" i="59"/>
  <c r="DP95" i="59" s="1"/>
  <c r="DM95" i="59"/>
  <c r="DN95" i="59" s="1"/>
  <c r="DK95" i="59"/>
  <c r="DL95" i="59" s="1"/>
  <c r="DI95" i="59"/>
  <c r="DJ95" i="59" s="1"/>
  <c r="DG95" i="59"/>
  <c r="DH95" i="59" s="1"/>
  <c r="DE95" i="59"/>
  <c r="DF95" i="59" s="1"/>
  <c r="DC95" i="59"/>
  <c r="DD95" i="59" s="1"/>
  <c r="DA95" i="59"/>
  <c r="DB95" i="59" s="1"/>
  <c r="CY95" i="59"/>
  <c r="CZ95" i="59" s="1"/>
  <c r="CW95" i="59"/>
  <c r="CX95" i="59" s="1"/>
  <c r="CU95" i="59"/>
  <c r="CV95" i="59" s="1"/>
  <c r="CS95" i="59"/>
  <c r="CT95" i="59" s="1"/>
  <c r="CQ95" i="59"/>
  <c r="CR95" i="59" s="1"/>
  <c r="CO95" i="59"/>
  <c r="CP95" i="59" s="1"/>
  <c r="CM95" i="59"/>
  <c r="CN95" i="59" s="1"/>
  <c r="CK95" i="59"/>
  <c r="CL95" i="59" s="1"/>
  <c r="CI95" i="59"/>
  <c r="CJ95" i="59" s="1"/>
  <c r="CG95" i="59"/>
  <c r="CH95" i="59" s="1"/>
  <c r="CE95" i="59"/>
  <c r="CF95" i="59" s="1"/>
  <c r="CC95" i="59"/>
  <c r="CD95" i="59" s="1"/>
  <c r="CA95" i="59"/>
  <c r="CB95" i="59" s="1"/>
  <c r="BY95" i="59"/>
  <c r="BZ95" i="59" s="1"/>
  <c r="BW95" i="59"/>
  <c r="BX95" i="59" s="1"/>
  <c r="BU95" i="59"/>
  <c r="BV95" i="59" s="1"/>
  <c r="BS95" i="59"/>
  <c r="BT95" i="59" s="1"/>
  <c r="AY95" i="59"/>
  <c r="AX95" i="59"/>
  <c r="AV95" i="59"/>
  <c r="AU95" i="59"/>
  <c r="EC26" i="59"/>
  <c r="ED26" i="59" s="1"/>
  <c r="EA26" i="59"/>
  <c r="EB26" i="59" s="1"/>
  <c r="DY26" i="59"/>
  <c r="DZ26" i="59" s="1"/>
  <c r="DW26" i="59"/>
  <c r="DX26" i="59" s="1"/>
  <c r="DU26" i="59"/>
  <c r="DV26" i="59" s="1"/>
  <c r="DS26" i="59"/>
  <c r="DT26" i="59" s="1"/>
  <c r="DQ26" i="59"/>
  <c r="DR26" i="59" s="1"/>
  <c r="DO26" i="59"/>
  <c r="DP26" i="59" s="1"/>
  <c r="DM26" i="59"/>
  <c r="DN26" i="59" s="1"/>
  <c r="DK26" i="59"/>
  <c r="DL26" i="59" s="1"/>
  <c r="DI26" i="59"/>
  <c r="DJ26" i="59" s="1"/>
  <c r="DG26" i="59"/>
  <c r="DH26" i="59" s="1"/>
  <c r="DE26" i="59"/>
  <c r="DF26" i="59" s="1"/>
  <c r="DC26" i="59"/>
  <c r="DD26" i="59" s="1"/>
  <c r="DA26" i="59"/>
  <c r="DB26" i="59" s="1"/>
  <c r="CY26" i="59"/>
  <c r="CZ26" i="59" s="1"/>
  <c r="CW26" i="59"/>
  <c r="CX26" i="59" s="1"/>
  <c r="CU26" i="59"/>
  <c r="CV26" i="59" s="1"/>
  <c r="CS26" i="59"/>
  <c r="CT26" i="59" s="1"/>
  <c r="CQ26" i="59"/>
  <c r="CR26" i="59" s="1"/>
  <c r="CO26" i="59"/>
  <c r="CP26" i="59" s="1"/>
  <c r="CM26" i="59"/>
  <c r="CN26" i="59" s="1"/>
  <c r="CK26" i="59"/>
  <c r="CL26" i="59" s="1"/>
  <c r="CI26" i="59"/>
  <c r="CJ26" i="59" s="1"/>
  <c r="CG26" i="59"/>
  <c r="CH26" i="59" s="1"/>
  <c r="CE26" i="59"/>
  <c r="CF26" i="59" s="1"/>
  <c r="CC26" i="59"/>
  <c r="CD26" i="59" s="1"/>
  <c r="CA26" i="59"/>
  <c r="CB26" i="59" s="1"/>
  <c r="BY26" i="59"/>
  <c r="BZ26" i="59" s="1"/>
  <c r="BW26" i="59"/>
  <c r="BX26" i="59" s="1"/>
  <c r="BU26" i="59"/>
  <c r="BV26" i="59" s="1"/>
  <c r="BS26" i="59"/>
  <c r="BT26" i="59" s="1"/>
  <c r="AY26" i="59"/>
  <c r="AX26" i="59"/>
  <c r="AV26" i="59"/>
  <c r="BG95" i="59" l="1"/>
  <c r="BH95" i="59"/>
  <c r="BG26" i="59"/>
  <c r="BH26" i="59"/>
  <c r="BG28" i="59"/>
  <c r="BH28" i="59"/>
  <c r="BG29" i="59"/>
  <c r="BH29" i="59"/>
  <c r="AT26" i="59"/>
  <c r="BE26" i="59" s="1"/>
  <c r="AT28" i="59"/>
  <c r="BE28" i="59" s="1"/>
  <c r="AT29" i="59"/>
  <c r="BE29" i="59" s="1"/>
  <c r="AT95" i="59"/>
  <c r="BE95" i="59" s="1"/>
  <c r="BK95" i="59" l="1"/>
  <c r="BO95" i="59" s="1"/>
  <c r="BR95" i="59" s="1"/>
  <c r="BK26" i="59"/>
  <c r="BO26" i="59" s="1"/>
  <c r="BR26" i="59" s="1"/>
  <c r="BK29" i="59"/>
  <c r="BO29" i="59" s="1"/>
  <c r="BR29" i="59" s="1"/>
  <c r="BK28" i="59"/>
  <c r="BO28" i="59" s="1"/>
  <c r="BR28" i="59" s="1"/>
  <c r="EC27" i="59"/>
  <c r="ED27" i="59" s="1"/>
  <c r="EA27" i="59"/>
  <c r="EB27" i="59" s="1"/>
  <c r="DY27" i="59"/>
  <c r="DZ27" i="59" s="1"/>
  <c r="DW27" i="59"/>
  <c r="DX27" i="59" s="1"/>
  <c r="DU27" i="59"/>
  <c r="DV27" i="59" s="1"/>
  <c r="DS27" i="59"/>
  <c r="DT27" i="59" s="1"/>
  <c r="DQ27" i="59"/>
  <c r="DR27" i="59" s="1"/>
  <c r="DO27" i="59"/>
  <c r="DP27" i="59" s="1"/>
  <c r="DM27" i="59"/>
  <c r="DN27" i="59" s="1"/>
  <c r="DK27" i="59"/>
  <c r="DL27" i="59" s="1"/>
  <c r="DI27" i="59"/>
  <c r="DJ27" i="59" s="1"/>
  <c r="DG27" i="59"/>
  <c r="DH27" i="59" s="1"/>
  <c r="DE27" i="59"/>
  <c r="DF27" i="59" s="1"/>
  <c r="DC27" i="59"/>
  <c r="DD27" i="59" s="1"/>
  <c r="DA27" i="59"/>
  <c r="DB27" i="59" s="1"/>
  <c r="CY27" i="59"/>
  <c r="CZ27" i="59" s="1"/>
  <c r="CW27" i="59"/>
  <c r="CX27" i="59" s="1"/>
  <c r="CU27" i="59"/>
  <c r="CV27" i="59" s="1"/>
  <c r="CS27" i="59"/>
  <c r="CT27" i="59" s="1"/>
  <c r="CQ27" i="59"/>
  <c r="CR27" i="59" s="1"/>
  <c r="CO27" i="59"/>
  <c r="CP27" i="59" s="1"/>
  <c r="CM27" i="59"/>
  <c r="CN27" i="59" s="1"/>
  <c r="CK27" i="59"/>
  <c r="CL27" i="59" s="1"/>
  <c r="CI27" i="59"/>
  <c r="CJ27" i="59" s="1"/>
  <c r="CG27" i="59"/>
  <c r="CH27" i="59" s="1"/>
  <c r="CE27" i="59"/>
  <c r="CF27" i="59" s="1"/>
  <c r="CC27" i="59"/>
  <c r="CD27" i="59" s="1"/>
  <c r="CA27" i="59"/>
  <c r="CB27" i="59" s="1"/>
  <c r="BY27" i="59"/>
  <c r="BZ27" i="59" s="1"/>
  <c r="BW27" i="59"/>
  <c r="BX27" i="59" s="1"/>
  <c r="BU27" i="59"/>
  <c r="BV27" i="59" s="1"/>
  <c r="BS27" i="59"/>
  <c r="BT27" i="59" s="1"/>
  <c r="AY27" i="59"/>
  <c r="AX27" i="59"/>
  <c r="AV27" i="59"/>
  <c r="EC101" i="59"/>
  <c r="ED101" i="59" s="1"/>
  <c r="EA101" i="59"/>
  <c r="EB101" i="59" s="1"/>
  <c r="DY101" i="59"/>
  <c r="DZ101" i="59" s="1"/>
  <c r="DW101" i="59"/>
  <c r="DX101" i="59" s="1"/>
  <c r="DU101" i="59"/>
  <c r="DV101" i="59" s="1"/>
  <c r="DS101" i="59"/>
  <c r="DT101" i="59" s="1"/>
  <c r="DQ101" i="59"/>
  <c r="DR101" i="59" s="1"/>
  <c r="DO101" i="59"/>
  <c r="DP101" i="59" s="1"/>
  <c r="DM101" i="59"/>
  <c r="DN101" i="59" s="1"/>
  <c r="DK101" i="59"/>
  <c r="DL101" i="59" s="1"/>
  <c r="DI101" i="59"/>
  <c r="DJ101" i="59" s="1"/>
  <c r="DG101" i="59"/>
  <c r="DH101" i="59" s="1"/>
  <c r="DE101" i="59"/>
  <c r="DF101" i="59" s="1"/>
  <c r="DC101" i="59"/>
  <c r="DD101" i="59" s="1"/>
  <c r="DA101" i="59"/>
  <c r="DB101" i="59" s="1"/>
  <c r="CY101" i="59"/>
  <c r="CZ101" i="59" s="1"/>
  <c r="CW101" i="59"/>
  <c r="CX101" i="59" s="1"/>
  <c r="CU101" i="59"/>
  <c r="CV101" i="59" s="1"/>
  <c r="CS101" i="59"/>
  <c r="CT101" i="59" s="1"/>
  <c r="CQ101" i="59"/>
  <c r="CR101" i="59" s="1"/>
  <c r="CO101" i="59"/>
  <c r="CP101" i="59" s="1"/>
  <c r="CM101" i="59"/>
  <c r="CN101" i="59" s="1"/>
  <c r="CK101" i="59"/>
  <c r="CL101" i="59" s="1"/>
  <c r="CI101" i="59"/>
  <c r="CJ101" i="59" s="1"/>
  <c r="CG101" i="59"/>
  <c r="CH101" i="59" s="1"/>
  <c r="CE101" i="59"/>
  <c r="CF101" i="59" s="1"/>
  <c r="CC101" i="59"/>
  <c r="CD101" i="59" s="1"/>
  <c r="CA101" i="59"/>
  <c r="CB101" i="59" s="1"/>
  <c r="BY101" i="59"/>
  <c r="BZ101" i="59" s="1"/>
  <c r="BW101" i="59"/>
  <c r="BX101" i="59" s="1"/>
  <c r="BU101" i="59"/>
  <c r="BV101" i="59" s="1"/>
  <c r="BS101" i="59"/>
  <c r="BT101" i="59" s="1"/>
  <c r="AY101" i="59"/>
  <c r="AX101" i="59"/>
  <c r="AV101" i="59"/>
  <c r="EC31" i="59"/>
  <c r="ED31" i="59" s="1"/>
  <c r="EA31" i="59"/>
  <c r="EB31" i="59" s="1"/>
  <c r="DY31" i="59"/>
  <c r="DZ31" i="59" s="1"/>
  <c r="DW31" i="59"/>
  <c r="DX31" i="59" s="1"/>
  <c r="DU31" i="59"/>
  <c r="DV31" i="59" s="1"/>
  <c r="DS31" i="59"/>
  <c r="DT31" i="59" s="1"/>
  <c r="DQ31" i="59"/>
  <c r="DR31" i="59" s="1"/>
  <c r="DO31" i="59"/>
  <c r="DP31" i="59" s="1"/>
  <c r="DM31" i="59"/>
  <c r="DN31" i="59" s="1"/>
  <c r="DK31" i="59"/>
  <c r="DL31" i="59" s="1"/>
  <c r="DI31" i="59"/>
  <c r="DJ31" i="59" s="1"/>
  <c r="DG31" i="59"/>
  <c r="DH31" i="59" s="1"/>
  <c r="DE31" i="59"/>
  <c r="DF31" i="59" s="1"/>
  <c r="DC31" i="59"/>
  <c r="DD31" i="59" s="1"/>
  <c r="DA31" i="59"/>
  <c r="DB31" i="59" s="1"/>
  <c r="CY31" i="59"/>
  <c r="CZ31" i="59" s="1"/>
  <c r="CW31" i="59"/>
  <c r="CX31" i="59" s="1"/>
  <c r="CU31" i="59"/>
  <c r="CV31" i="59" s="1"/>
  <c r="CS31" i="59"/>
  <c r="CT31" i="59" s="1"/>
  <c r="CQ31" i="59"/>
  <c r="CR31" i="59" s="1"/>
  <c r="CO31" i="59"/>
  <c r="CP31" i="59" s="1"/>
  <c r="CM31" i="59"/>
  <c r="CN31" i="59" s="1"/>
  <c r="CK31" i="59"/>
  <c r="CL31" i="59" s="1"/>
  <c r="CI31" i="59"/>
  <c r="CJ31" i="59" s="1"/>
  <c r="CG31" i="59"/>
  <c r="CH31" i="59" s="1"/>
  <c r="CE31" i="59"/>
  <c r="CF31" i="59" s="1"/>
  <c r="CC31" i="59"/>
  <c r="CD31" i="59" s="1"/>
  <c r="CA31" i="59"/>
  <c r="CB31" i="59" s="1"/>
  <c r="BY31" i="59"/>
  <c r="BZ31" i="59" s="1"/>
  <c r="BW31" i="59"/>
  <c r="BX31" i="59" s="1"/>
  <c r="BU31" i="59"/>
  <c r="BV31" i="59" s="1"/>
  <c r="BS31" i="59"/>
  <c r="BT31" i="59" s="1"/>
  <c r="AY31" i="59"/>
  <c r="AX31" i="59"/>
  <c r="AV31" i="59"/>
  <c r="EC30" i="59"/>
  <c r="ED30" i="59" s="1"/>
  <c r="EA30" i="59"/>
  <c r="EB30" i="59" s="1"/>
  <c r="DY30" i="59"/>
  <c r="DZ30" i="59" s="1"/>
  <c r="DW30" i="59"/>
  <c r="DX30" i="59" s="1"/>
  <c r="DU30" i="59"/>
  <c r="DV30" i="59" s="1"/>
  <c r="DS30" i="59"/>
  <c r="DT30" i="59" s="1"/>
  <c r="DQ30" i="59"/>
  <c r="DR30" i="59" s="1"/>
  <c r="DO30" i="59"/>
  <c r="DP30" i="59" s="1"/>
  <c r="DM30" i="59"/>
  <c r="DN30" i="59" s="1"/>
  <c r="DK30" i="59"/>
  <c r="DL30" i="59" s="1"/>
  <c r="DI30" i="59"/>
  <c r="DJ30" i="59" s="1"/>
  <c r="DG30" i="59"/>
  <c r="DH30" i="59" s="1"/>
  <c r="DE30" i="59"/>
  <c r="DF30" i="59" s="1"/>
  <c r="DC30" i="59"/>
  <c r="DD30" i="59" s="1"/>
  <c r="DA30" i="59"/>
  <c r="DB30" i="59" s="1"/>
  <c r="CY30" i="59"/>
  <c r="CZ30" i="59" s="1"/>
  <c r="CW30" i="59"/>
  <c r="CX30" i="59" s="1"/>
  <c r="CU30" i="59"/>
  <c r="CV30" i="59" s="1"/>
  <c r="CS30" i="59"/>
  <c r="CT30" i="59" s="1"/>
  <c r="CQ30" i="59"/>
  <c r="CR30" i="59" s="1"/>
  <c r="CO30" i="59"/>
  <c r="CP30" i="59" s="1"/>
  <c r="CM30" i="59"/>
  <c r="CN30" i="59" s="1"/>
  <c r="CK30" i="59"/>
  <c r="CL30" i="59" s="1"/>
  <c r="CI30" i="59"/>
  <c r="CJ30" i="59" s="1"/>
  <c r="CG30" i="59"/>
  <c r="CH30" i="59" s="1"/>
  <c r="CE30" i="59"/>
  <c r="CF30" i="59" s="1"/>
  <c r="CC30" i="59"/>
  <c r="CD30" i="59" s="1"/>
  <c r="CA30" i="59"/>
  <c r="CB30" i="59" s="1"/>
  <c r="BY30" i="59"/>
  <c r="BZ30" i="59" s="1"/>
  <c r="BW30" i="59"/>
  <c r="BX30" i="59" s="1"/>
  <c r="BU30" i="59"/>
  <c r="BV30" i="59" s="1"/>
  <c r="BS30" i="59"/>
  <c r="BT30" i="59" s="1"/>
  <c r="AY30" i="59"/>
  <c r="AX30" i="59"/>
  <c r="AV30" i="59"/>
  <c r="EC32" i="59"/>
  <c r="ED32" i="59" s="1"/>
  <c r="EA32" i="59"/>
  <c r="EB32" i="59" s="1"/>
  <c r="DY32" i="59"/>
  <c r="DZ32" i="59" s="1"/>
  <c r="DW32" i="59"/>
  <c r="DX32" i="59" s="1"/>
  <c r="DU32" i="59"/>
  <c r="DV32" i="59" s="1"/>
  <c r="DS32" i="59"/>
  <c r="DT32" i="59" s="1"/>
  <c r="DQ32" i="59"/>
  <c r="DR32" i="59" s="1"/>
  <c r="DO32" i="59"/>
  <c r="DP32" i="59" s="1"/>
  <c r="DM32" i="59"/>
  <c r="DN32" i="59" s="1"/>
  <c r="DK32" i="59"/>
  <c r="DL32" i="59" s="1"/>
  <c r="DI32" i="59"/>
  <c r="DJ32" i="59" s="1"/>
  <c r="DG32" i="59"/>
  <c r="DH32" i="59" s="1"/>
  <c r="DE32" i="59"/>
  <c r="DF32" i="59" s="1"/>
  <c r="DC32" i="59"/>
  <c r="DD32" i="59" s="1"/>
  <c r="DA32" i="59"/>
  <c r="DB32" i="59" s="1"/>
  <c r="CY32" i="59"/>
  <c r="CZ32" i="59" s="1"/>
  <c r="CW32" i="59"/>
  <c r="CX32" i="59" s="1"/>
  <c r="CU32" i="59"/>
  <c r="CV32" i="59" s="1"/>
  <c r="CS32" i="59"/>
  <c r="CT32" i="59" s="1"/>
  <c r="CQ32" i="59"/>
  <c r="CR32" i="59" s="1"/>
  <c r="CO32" i="59"/>
  <c r="CP32" i="59" s="1"/>
  <c r="CM32" i="59"/>
  <c r="CN32" i="59" s="1"/>
  <c r="CK32" i="59"/>
  <c r="CL32" i="59" s="1"/>
  <c r="CI32" i="59"/>
  <c r="CJ32" i="59" s="1"/>
  <c r="CG32" i="59"/>
  <c r="CH32" i="59" s="1"/>
  <c r="CE32" i="59"/>
  <c r="CF32" i="59" s="1"/>
  <c r="CC32" i="59"/>
  <c r="CD32" i="59" s="1"/>
  <c r="CA32" i="59"/>
  <c r="CB32" i="59" s="1"/>
  <c r="BY32" i="59"/>
  <c r="BZ32" i="59" s="1"/>
  <c r="BW32" i="59"/>
  <c r="BX32" i="59" s="1"/>
  <c r="BU32" i="59"/>
  <c r="BV32" i="59" s="1"/>
  <c r="BS32" i="59"/>
  <c r="BT32" i="59" s="1"/>
  <c r="AY32" i="59"/>
  <c r="AX32" i="59"/>
  <c r="AV32" i="59"/>
  <c r="BG27" i="59" l="1"/>
  <c r="BH27" i="59"/>
  <c r="BG31" i="59"/>
  <c r="BH31" i="59"/>
  <c r="BG32" i="59"/>
  <c r="BH32" i="59"/>
  <c r="BG101" i="59"/>
  <c r="BH101" i="59"/>
  <c r="BG30" i="59"/>
  <c r="BH30" i="59"/>
  <c r="AT32" i="59"/>
  <c r="BE32" i="59" s="1"/>
  <c r="AT31" i="59"/>
  <c r="BE31" i="59" s="1"/>
  <c r="AT27" i="59"/>
  <c r="BE27" i="59" s="1"/>
  <c r="AT30" i="59"/>
  <c r="BE30" i="59" s="1"/>
  <c r="AT101" i="59"/>
  <c r="BE101" i="59" s="1"/>
  <c r="BK30" i="59" l="1"/>
  <c r="BO30" i="59" s="1"/>
  <c r="BR30" i="59" s="1"/>
  <c r="BK101" i="59"/>
  <c r="BO101" i="59" s="1"/>
  <c r="BR101" i="59" s="1"/>
  <c r="BK27" i="59"/>
  <c r="BO27" i="59" s="1"/>
  <c r="BR27" i="59" s="1"/>
  <c r="BK31" i="59"/>
  <c r="BO31" i="59" s="1"/>
  <c r="BR31" i="59" s="1"/>
  <c r="BK32" i="59"/>
  <c r="BO32" i="59" s="1"/>
  <c r="BR32" i="59" s="1"/>
  <c r="EC100" i="59"/>
  <c r="ED100" i="59" s="1"/>
  <c r="EA100" i="59"/>
  <c r="EB100" i="59" s="1"/>
  <c r="DY100" i="59"/>
  <c r="DZ100" i="59" s="1"/>
  <c r="DW100" i="59"/>
  <c r="DX100" i="59" s="1"/>
  <c r="DU100" i="59"/>
  <c r="DV100" i="59" s="1"/>
  <c r="DS100" i="59"/>
  <c r="DT100" i="59" s="1"/>
  <c r="DQ100" i="59"/>
  <c r="DR100" i="59" s="1"/>
  <c r="DO100" i="59"/>
  <c r="DP100" i="59" s="1"/>
  <c r="DM100" i="59"/>
  <c r="DN100" i="59" s="1"/>
  <c r="DK100" i="59"/>
  <c r="DL100" i="59" s="1"/>
  <c r="DI100" i="59"/>
  <c r="DJ100" i="59" s="1"/>
  <c r="DG100" i="59"/>
  <c r="DH100" i="59" s="1"/>
  <c r="DE100" i="59"/>
  <c r="DF100" i="59" s="1"/>
  <c r="DC100" i="59"/>
  <c r="DD100" i="59" s="1"/>
  <c r="DA100" i="59"/>
  <c r="DB100" i="59" s="1"/>
  <c r="CY100" i="59"/>
  <c r="CZ100" i="59" s="1"/>
  <c r="CW100" i="59"/>
  <c r="CX100" i="59" s="1"/>
  <c r="CU100" i="59"/>
  <c r="CV100" i="59" s="1"/>
  <c r="CS100" i="59"/>
  <c r="CT100" i="59" s="1"/>
  <c r="CQ100" i="59"/>
  <c r="CR100" i="59" s="1"/>
  <c r="CO100" i="59"/>
  <c r="CP100" i="59" s="1"/>
  <c r="CM100" i="59"/>
  <c r="CN100" i="59" s="1"/>
  <c r="CK100" i="59"/>
  <c r="CL100" i="59" s="1"/>
  <c r="CI100" i="59"/>
  <c r="CJ100" i="59" s="1"/>
  <c r="CG100" i="59"/>
  <c r="CH100" i="59" s="1"/>
  <c r="CE100" i="59"/>
  <c r="CF100" i="59" s="1"/>
  <c r="CC100" i="59"/>
  <c r="CD100" i="59" s="1"/>
  <c r="CA100" i="59"/>
  <c r="CB100" i="59" s="1"/>
  <c r="BY100" i="59"/>
  <c r="BZ100" i="59" s="1"/>
  <c r="BW100" i="59"/>
  <c r="BX100" i="59" s="1"/>
  <c r="BU100" i="59"/>
  <c r="BV100" i="59" s="1"/>
  <c r="BS100" i="59"/>
  <c r="BT100" i="59" s="1"/>
  <c r="AY100" i="59"/>
  <c r="AX100" i="59"/>
  <c r="AV100" i="59"/>
  <c r="BG100" i="59" l="1"/>
  <c r="BH100" i="59"/>
  <c r="AT100" i="59"/>
  <c r="BE100" i="59" s="1"/>
  <c r="BK100" i="59" l="1"/>
  <c r="BO100" i="59" s="1"/>
  <c r="BR100" i="59" s="1"/>
  <c r="AM52" i="61"/>
  <c r="AL52" i="61"/>
  <c r="AJ52" i="61"/>
  <c r="AM51" i="61"/>
  <c r="AL51" i="61"/>
  <c r="AJ51" i="61"/>
  <c r="AQ110" i="59" l="1"/>
  <c r="AX51" i="61" l="1"/>
  <c r="BB51" i="61" s="1"/>
  <c r="BE51" i="61" s="1"/>
  <c r="AX52" i="61"/>
  <c r="BB52" i="61" s="1"/>
  <c r="BE52" i="61" s="1"/>
  <c r="AM22" i="61"/>
  <c r="AL22" i="61"/>
  <c r="AJ22" i="61"/>
  <c r="AM38" i="61"/>
  <c r="AL38" i="61"/>
  <c r="AJ38" i="61"/>
  <c r="AM21" i="61"/>
  <c r="AL21" i="61"/>
  <c r="AJ21" i="61"/>
  <c r="AJ48" i="61" l="1"/>
  <c r="AX21" i="61" l="1"/>
  <c r="BB21" i="61" s="1"/>
  <c r="BE21" i="61" s="1"/>
  <c r="AX22" i="61"/>
  <c r="BB22" i="61" s="1"/>
  <c r="BE22" i="61" s="1"/>
  <c r="AX38" i="61"/>
  <c r="BB38" i="61" s="1"/>
  <c r="BE38" i="61" s="1"/>
  <c r="AM25" i="61"/>
  <c r="AL25" i="61"/>
  <c r="AJ25" i="61"/>
  <c r="AM24" i="61"/>
  <c r="AL24" i="61"/>
  <c r="AJ24" i="61"/>
  <c r="AM23" i="61"/>
  <c r="AL23" i="61"/>
  <c r="AJ23" i="61"/>
  <c r="AM37" i="61"/>
  <c r="AL37" i="61"/>
  <c r="AJ37" i="61"/>
  <c r="AM36" i="61"/>
  <c r="AL36" i="61"/>
  <c r="AJ36" i="61"/>
  <c r="AM20" i="61"/>
  <c r="AL20" i="61"/>
  <c r="AJ20" i="61"/>
  <c r="AM19" i="61"/>
  <c r="AL19" i="61"/>
  <c r="AJ19" i="61"/>
  <c r="AM50" i="61"/>
  <c r="AL50" i="61"/>
  <c r="AJ50" i="61"/>
  <c r="AM18" i="61"/>
  <c r="AL18" i="61"/>
  <c r="AJ18" i="61"/>
  <c r="AM49" i="61"/>
  <c r="AL49" i="61"/>
  <c r="AJ49" i="61"/>
  <c r="AM17" i="61"/>
  <c r="AL17" i="61"/>
  <c r="AJ17" i="61"/>
  <c r="AM16" i="61"/>
  <c r="AL16" i="61"/>
  <c r="AJ16" i="61"/>
  <c r="AM15" i="61" l="1"/>
  <c r="AL15" i="61"/>
  <c r="AJ15" i="61"/>
  <c r="AM35" i="61"/>
  <c r="AL35" i="61"/>
  <c r="AJ35" i="61"/>
  <c r="AM34" i="61"/>
  <c r="AL34" i="61"/>
  <c r="AJ34" i="61"/>
  <c r="AM14" i="61"/>
  <c r="AL14" i="61"/>
  <c r="AJ14" i="61"/>
  <c r="AM13" i="61"/>
  <c r="AL13" i="61"/>
  <c r="AJ13" i="61"/>
  <c r="AM33" i="61"/>
  <c r="AL33" i="61"/>
  <c r="AJ33" i="61"/>
  <c r="AM12" i="61"/>
  <c r="AL12" i="61"/>
  <c r="AJ12" i="61"/>
  <c r="AM11" i="61"/>
  <c r="AL11" i="61"/>
  <c r="AJ11" i="61"/>
  <c r="EC25" i="59"/>
  <c r="ED25" i="59" s="1"/>
  <c r="EA25" i="59"/>
  <c r="EB25" i="59" s="1"/>
  <c r="DY25" i="59"/>
  <c r="DZ25" i="59" s="1"/>
  <c r="DW25" i="59"/>
  <c r="DX25" i="59" s="1"/>
  <c r="DU25" i="59"/>
  <c r="DV25" i="59" s="1"/>
  <c r="DS25" i="59"/>
  <c r="DT25" i="59" s="1"/>
  <c r="DQ25" i="59"/>
  <c r="DR25" i="59" s="1"/>
  <c r="DO25" i="59"/>
  <c r="DP25" i="59" s="1"/>
  <c r="DM25" i="59"/>
  <c r="DN25" i="59" s="1"/>
  <c r="DK25" i="59"/>
  <c r="DL25" i="59" s="1"/>
  <c r="DI25" i="59"/>
  <c r="DJ25" i="59" s="1"/>
  <c r="DG25" i="59"/>
  <c r="DH25" i="59" s="1"/>
  <c r="DE25" i="59"/>
  <c r="DF25" i="59" s="1"/>
  <c r="DC25" i="59"/>
  <c r="DD25" i="59" s="1"/>
  <c r="DA25" i="59"/>
  <c r="DB25" i="59" s="1"/>
  <c r="CY25" i="59"/>
  <c r="CZ25" i="59" s="1"/>
  <c r="CW25" i="59"/>
  <c r="CX25" i="59" s="1"/>
  <c r="CU25" i="59"/>
  <c r="CV25" i="59" s="1"/>
  <c r="CS25" i="59"/>
  <c r="CT25" i="59" s="1"/>
  <c r="CQ25" i="59"/>
  <c r="CR25" i="59" s="1"/>
  <c r="CO25" i="59"/>
  <c r="CP25" i="59" s="1"/>
  <c r="CM25" i="59"/>
  <c r="CN25" i="59" s="1"/>
  <c r="CK25" i="59"/>
  <c r="CL25" i="59" s="1"/>
  <c r="CI25" i="59"/>
  <c r="CJ25" i="59" s="1"/>
  <c r="CG25" i="59"/>
  <c r="CH25" i="59" s="1"/>
  <c r="CE25" i="59"/>
  <c r="CF25" i="59" s="1"/>
  <c r="CC25" i="59"/>
  <c r="CD25" i="59" s="1"/>
  <c r="CA25" i="59"/>
  <c r="CB25" i="59" s="1"/>
  <c r="BY25" i="59"/>
  <c r="BZ25" i="59" s="1"/>
  <c r="BW25" i="59"/>
  <c r="BX25" i="59" s="1"/>
  <c r="BU25" i="59"/>
  <c r="BV25" i="59" s="1"/>
  <c r="BS25" i="59"/>
  <c r="BT25" i="59" s="1"/>
  <c r="AY25" i="59"/>
  <c r="AX25" i="59"/>
  <c r="AV25" i="59"/>
  <c r="EC23" i="59"/>
  <c r="ED23" i="59" s="1"/>
  <c r="EA23" i="59"/>
  <c r="EB23" i="59" s="1"/>
  <c r="DY23" i="59"/>
  <c r="DZ23" i="59" s="1"/>
  <c r="DW23" i="59"/>
  <c r="DX23" i="59" s="1"/>
  <c r="DU23" i="59"/>
  <c r="DV23" i="59" s="1"/>
  <c r="DS23" i="59"/>
  <c r="DT23" i="59" s="1"/>
  <c r="DQ23" i="59"/>
  <c r="DR23" i="59" s="1"/>
  <c r="DO23" i="59"/>
  <c r="DP23" i="59" s="1"/>
  <c r="DM23" i="59"/>
  <c r="DN23" i="59" s="1"/>
  <c r="DK23" i="59"/>
  <c r="DL23" i="59" s="1"/>
  <c r="DI23" i="59"/>
  <c r="DJ23" i="59" s="1"/>
  <c r="DG23" i="59"/>
  <c r="DH23" i="59" s="1"/>
  <c r="DE23" i="59"/>
  <c r="DF23" i="59" s="1"/>
  <c r="DC23" i="59"/>
  <c r="DD23" i="59" s="1"/>
  <c r="DA23" i="59"/>
  <c r="DB23" i="59" s="1"/>
  <c r="CY23" i="59"/>
  <c r="CZ23" i="59" s="1"/>
  <c r="CW23" i="59"/>
  <c r="CX23" i="59" s="1"/>
  <c r="CU23" i="59"/>
  <c r="CV23" i="59" s="1"/>
  <c r="CS23" i="59"/>
  <c r="CT23" i="59" s="1"/>
  <c r="CQ23" i="59"/>
  <c r="CR23" i="59" s="1"/>
  <c r="CO23" i="59"/>
  <c r="CP23" i="59" s="1"/>
  <c r="CM23" i="59"/>
  <c r="CN23" i="59" s="1"/>
  <c r="CK23" i="59"/>
  <c r="CL23" i="59" s="1"/>
  <c r="CI23" i="59"/>
  <c r="CJ23" i="59" s="1"/>
  <c r="CG23" i="59"/>
  <c r="CH23" i="59" s="1"/>
  <c r="CE23" i="59"/>
  <c r="CF23" i="59" s="1"/>
  <c r="CC23" i="59"/>
  <c r="CD23" i="59" s="1"/>
  <c r="CA23" i="59"/>
  <c r="CB23" i="59" s="1"/>
  <c r="BY23" i="59"/>
  <c r="BZ23" i="59" s="1"/>
  <c r="BW23" i="59"/>
  <c r="BX23" i="59" s="1"/>
  <c r="BU23" i="59"/>
  <c r="BV23" i="59" s="1"/>
  <c r="BS23" i="59"/>
  <c r="BT23" i="59" s="1"/>
  <c r="AY23" i="59"/>
  <c r="AX23" i="59"/>
  <c r="AV23" i="59"/>
  <c r="EC105" i="59"/>
  <c r="ED105" i="59" s="1"/>
  <c r="EA105" i="59"/>
  <c r="EB105" i="59" s="1"/>
  <c r="DY105" i="59"/>
  <c r="DZ105" i="59" s="1"/>
  <c r="DW105" i="59"/>
  <c r="DX105" i="59" s="1"/>
  <c r="DU105" i="59"/>
  <c r="DV105" i="59" s="1"/>
  <c r="DS105" i="59"/>
  <c r="DT105" i="59" s="1"/>
  <c r="DQ105" i="59"/>
  <c r="DR105" i="59" s="1"/>
  <c r="DO105" i="59"/>
  <c r="DP105" i="59" s="1"/>
  <c r="DM105" i="59"/>
  <c r="DN105" i="59" s="1"/>
  <c r="DK105" i="59"/>
  <c r="DL105" i="59" s="1"/>
  <c r="DI105" i="59"/>
  <c r="DJ105" i="59" s="1"/>
  <c r="DG105" i="59"/>
  <c r="DH105" i="59" s="1"/>
  <c r="DE105" i="59"/>
  <c r="DF105" i="59" s="1"/>
  <c r="DC105" i="59"/>
  <c r="DD105" i="59" s="1"/>
  <c r="DA105" i="59"/>
  <c r="DB105" i="59" s="1"/>
  <c r="CY105" i="59"/>
  <c r="CZ105" i="59" s="1"/>
  <c r="CW105" i="59"/>
  <c r="CX105" i="59" s="1"/>
  <c r="CU105" i="59"/>
  <c r="CV105" i="59" s="1"/>
  <c r="CS105" i="59"/>
  <c r="CT105" i="59" s="1"/>
  <c r="CQ105" i="59"/>
  <c r="CR105" i="59" s="1"/>
  <c r="CO105" i="59"/>
  <c r="CP105" i="59" s="1"/>
  <c r="CM105" i="59"/>
  <c r="CN105" i="59" s="1"/>
  <c r="CK105" i="59"/>
  <c r="CL105" i="59" s="1"/>
  <c r="CI105" i="59"/>
  <c r="CJ105" i="59" s="1"/>
  <c r="CG105" i="59"/>
  <c r="CH105" i="59" s="1"/>
  <c r="CE105" i="59"/>
  <c r="CF105" i="59" s="1"/>
  <c r="CC105" i="59"/>
  <c r="CD105" i="59" s="1"/>
  <c r="CA105" i="59"/>
  <c r="CB105" i="59" s="1"/>
  <c r="BY105" i="59"/>
  <c r="BZ105" i="59" s="1"/>
  <c r="BW105" i="59"/>
  <c r="BX105" i="59" s="1"/>
  <c r="BU105" i="59"/>
  <c r="BV105" i="59" s="1"/>
  <c r="BS105" i="59"/>
  <c r="BT105" i="59" s="1"/>
  <c r="AY105" i="59"/>
  <c r="AX105" i="59"/>
  <c r="AV105" i="59"/>
  <c r="G110" i="59"/>
  <c r="H110" i="59"/>
  <c r="I110" i="59"/>
  <c r="J110" i="59"/>
  <c r="K110" i="59"/>
  <c r="L110" i="59"/>
  <c r="M110" i="59"/>
  <c r="N110" i="59"/>
  <c r="O110" i="59"/>
  <c r="P110" i="59"/>
  <c r="Q110" i="59"/>
  <c r="R110" i="59"/>
  <c r="S110" i="59"/>
  <c r="T110" i="59"/>
  <c r="U110" i="59"/>
  <c r="W110" i="59"/>
  <c r="X110" i="59"/>
  <c r="Z110" i="59"/>
  <c r="AB110" i="59"/>
  <c r="AC110" i="59"/>
  <c r="AD110" i="59"/>
  <c r="AE110" i="59"/>
  <c r="AI110" i="59"/>
  <c r="AJ110" i="59"/>
  <c r="AK110" i="59"/>
  <c r="AL110" i="59"/>
  <c r="AM110" i="59"/>
  <c r="AN110" i="59"/>
  <c r="AO110" i="59"/>
  <c r="AP110" i="59"/>
  <c r="AR110" i="59"/>
  <c r="AS110" i="59"/>
  <c r="AZ110" i="59"/>
  <c r="BA110" i="59"/>
  <c r="BB110" i="59"/>
  <c r="BJ110" i="59"/>
  <c r="BL110" i="59"/>
  <c r="BM110" i="59"/>
  <c r="BP110" i="59"/>
  <c r="BQ110" i="59"/>
  <c r="F110" i="59"/>
  <c r="G54" i="61"/>
  <c r="H54" i="61"/>
  <c r="I54" i="61"/>
  <c r="J54" i="61"/>
  <c r="K54" i="61"/>
  <c r="L54" i="61"/>
  <c r="M54" i="61"/>
  <c r="N54" i="61"/>
  <c r="O54" i="61"/>
  <c r="P54" i="61"/>
  <c r="Q54" i="61"/>
  <c r="R54" i="61"/>
  <c r="S54" i="61"/>
  <c r="T54" i="61"/>
  <c r="U54" i="61"/>
  <c r="V54" i="61"/>
  <c r="W54" i="61"/>
  <c r="X54" i="61"/>
  <c r="Y54" i="61"/>
  <c r="Z54" i="61"/>
  <c r="AB54" i="61"/>
  <c r="AC54" i="61"/>
  <c r="AE54" i="61"/>
  <c r="AI54" i="61"/>
  <c r="AN54" i="61"/>
  <c r="AO54" i="61"/>
  <c r="AP54" i="61"/>
  <c r="AY54" i="61"/>
  <c r="AZ54" i="61"/>
  <c r="BC54" i="61"/>
  <c r="BD54" i="61"/>
  <c r="F54" i="61"/>
  <c r="BG105" i="59" l="1"/>
  <c r="BH105" i="59"/>
  <c r="BG25" i="59"/>
  <c r="BH25" i="59"/>
  <c r="BG23" i="59"/>
  <c r="BH23" i="59"/>
  <c r="AX25" i="61"/>
  <c r="BB25" i="61" s="1"/>
  <c r="BE25" i="61" s="1"/>
  <c r="AX18" i="61"/>
  <c r="BB18" i="61" s="1"/>
  <c r="BE18" i="61" s="1"/>
  <c r="AX17" i="61"/>
  <c r="BB17" i="61" s="1"/>
  <c r="BE17" i="61" s="1"/>
  <c r="AX36" i="61"/>
  <c r="BB36" i="61" s="1"/>
  <c r="BE36" i="61" s="1"/>
  <c r="AX23" i="61"/>
  <c r="BB23" i="61" s="1"/>
  <c r="BE23" i="61" s="1"/>
  <c r="AT23" i="59"/>
  <c r="BE23" i="59" s="1"/>
  <c r="AX50" i="61"/>
  <c r="BB50" i="61" s="1"/>
  <c r="BE50" i="61" s="1"/>
  <c r="AX16" i="61"/>
  <c r="BB16" i="61" s="1"/>
  <c r="BE16" i="61" s="1"/>
  <c r="AX37" i="61"/>
  <c r="BB37" i="61" s="1"/>
  <c r="BE37" i="61" s="1"/>
  <c r="AX49" i="61"/>
  <c r="BB49" i="61" s="1"/>
  <c r="BE49" i="61" s="1"/>
  <c r="AX24" i="61"/>
  <c r="BB24" i="61" s="1"/>
  <c r="BE24" i="61" s="1"/>
  <c r="AX19" i="61"/>
  <c r="BB19" i="61" s="1"/>
  <c r="BE19" i="61" s="1"/>
  <c r="AX20" i="61"/>
  <c r="BB20" i="61" s="1"/>
  <c r="BE20" i="61" s="1"/>
  <c r="AT105" i="59"/>
  <c r="BE105" i="59" s="1"/>
  <c r="AT25" i="59"/>
  <c r="BE25" i="59" s="1"/>
  <c r="AX33" i="61" l="1"/>
  <c r="BB33" i="61" s="1"/>
  <c r="BE33" i="61" s="1"/>
  <c r="AX11" i="61"/>
  <c r="BB11" i="61" s="1"/>
  <c r="BE11" i="61" s="1"/>
  <c r="BK23" i="59"/>
  <c r="BO23" i="59" s="1"/>
  <c r="BR23" i="59" s="1"/>
  <c r="BK25" i="59"/>
  <c r="BO25" i="59" s="1"/>
  <c r="BR25" i="59" s="1"/>
  <c r="BK105" i="59"/>
  <c r="BO105" i="59" s="1"/>
  <c r="BR105" i="59" s="1"/>
  <c r="AX14" i="61"/>
  <c r="BB14" i="61" s="1"/>
  <c r="BE14" i="61" s="1"/>
  <c r="AX34" i="61"/>
  <c r="BB34" i="61" s="1"/>
  <c r="BE34" i="61" s="1"/>
  <c r="AX15" i="61"/>
  <c r="BB15" i="61" s="1"/>
  <c r="BE15" i="61" s="1"/>
  <c r="AX12" i="61"/>
  <c r="BB12" i="61" s="1"/>
  <c r="BE12" i="61" s="1"/>
  <c r="AX35" i="61"/>
  <c r="BB35" i="61" s="1"/>
  <c r="BE35" i="61" s="1"/>
  <c r="AX13" i="61"/>
  <c r="BB13" i="61" s="1"/>
  <c r="BE13" i="61" s="1"/>
  <c r="AJ47" i="61"/>
  <c r="AJ43" i="61"/>
  <c r="AJ10" i="61"/>
  <c r="EC24" i="59" l="1"/>
  <c r="ED24" i="59" s="1"/>
  <c r="EA24" i="59"/>
  <c r="EB24" i="59" s="1"/>
  <c r="DY24" i="59"/>
  <c r="DZ24" i="59" s="1"/>
  <c r="DW24" i="59"/>
  <c r="DX24" i="59" s="1"/>
  <c r="DU24" i="59"/>
  <c r="DV24" i="59" s="1"/>
  <c r="DS24" i="59"/>
  <c r="DT24" i="59" s="1"/>
  <c r="DQ24" i="59"/>
  <c r="DR24" i="59" s="1"/>
  <c r="DO24" i="59"/>
  <c r="DP24" i="59" s="1"/>
  <c r="DM24" i="59"/>
  <c r="DN24" i="59" s="1"/>
  <c r="DK24" i="59"/>
  <c r="DL24" i="59" s="1"/>
  <c r="DI24" i="59"/>
  <c r="DJ24" i="59" s="1"/>
  <c r="DG24" i="59"/>
  <c r="DH24" i="59" s="1"/>
  <c r="DE24" i="59"/>
  <c r="DF24" i="59" s="1"/>
  <c r="DC24" i="59"/>
  <c r="DD24" i="59" s="1"/>
  <c r="DA24" i="59"/>
  <c r="DB24" i="59" s="1"/>
  <c r="CY24" i="59"/>
  <c r="CZ24" i="59" s="1"/>
  <c r="CW24" i="59"/>
  <c r="CX24" i="59" s="1"/>
  <c r="CU24" i="59"/>
  <c r="CV24" i="59" s="1"/>
  <c r="CS24" i="59"/>
  <c r="CT24" i="59" s="1"/>
  <c r="CQ24" i="59"/>
  <c r="CR24" i="59" s="1"/>
  <c r="CO24" i="59"/>
  <c r="CP24" i="59" s="1"/>
  <c r="CM24" i="59"/>
  <c r="CN24" i="59" s="1"/>
  <c r="CK24" i="59"/>
  <c r="CL24" i="59" s="1"/>
  <c r="CI24" i="59"/>
  <c r="CJ24" i="59" s="1"/>
  <c r="CG24" i="59"/>
  <c r="CH24" i="59" s="1"/>
  <c r="CE24" i="59"/>
  <c r="CF24" i="59" s="1"/>
  <c r="CC24" i="59"/>
  <c r="CD24" i="59" s="1"/>
  <c r="CA24" i="59"/>
  <c r="CB24" i="59" s="1"/>
  <c r="BY24" i="59"/>
  <c r="BZ24" i="59" s="1"/>
  <c r="BW24" i="59"/>
  <c r="BX24" i="59" s="1"/>
  <c r="BU24" i="59"/>
  <c r="BV24" i="59" s="1"/>
  <c r="BS24" i="59"/>
  <c r="BT24" i="59" s="1"/>
  <c r="AY24" i="59"/>
  <c r="AX24" i="59"/>
  <c r="AV24" i="59"/>
  <c r="BG24" i="59" l="1"/>
  <c r="BH24" i="59"/>
  <c r="AT24" i="59"/>
  <c r="BE24" i="59" s="1"/>
  <c r="BK24" i="59" l="1"/>
  <c r="BO24" i="59" s="1"/>
  <c r="BR24" i="59" s="1"/>
  <c r="EC104" i="59"/>
  <c r="ED104" i="59" s="1"/>
  <c r="EA104" i="59"/>
  <c r="EB104" i="59" s="1"/>
  <c r="DY104" i="59"/>
  <c r="DZ104" i="59" s="1"/>
  <c r="DW104" i="59"/>
  <c r="DX104" i="59" s="1"/>
  <c r="DU104" i="59"/>
  <c r="DV104" i="59" s="1"/>
  <c r="DS104" i="59"/>
  <c r="DT104" i="59" s="1"/>
  <c r="DQ104" i="59"/>
  <c r="DR104" i="59" s="1"/>
  <c r="DO104" i="59"/>
  <c r="DP104" i="59" s="1"/>
  <c r="DM104" i="59"/>
  <c r="DN104" i="59" s="1"/>
  <c r="DK104" i="59"/>
  <c r="DL104" i="59" s="1"/>
  <c r="DI104" i="59"/>
  <c r="DJ104" i="59" s="1"/>
  <c r="DG104" i="59"/>
  <c r="DH104" i="59" s="1"/>
  <c r="DE104" i="59"/>
  <c r="DF104" i="59" s="1"/>
  <c r="DC104" i="59"/>
  <c r="DD104" i="59" s="1"/>
  <c r="DA104" i="59"/>
  <c r="DB104" i="59" s="1"/>
  <c r="CY104" i="59"/>
  <c r="CZ104" i="59" s="1"/>
  <c r="CW104" i="59"/>
  <c r="CX104" i="59" s="1"/>
  <c r="CU104" i="59"/>
  <c r="CV104" i="59" s="1"/>
  <c r="CS104" i="59"/>
  <c r="CT104" i="59" s="1"/>
  <c r="CQ104" i="59"/>
  <c r="CR104" i="59" s="1"/>
  <c r="CO104" i="59"/>
  <c r="CP104" i="59" s="1"/>
  <c r="CM104" i="59"/>
  <c r="CN104" i="59" s="1"/>
  <c r="CK104" i="59"/>
  <c r="CL104" i="59" s="1"/>
  <c r="CI104" i="59"/>
  <c r="CJ104" i="59" s="1"/>
  <c r="CG104" i="59"/>
  <c r="CH104" i="59" s="1"/>
  <c r="CE104" i="59"/>
  <c r="CF104" i="59" s="1"/>
  <c r="CC104" i="59"/>
  <c r="CD104" i="59" s="1"/>
  <c r="CA104" i="59"/>
  <c r="CB104" i="59" s="1"/>
  <c r="BY104" i="59"/>
  <c r="BZ104" i="59" s="1"/>
  <c r="BW104" i="59"/>
  <c r="BX104" i="59" s="1"/>
  <c r="BU104" i="59"/>
  <c r="BV104" i="59" s="1"/>
  <c r="BS104" i="59"/>
  <c r="BT104" i="59" s="1"/>
  <c r="AY104" i="59"/>
  <c r="AX104" i="59"/>
  <c r="AV104" i="59"/>
  <c r="AU104" i="59"/>
  <c r="BG104" i="59" l="1"/>
  <c r="BH104" i="59"/>
  <c r="AT104" i="59"/>
  <c r="BE104" i="59" s="1"/>
  <c r="BK104" i="59" l="1"/>
  <c r="BO104" i="59" s="1"/>
  <c r="BR104" i="59" s="1"/>
  <c r="AM41" i="61"/>
  <c r="AL41" i="61"/>
  <c r="AJ41" i="61"/>
  <c r="AM43" i="61"/>
  <c r="AL43" i="61"/>
  <c r="AM42" i="61" l="1"/>
  <c r="AL42" i="61"/>
  <c r="AJ42" i="61"/>
  <c r="AM48" i="61"/>
  <c r="AL48" i="61"/>
  <c r="AM10" i="61"/>
  <c r="AL10" i="61"/>
  <c r="AM9" i="61"/>
  <c r="AL9" i="61"/>
  <c r="AJ9" i="61"/>
  <c r="AM44" i="61"/>
  <c r="AL44" i="61"/>
  <c r="AJ44" i="61"/>
  <c r="AM46" i="61"/>
  <c r="AL46" i="61"/>
  <c r="AJ46" i="61"/>
  <c r="AM29" i="61"/>
  <c r="AL29" i="61"/>
  <c r="AJ29" i="61"/>
  <c r="EC19" i="59"/>
  <c r="ED19" i="59" s="1"/>
  <c r="EA19" i="59"/>
  <c r="EB19" i="59" s="1"/>
  <c r="DY19" i="59"/>
  <c r="DZ19" i="59" s="1"/>
  <c r="DW19" i="59"/>
  <c r="DX19" i="59" s="1"/>
  <c r="DU19" i="59"/>
  <c r="DV19" i="59" s="1"/>
  <c r="DS19" i="59"/>
  <c r="DT19" i="59" s="1"/>
  <c r="DQ19" i="59"/>
  <c r="DR19" i="59" s="1"/>
  <c r="DO19" i="59"/>
  <c r="DP19" i="59" s="1"/>
  <c r="DM19" i="59"/>
  <c r="DN19" i="59" s="1"/>
  <c r="DK19" i="59"/>
  <c r="DL19" i="59" s="1"/>
  <c r="DI19" i="59"/>
  <c r="DJ19" i="59" s="1"/>
  <c r="DG19" i="59"/>
  <c r="DH19" i="59" s="1"/>
  <c r="DE19" i="59"/>
  <c r="DF19" i="59" s="1"/>
  <c r="DC19" i="59"/>
  <c r="DD19" i="59" s="1"/>
  <c r="DA19" i="59"/>
  <c r="DB19" i="59" s="1"/>
  <c r="CY19" i="59"/>
  <c r="CZ19" i="59" s="1"/>
  <c r="CW19" i="59"/>
  <c r="CX19" i="59" s="1"/>
  <c r="CU19" i="59"/>
  <c r="CV19" i="59" s="1"/>
  <c r="CS19" i="59"/>
  <c r="CT19" i="59" s="1"/>
  <c r="CQ19" i="59"/>
  <c r="CR19" i="59" s="1"/>
  <c r="CO19" i="59"/>
  <c r="CP19" i="59" s="1"/>
  <c r="CM19" i="59"/>
  <c r="CN19" i="59" s="1"/>
  <c r="CK19" i="59"/>
  <c r="CL19" i="59" s="1"/>
  <c r="CI19" i="59"/>
  <c r="CJ19" i="59" s="1"/>
  <c r="CG19" i="59"/>
  <c r="CH19" i="59" s="1"/>
  <c r="CE19" i="59"/>
  <c r="CF19" i="59" s="1"/>
  <c r="CC19" i="59"/>
  <c r="CD19" i="59" s="1"/>
  <c r="CA19" i="59"/>
  <c r="CB19" i="59" s="1"/>
  <c r="BY19" i="59"/>
  <c r="BZ19" i="59" s="1"/>
  <c r="BW19" i="59"/>
  <c r="BX19" i="59" s="1"/>
  <c r="BU19" i="59"/>
  <c r="BV19" i="59" s="1"/>
  <c r="BS19" i="59"/>
  <c r="BT19" i="59" s="1"/>
  <c r="AY19" i="59"/>
  <c r="AX19" i="59"/>
  <c r="AV19" i="59"/>
  <c r="EC98" i="59"/>
  <c r="ED98" i="59" s="1"/>
  <c r="EA98" i="59"/>
  <c r="EB98" i="59" s="1"/>
  <c r="DY98" i="59"/>
  <c r="DZ98" i="59" s="1"/>
  <c r="DW98" i="59"/>
  <c r="DX98" i="59" s="1"/>
  <c r="DU98" i="59"/>
  <c r="DV98" i="59" s="1"/>
  <c r="DS98" i="59"/>
  <c r="DT98" i="59" s="1"/>
  <c r="DQ98" i="59"/>
  <c r="DR98" i="59" s="1"/>
  <c r="DO98" i="59"/>
  <c r="DP98" i="59" s="1"/>
  <c r="DM98" i="59"/>
  <c r="DN98" i="59" s="1"/>
  <c r="DK98" i="59"/>
  <c r="DL98" i="59" s="1"/>
  <c r="DI98" i="59"/>
  <c r="DJ98" i="59" s="1"/>
  <c r="DG98" i="59"/>
  <c r="DH98" i="59" s="1"/>
  <c r="DE98" i="59"/>
  <c r="DF98" i="59" s="1"/>
  <c r="DC98" i="59"/>
  <c r="DD98" i="59" s="1"/>
  <c r="DA98" i="59"/>
  <c r="DB98" i="59" s="1"/>
  <c r="CY98" i="59"/>
  <c r="CZ98" i="59" s="1"/>
  <c r="CW98" i="59"/>
  <c r="CX98" i="59" s="1"/>
  <c r="CU98" i="59"/>
  <c r="CV98" i="59" s="1"/>
  <c r="CS98" i="59"/>
  <c r="CT98" i="59" s="1"/>
  <c r="CQ98" i="59"/>
  <c r="CR98" i="59" s="1"/>
  <c r="CO98" i="59"/>
  <c r="CP98" i="59" s="1"/>
  <c r="CM98" i="59"/>
  <c r="CN98" i="59" s="1"/>
  <c r="CK98" i="59"/>
  <c r="CL98" i="59" s="1"/>
  <c r="CI98" i="59"/>
  <c r="CJ98" i="59" s="1"/>
  <c r="CG98" i="59"/>
  <c r="CH98" i="59" s="1"/>
  <c r="CE98" i="59"/>
  <c r="CF98" i="59" s="1"/>
  <c r="CC98" i="59"/>
  <c r="CD98" i="59" s="1"/>
  <c r="CA98" i="59"/>
  <c r="CB98" i="59" s="1"/>
  <c r="BY98" i="59"/>
  <c r="BZ98" i="59" s="1"/>
  <c r="BW98" i="59"/>
  <c r="BX98" i="59" s="1"/>
  <c r="BU98" i="59"/>
  <c r="BV98" i="59" s="1"/>
  <c r="BS98" i="59"/>
  <c r="BT98" i="59" s="1"/>
  <c r="AY98" i="59"/>
  <c r="AX98" i="59"/>
  <c r="AV98" i="59"/>
  <c r="EC21" i="59"/>
  <c r="ED21" i="59" s="1"/>
  <c r="EA21" i="59"/>
  <c r="EB21" i="59" s="1"/>
  <c r="DY21" i="59"/>
  <c r="DZ21" i="59" s="1"/>
  <c r="DW21" i="59"/>
  <c r="DX21" i="59" s="1"/>
  <c r="DU21" i="59"/>
  <c r="DV21" i="59" s="1"/>
  <c r="DS21" i="59"/>
  <c r="DT21" i="59" s="1"/>
  <c r="DQ21" i="59"/>
  <c r="DR21" i="59" s="1"/>
  <c r="DO21" i="59"/>
  <c r="DP21" i="59" s="1"/>
  <c r="DM21" i="59"/>
  <c r="DN21" i="59" s="1"/>
  <c r="DK21" i="59"/>
  <c r="DL21" i="59" s="1"/>
  <c r="DI21" i="59"/>
  <c r="DJ21" i="59" s="1"/>
  <c r="DG21" i="59"/>
  <c r="DH21" i="59" s="1"/>
  <c r="DE21" i="59"/>
  <c r="DF21" i="59" s="1"/>
  <c r="DC21" i="59"/>
  <c r="DD21" i="59" s="1"/>
  <c r="DA21" i="59"/>
  <c r="DB21" i="59" s="1"/>
  <c r="CY21" i="59"/>
  <c r="CZ21" i="59" s="1"/>
  <c r="CW21" i="59"/>
  <c r="CX21" i="59" s="1"/>
  <c r="CU21" i="59"/>
  <c r="CV21" i="59" s="1"/>
  <c r="CS21" i="59"/>
  <c r="CT21" i="59" s="1"/>
  <c r="CQ21" i="59"/>
  <c r="CR21" i="59" s="1"/>
  <c r="CO21" i="59"/>
  <c r="CP21" i="59" s="1"/>
  <c r="CM21" i="59"/>
  <c r="CN21" i="59" s="1"/>
  <c r="CK21" i="59"/>
  <c r="CL21" i="59" s="1"/>
  <c r="CI21" i="59"/>
  <c r="CJ21" i="59" s="1"/>
  <c r="CG21" i="59"/>
  <c r="CH21" i="59" s="1"/>
  <c r="CE21" i="59"/>
  <c r="CF21" i="59" s="1"/>
  <c r="CC21" i="59"/>
  <c r="CD21" i="59" s="1"/>
  <c r="CA21" i="59"/>
  <c r="CB21" i="59" s="1"/>
  <c r="BY21" i="59"/>
  <c r="BZ21" i="59" s="1"/>
  <c r="BW21" i="59"/>
  <c r="BX21" i="59" s="1"/>
  <c r="BU21" i="59"/>
  <c r="BV21" i="59" s="1"/>
  <c r="BS21" i="59"/>
  <c r="BT21" i="59" s="1"/>
  <c r="AY21" i="59"/>
  <c r="AX21" i="59"/>
  <c r="AV21" i="59"/>
  <c r="EC18" i="59"/>
  <c r="ED18" i="59" s="1"/>
  <c r="EA18" i="59"/>
  <c r="EB18" i="59" s="1"/>
  <c r="DY18" i="59"/>
  <c r="DZ18" i="59" s="1"/>
  <c r="DW18" i="59"/>
  <c r="DX18" i="59" s="1"/>
  <c r="DU18" i="59"/>
  <c r="DV18" i="59" s="1"/>
  <c r="DS18" i="59"/>
  <c r="DT18" i="59" s="1"/>
  <c r="DQ18" i="59"/>
  <c r="DR18" i="59" s="1"/>
  <c r="DO18" i="59"/>
  <c r="DP18" i="59" s="1"/>
  <c r="DM18" i="59"/>
  <c r="DN18" i="59" s="1"/>
  <c r="DK18" i="59"/>
  <c r="DL18" i="59" s="1"/>
  <c r="DI18" i="59"/>
  <c r="DJ18" i="59" s="1"/>
  <c r="DG18" i="59"/>
  <c r="DH18" i="59" s="1"/>
  <c r="DE18" i="59"/>
  <c r="DF18" i="59" s="1"/>
  <c r="DC18" i="59"/>
  <c r="DD18" i="59" s="1"/>
  <c r="DA18" i="59"/>
  <c r="DB18" i="59" s="1"/>
  <c r="CY18" i="59"/>
  <c r="CZ18" i="59" s="1"/>
  <c r="CW18" i="59"/>
  <c r="CX18" i="59" s="1"/>
  <c r="CU18" i="59"/>
  <c r="CV18" i="59" s="1"/>
  <c r="CS18" i="59"/>
  <c r="CT18" i="59" s="1"/>
  <c r="CQ18" i="59"/>
  <c r="CR18" i="59" s="1"/>
  <c r="CO18" i="59"/>
  <c r="CP18" i="59" s="1"/>
  <c r="CM18" i="59"/>
  <c r="CN18" i="59" s="1"/>
  <c r="CK18" i="59"/>
  <c r="CL18" i="59" s="1"/>
  <c r="CI18" i="59"/>
  <c r="CJ18" i="59" s="1"/>
  <c r="CG18" i="59"/>
  <c r="CH18" i="59" s="1"/>
  <c r="CE18" i="59"/>
  <c r="CF18" i="59" s="1"/>
  <c r="CC18" i="59"/>
  <c r="CD18" i="59" s="1"/>
  <c r="CA18" i="59"/>
  <c r="CB18" i="59" s="1"/>
  <c r="BY18" i="59"/>
  <c r="BZ18" i="59" s="1"/>
  <c r="BW18" i="59"/>
  <c r="BX18" i="59" s="1"/>
  <c r="BU18" i="59"/>
  <c r="BV18" i="59" s="1"/>
  <c r="BS18" i="59"/>
  <c r="BT18" i="59" s="1"/>
  <c r="AY18" i="59"/>
  <c r="AX18" i="59"/>
  <c r="AV18" i="59"/>
  <c r="EC17" i="59"/>
  <c r="ED17" i="59" s="1"/>
  <c r="EA17" i="59"/>
  <c r="EB17" i="59" s="1"/>
  <c r="DY17" i="59"/>
  <c r="DZ17" i="59" s="1"/>
  <c r="DW17" i="59"/>
  <c r="DX17" i="59" s="1"/>
  <c r="DU17" i="59"/>
  <c r="DV17" i="59" s="1"/>
  <c r="DS17" i="59"/>
  <c r="DT17" i="59" s="1"/>
  <c r="DQ17" i="59"/>
  <c r="DR17" i="59" s="1"/>
  <c r="DO17" i="59"/>
  <c r="DP17" i="59" s="1"/>
  <c r="DM17" i="59"/>
  <c r="DN17" i="59" s="1"/>
  <c r="DK17" i="59"/>
  <c r="DL17" i="59" s="1"/>
  <c r="DI17" i="59"/>
  <c r="DJ17" i="59" s="1"/>
  <c r="DG17" i="59"/>
  <c r="DH17" i="59" s="1"/>
  <c r="DE17" i="59"/>
  <c r="DF17" i="59" s="1"/>
  <c r="DC17" i="59"/>
  <c r="DD17" i="59" s="1"/>
  <c r="DA17" i="59"/>
  <c r="DB17" i="59" s="1"/>
  <c r="CY17" i="59"/>
  <c r="CZ17" i="59" s="1"/>
  <c r="CW17" i="59"/>
  <c r="CX17" i="59" s="1"/>
  <c r="CU17" i="59"/>
  <c r="CV17" i="59" s="1"/>
  <c r="CS17" i="59"/>
  <c r="CT17" i="59" s="1"/>
  <c r="CQ17" i="59"/>
  <c r="CR17" i="59" s="1"/>
  <c r="CO17" i="59"/>
  <c r="CP17" i="59" s="1"/>
  <c r="CM17" i="59"/>
  <c r="CN17" i="59" s="1"/>
  <c r="CK17" i="59"/>
  <c r="CL17" i="59" s="1"/>
  <c r="CI17" i="59"/>
  <c r="CJ17" i="59" s="1"/>
  <c r="CG17" i="59"/>
  <c r="CH17" i="59" s="1"/>
  <c r="CE17" i="59"/>
  <c r="CF17" i="59" s="1"/>
  <c r="CC17" i="59"/>
  <c r="CD17" i="59" s="1"/>
  <c r="CA17" i="59"/>
  <c r="CB17" i="59" s="1"/>
  <c r="BY17" i="59"/>
  <c r="BZ17" i="59" s="1"/>
  <c r="BW17" i="59"/>
  <c r="BX17" i="59" s="1"/>
  <c r="BU17" i="59"/>
  <c r="BV17" i="59" s="1"/>
  <c r="BS17" i="59"/>
  <c r="BT17" i="59" s="1"/>
  <c r="AY17" i="59"/>
  <c r="AX17" i="59"/>
  <c r="AV17" i="59"/>
  <c r="EC102" i="59"/>
  <c r="ED102" i="59" s="1"/>
  <c r="EA102" i="59"/>
  <c r="EB102" i="59" s="1"/>
  <c r="DY102" i="59"/>
  <c r="DZ102" i="59" s="1"/>
  <c r="DW102" i="59"/>
  <c r="DX102" i="59" s="1"/>
  <c r="DU102" i="59"/>
  <c r="DV102" i="59" s="1"/>
  <c r="DS102" i="59"/>
  <c r="DT102" i="59" s="1"/>
  <c r="DQ102" i="59"/>
  <c r="DR102" i="59" s="1"/>
  <c r="DO102" i="59"/>
  <c r="DP102" i="59" s="1"/>
  <c r="DM102" i="59"/>
  <c r="DN102" i="59" s="1"/>
  <c r="DK102" i="59"/>
  <c r="DL102" i="59" s="1"/>
  <c r="DI102" i="59"/>
  <c r="DJ102" i="59" s="1"/>
  <c r="DG102" i="59"/>
  <c r="DH102" i="59" s="1"/>
  <c r="DE102" i="59"/>
  <c r="DF102" i="59" s="1"/>
  <c r="DC102" i="59"/>
  <c r="DD102" i="59" s="1"/>
  <c r="DA102" i="59"/>
  <c r="DB102" i="59" s="1"/>
  <c r="CY102" i="59"/>
  <c r="CZ102" i="59" s="1"/>
  <c r="CW102" i="59"/>
  <c r="CX102" i="59" s="1"/>
  <c r="CU102" i="59"/>
  <c r="CV102" i="59" s="1"/>
  <c r="CS102" i="59"/>
  <c r="CT102" i="59" s="1"/>
  <c r="CQ102" i="59"/>
  <c r="CR102" i="59" s="1"/>
  <c r="CO102" i="59"/>
  <c r="CP102" i="59" s="1"/>
  <c r="CM102" i="59"/>
  <c r="CN102" i="59" s="1"/>
  <c r="CK102" i="59"/>
  <c r="CL102" i="59" s="1"/>
  <c r="CI102" i="59"/>
  <c r="CJ102" i="59" s="1"/>
  <c r="CG102" i="59"/>
  <c r="CH102" i="59" s="1"/>
  <c r="CE102" i="59"/>
  <c r="CF102" i="59" s="1"/>
  <c r="CC102" i="59"/>
  <c r="CD102" i="59" s="1"/>
  <c r="CA102" i="59"/>
  <c r="CB102" i="59" s="1"/>
  <c r="BY102" i="59"/>
  <c r="BZ102" i="59" s="1"/>
  <c r="BW102" i="59"/>
  <c r="BX102" i="59" s="1"/>
  <c r="BU102" i="59"/>
  <c r="BV102" i="59" s="1"/>
  <c r="BS102" i="59"/>
  <c r="BT102" i="59" s="1"/>
  <c r="AY102" i="59"/>
  <c r="AX102" i="59"/>
  <c r="AV102" i="59"/>
  <c r="AU102" i="59"/>
  <c r="EC14" i="59"/>
  <c r="ED14" i="59" s="1"/>
  <c r="EA14" i="59"/>
  <c r="EB14" i="59" s="1"/>
  <c r="DY14" i="59"/>
  <c r="DZ14" i="59" s="1"/>
  <c r="DW14" i="59"/>
  <c r="DX14" i="59" s="1"/>
  <c r="DU14" i="59"/>
  <c r="DV14" i="59" s="1"/>
  <c r="DS14" i="59"/>
  <c r="DT14" i="59" s="1"/>
  <c r="DQ14" i="59"/>
  <c r="DR14" i="59" s="1"/>
  <c r="DO14" i="59"/>
  <c r="DP14" i="59" s="1"/>
  <c r="DM14" i="59"/>
  <c r="DN14" i="59" s="1"/>
  <c r="DK14" i="59"/>
  <c r="DL14" i="59" s="1"/>
  <c r="DI14" i="59"/>
  <c r="DJ14" i="59" s="1"/>
  <c r="DG14" i="59"/>
  <c r="DH14" i="59" s="1"/>
  <c r="DE14" i="59"/>
  <c r="DF14" i="59" s="1"/>
  <c r="DC14" i="59"/>
  <c r="DD14" i="59" s="1"/>
  <c r="DA14" i="59"/>
  <c r="DB14" i="59" s="1"/>
  <c r="CY14" i="59"/>
  <c r="CZ14" i="59" s="1"/>
  <c r="CW14" i="59"/>
  <c r="CX14" i="59" s="1"/>
  <c r="CU14" i="59"/>
  <c r="CV14" i="59" s="1"/>
  <c r="CS14" i="59"/>
  <c r="CT14" i="59" s="1"/>
  <c r="CQ14" i="59"/>
  <c r="CR14" i="59" s="1"/>
  <c r="CO14" i="59"/>
  <c r="CP14" i="59" s="1"/>
  <c r="CM14" i="59"/>
  <c r="CN14" i="59" s="1"/>
  <c r="CK14" i="59"/>
  <c r="CL14" i="59" s="1"/>
  <c r="CI14" i="59"/>
  <c r="CJ14" i="59" s="1"/>
  <c r="CG14" i="59"/>
  <c r="CH14" i="59" s="1"/>
  <c r="CE14" i="59"/>
  <c r="CF14" i="59" s="1"/>
  <c r="CC14" i="59"/>
  <c r="CD14" i="59" s="1"/>
  <c r="CA14" i="59"/>
  <c r="CB14" i="59" s="1"/>
  <c r="BY14" i="59"/>
  <c r="BZ14" i="59" s="1"/>
  <c r="BW14" i="59"/>
  <c r="BX14" i="59" s="1"/>
  <c r="BU14" i="59"/>
  <c r="BV14" i="59" s="1"/>
  <c r="BS14" i="59"/>
  <c r="BT14" i="59" s="1"/>
  <c r="AY14" i="59"/>
  <c r="AX14" i="59"/>
  <c r="AV14" i="59"/>
  <c r="EC97" i="59"/>
  <c r="ED97" i="59" s="1"/>
  <c r="EA97" i="59"/>
  <c r="EB97" i="59" s="1"/>
  <c r="DY97" i="59"/>
  <c r="DZ97" i="59" s="1"/>
  <c r="DW97" i="59"/>
  <c r="DX97" i="59" s="1"/>
  <c r="DU97" i="59"/>
  <c r="DV97" i="59" s="1"/>
  <c r="DS97" i="59"/>
  <c r="DT97" i="59" s="1"/>
  <c r="DQ97" i="59"/>
  <c r="DR97" i="59" s="1"/>
  <c r="DO97" i="59"/>
  <c r="DP97" i="59" s="1"/>
  <c r="DM97" i="59"/>
  <c r="DN97" i="59" s="1"/>
  <c r="DK97" i="59"/>
  <c r="DL97" i="59" s="1"/>
  <c r="DI97" i="59"/>
  <c r="DJ97" i="59" s="1"/>
  <c r="DG97" i="59"/>
  <c r="DH97" i="59" s="1"/>
  <c r="DE97" i="59"/>
  <c r="DF97" i="59" s="1"/>
  <c r="DC97" i="59"/>
  <c r="DD97" i="59" s="1"/>
  <c r="DA97" i="59"/>
  <c r="DB97" i="59" s="1"/>
  <c r="CY97" i="59"/>
  <c r="CZ97" i="59" s="1"/>
  <c r="CW97" i="59"/>
  <c r="CX97" i="59" s="1"/>
  <c r="CU97" i="59"/>
  <c r="CV97" i="59" s="1"/>
  <c r="CS97" i="59"/>
  <c r="CT97" i="59" s="1"/>
  <c r="CQ97" i="59"/>
  <c r="CR97" i="59" s="1"/>
  <c r="CO97" i="59"/>
  <c r="CP97" i="59" s="1"/>
  <c r="CM97" i="59"/>
  <c r="CN97" i="59" s="1"/>
  <c r="CK97" i="59"/>
  <c r="CL97" i="59" s="1"/>
  <c r="CI97" i="59"/>
  <c r="CJ97" i="59" s="1"/>
  <c r="CG97" i="59"/>
  <c r="CH97" i="59" s="1"/>
  <c r="CE97" i="59"/>
  <c r="CF97" i="59" s="1"/>
  <c r="CC97" i="59"/>
  <c r="CD97" i="59" s="1"/>
  <c r="CA97" i="59"/>
  <c r="CB97" i="59" s="1"/>
  <c r="BY97" i="59"/>
  <c r="BZ97" i="59" s="1"/>
  <c r="BW97" i="59"/>
  <c r="BX97" i="59" s="1"/>
  <c r="BU97" i="59"/>
  <c r="BV97" i="59" s="1"/>
  <c r="BS97" i="59"/>
  <c r="BT97" i="59" s="1"/>
  <c r="AY97" i="59"/>
  <c r="AX97" i="59"/>
  <c r="AV97" i="59"/>
  <c r="EC13" i="59"/>
  <c r="ED13" i="59" s="1"/>
  <c r="EA13" i="59"/>
  <c r="EB13" i="59" s="1"/>
  <c r="DY13" i="59"/>
  <c r="DZ13" i="59" s="1"/>
  <c r="DW13" i="59"/>
  <c r="DX13" i="59" s="1"/>
  <c r="DU13" i="59"/>
  <c r="DV13" i="59" s="1"/>
  <c r="DS13" i="59"/>
  <c r="DT13" i="59" s="1"/>
  <c r="DQ13" i="59"/>
  <c r="DR13" i="59" s="1"/>
  <c r="DO13" i="59"/>
  <c r="DP13" i="59" s="1"/>
  <c r="DM13" i="59"/>
  <c r="DN13" i="59" s="1"/>
  <c r="DK13" i="59"/>
  <c r="DL13" i="59" s="1"/>
  <c r="DI13" i="59"/>
  <c r="DJ13" i="59" s="1"/>
  <c r="DG13" i="59"/>
  <c r="DH13" i="59" s="1"/>
  <c r="DE13" i="59"/>
  <c r="DF13" i="59" s="1"/>
  <c r="DC13" i="59"/>
  <c r="DD13" i="59" s="1"/>
  <c r="DA13" i="59"/>
  <c r="DB13" i="59" s="1"/>
  <c r="CY13" i="59"/>
  <c r="CZ13" i="59" s="1"/>
  <c r="CW13" i="59"/>
  <c r="CX13" i="59" s="1"/>
  <c r="CU13" i="59"/>
  <c r="CV13" i="59" s="1"/>
  <c r="CS13" i="59"/>
  <c r="CT13" i="59" s="1"/>
  <c r="CQ13" i="59"/>
  <c r="CR13" i="59" s="1"/>
  <c r="CO13" i="59"/>
  <c r="CP13" i="59" s="1"/>
  <c r="CM13" i="59"/>
  <c r="CN13" i="59" s="1"/>
  <c r="CK13" i="59"/>
  <c r="CL13" i="59" s="1"/>
  <c r="CI13" i="59"/>
  <c r="CJ13" i="59" s="1"/>
  <c r="CG13" i="59"/>
  <c r="CH13" i="59" s="1"/>
  <c r="CE13" i="59"/>
  <c r="CF13" i="59" s="1"/>
  <c r="CC13" i="59"/>
  <c r="CD13" i="59" s="1"/>
  <c r="CA13" i="59"/>
  <c r="CB13" i="59" s="1"/>
  <c r="BY13" i="59"/>
  <c r="BZ13" i="59" s="1"/>
  <c r="BW13" i="59"/>
  <c r="BX13" i="59" s="1"/>
  <c r="BU13" i="59"/>
  <c r="BV13" i="59" s="1"/>
  <c r="BS13" i="59"/>
  <c r="BT13" i="59" s="1"/>
  <c r="AY13" i="59"/>
  <c r="AX13" i="59"/>
  <c r="AV13" i="59"/>
  <c r="EC12" i="59"/>
  <c r="ED12" i="59" s="1"/>
  <c r="EA12" i="59"/>
  <c r="EB12" i="59" s="1"/>
  <c r="DY12" i="59"/>
  <c r="DZ12" i="59" s="1"/>
  <c r="DW12" i="59"/>
  <c r="DX12" i="59" s="1"/>
  <c r="DU12" i="59"/>
  <c r="DV12" i="59" s="1"/>
  <c r="DS12" i="59"/>
  <c r="DT12" i="59" s="1"/>
  <c r="DQ12" i="59"/>
  <c r="DR12" i="59" s="1"/>
  <c r="DO12" i="59"/>
  <c r="DP12" i="59" s="1"/>
  <c r="DM12" i="59"/>
  <c r="DN12" i="59" s="1"/>
  <c r="DK12" i="59"/>
  <c r="DL12" i="59" s="1"/>
  <c r="DI12" i="59"/>
  <c r="DJ12" i="59" s="1"/>
  <c r="DG12" i="59"/>
  <c r="DH12" i="59" s="1"/>
  <c r="DE12" i="59"/>
  <c r="DF12" i="59" s="1"/>
  <c r="DC12" i="59"/>
  <c r="DD12" i="59" s="1"/>
  <c r="DA12" i="59"/>
  <c r="DB12" i="59" s="1"/>
  <c r="CY12" i="59"/>
  <c r="CZ12" i="59" s="1"/>
  <c r="CW12" i="59"/>
  <c r="CX12" i="59" s="1"/>
  <c r="CU12" i="59"/>
  <c r="CV12" i="59" s="1"/>
  <c r="CS12" i="59"/>
  <c r="CT12" i="59" s="1"/>
  <c r="CQ12" i="59"/>
  <c r="CR12" i="59" s="1"/>
  <c r="CO12" i="59"/>
  <c r="CP12" i="59" s="1"/>
  <c r="CM12" i="59"/>
  <c r="CN12" i="59" s="1"/>
  <c r="CK12" i="59"/>
  <c r="CL12" i="59" s="1"/>
  <c r="CI12" i="59"/>
  <c r="CJ12" i="59" s="1"/>
  <c r="CG12" i="59"/>
  <c r="CH12" i="59" s="1"/>
  <c r="CE12" i="59"/>
  <c r="CF12" i="59" s="1"/>
  <c r="CC12" i="59"/>
  <c r="CD12" i="59" s="1"/>
  <c r="CA12" i="59"/>
  <c r="CB12" i="59" s="1"/>
  <c r="BY12" i="59"/>
  <c r="BZ12" i="59" s="1"/>
  <c r="BW12" i="59"/>
  <c r="BX12" i="59" s="1"/>
  <c r="BU12" i="59"/>
  <c r="BV12" i="59" s="1"/>
  <c r="BS12" i="59"/>
  <c r="BT12" i="59" s="1"/>
  <c r="AY12" i="59"/>
  <c r="AX12" i="59"/>
  <c r="AV12" i="59"/>
  <c r="EC11" i="59"/>
  <c r="ED11" i="59" s="1"/>
  <c r="EA11" i="59"/>
  <c r="EB11" i="59" s="1"/>
  <c r="DY11" i="59"/>
  <c r="DZ11" i="59" s="1"/>
  <c r="DW11" i="59"/>
  <c r="DX11" i="59" s="1"/>
  <c r="DU11" i="59"/>
  <c r="DV11" i="59" s="1"/>
  <c r="DS11" i="59"/>
  <c r="DT11" i="59" s="1"/>
  <c r="DQ11" i="59"/>
  <c r="DR11" i="59" s="1"/>
  <c r="DO11" i="59"/>
  <c r="DP11" i="59" s="1"/>
  <c r="DM11" i="59"/>
  <c r="DN11" i="59" s="1"/>
  <c r="DK11" i="59"/>
  <c r="DL11" i="59" s="1"/>
  <c r="DI11" i="59"/>
  <c r="DJ11" i="59" s="1"/>
  <c r="DG11" i="59"/>
  <c r="DH11" i="59" s="1"/>
  <c r="DE11" i="59"/>
  <c r="DF11" i="59" s="1"/>
  <c r="DC11" i="59"/>
  <c r="DD11" i="59" s="1"/>
  <c r="DA11" i="59"/>
  <c r="DB11" i="59" s="1"/>
  <c r="CY11" i="59"/>
  <c r="CZ11" i="59" s="1"/>
  <c r="CW11" i="59"/>
  <c r="CX11" i="59" s="1"/>
  <c r="CU11" i="59"/>
  <c r="CV11" i="59" s="1"/>
  <c r="CS11" i="59"/>
  <c r="CT11" i="59" s="1"/>
  <c r="CQ11" i="59"/>
  <c r="CR11" i="59" s="1"/>
  <c r="CO11" i="59"/>
  <c r="CP11" i="59" s="1"/>
  <c r="CM11" i="59"/>
  <c r="CN11" i="59" s="1"/>
  <c r="CK11" i="59"/>
  <c r="CL11" i="59" s="1"/>
  <c r="CI11" i="59"/>
  <c r="CJ11" i="59" s="1"/>
  <c r="CG11" i="59"/>
  <c r="CH11" i="59" s="1"/>
  <c r="CE11" i="59"/>
  <c r="CF11" i="59" s="1"/>
  <c r="CC11" i="59"/>
  <c r="CD11" i="59" s="1"/>
  <c r="CA11" i="59"/>
  <c r="CB11" i="59" s="1"/>
  <c r="BY11" i="59"/>
  <c r="BZ11" i="59" s="1"/>
  <c r="BW11" i="59"/>
  <c r="BX11" i="59" s="1"/>
  <c r="BU11" i="59"/>
  <c r="BV11" i="59" s="1"/>
  <c r="BS11" i="59"/>
  <c r="BT11" i="59" s="1"/>
  <c r="AY11" i="59"/>
  <c r="AX11" i="59"/>
  <c r="AV11" i="59"/>
  <c r="EC15" i="59"/>
  <c r="ED15" i="59" s="1"/>
  <c r="EA15" i="59"/>
  <c r="EB15" i="59" s="1"/>
  <c r="DY15" i="59"/>
  <c r="DZ15" i="59" s="1"/>
  <c r="DW15" i="59"/>
  <c r="DX15" i="59" s="1"/>
  <c r="DU15" i="59"/>
  <c r="DV15" i="59" s="1"/>
  <c r="DS15" i="59"/>
  <c r="DT15" i="59" s="1"/>
  <c r="DQ15" i="59"/>
  <c r="DR15" i="59" s="1"/>
  <c r="DO15" i="59"/>
  <c r="DP15" i="59" s="1"/>
  <c r="DM15" i="59"/>
  <c r="DN15" i="59" s="1"/>
  <c r="DK15" i="59"/>
  <c r="DL15" i="59" s="1"/>
  <c r="DI15" i="59"/>
  <c r="DJ15" i="59" s="1"/>
  <c r="DG15" i="59"/>
  <c r="DH15" i="59" s="1"/>
  <c r="DE15" i="59"/>
  <c r="DF15" i="59" s="1"/>
  <c r="DC15" i="59"/>
  <c r="DD15" i="59" s="1"/>
  <c r="DA15" i="59"/>
  <c r="DB15" i="59" s="1"/>
  <c r="CY15" i="59"/>
  <c r="CZ15" i="59" s="1"/>
  <c r="CW15" i="59"/>
  <c r="CX15" i="59" s="1"/>
  <c r="CU15" i="59"/>
  <c r="CV15" i="59" s="1"/>
  <c r="CS15" i="59"/>
  <c r="CT15" i="59" s="1"/>
  <c r="CQ15" i="59"/>
  <c r="CR15" i="59" s="1"/>
  <c r="CO15" i="59"/>
  <c r="CP15" i="59" s="1"/>
  <c r="CM15" i="59"/>
  <c r="CN15" i="59" s="1"/>
  <c r="CK15" i="59"/>
  <c r="CL15" i="59" s="1"/>
  <c r="CI15" i="59"/>
  <c r="CJ15" i="59" s="1"/>
  <c r="CG15" i="59"/>
  <c r="CH15" i="59" s="1"/>
  <c r="CE15" i="59"/>
  <c r="CF15" i="59" s="1"/>
  <c r="CC15" i="59"/>
  <c r="CD15" i="59" s="1"/>
  <c r="CA15" i="59"/>
  <c r="CB15" i="59" s="1"/>
  <c r="BY15" i="59"/>
  <c r="BZ15" i="59" s="1"/>
  <c r="BW15" i="59"/>
  <c r="BX15" i="59" s="1"/>
  <c r="BU15" i="59"/>
  <c r="BV15" i="59" s="1"/>
  <c r="BS15" i="59"/>
  <c r="BT15" i="59" s="1"/>
  <c r="AY15" i="59"/>
  <c r="AX15" i="59"/>
  <c r="AV15" i="59"/>
  <c r="EC16" i="59"/>
  <c r="ED16" i="59" s="1"/>
  <c r="EA16" i="59"/>
  <c r="EB16" i="59" s="1"/>
  <c r="DY16" i="59"/>
  <c r="DZ16" i="59" s="1"/>
  <c r="DW16" i="59"/>
  <c r="DX16" i="59" s="1"/>
  <c r="DU16" i="59"/>
  <c r="DV16" i="59" s="1"/>
  <c r="DS16" i="59"/>
  <c r="DT16" i="59" s="1"/>
  <c r="DQ16" i="59"/>
  <c r="DR16" i="59" s="1"/>
  <c r="DO16" i="59"/>
  <c r="DP16" i="59" s="1"/>
  <c r="DM16" i="59"/>
  <c r="DN16" i="59" s="1"/>
  <c r="DK16" i="59"/>
  <c r="DL16" i="59" s="1"/>
  <c r="DI16" i="59"/>
  <c r="DJ16" i="59" s="1"/>
  <c r="DG16" i="59"/>
  <c r="DH16" i="59" s="1"/>
  <c r="DE16" i="59"/>
  <c r="DF16" i="59" s="1"/>
  <c r="DC16" i="59"/>
  <c r="DD16" i="59" s="1"/>
  <c r="DA16" i="59"/>
  <c r="DB16" i="59" s="1"/>
  <c r="CY16" i="59"/>
  <c r="CZ16" i="59" s="1"/>
  <c r="CW16" i="59"/>
  <c r="CX16" i="59" s="1"/>
  <c r="CU16" i="59"/>
  <c r="CV16" i="59" s="1"/>
  <c r="CS16" i="59"/>
  <c r="CT16" i="59" s="1"/>
  <c r="CQ16" i="59"/>
  <c r="CR16" i="59" s="1"/>
  <c r="CO16" i="59"/>
  <c r="CP16" i="59" s="1"/>
  <c r="CM16" i="59"/>
  <c r="CN16" i="59" s="1"/>
  <c r="CK16" i="59"/>
  <c r="CL16" i="59" s="1"/>
  <c r="CI16" i="59"/>
  <c r="CJ16" i="59" s="1"/>
  <c r="CG16" i="59"/>
  <c r="CH16" i="59" s="1"/>
  <c r="CE16" i="59"/>
  <c r="CF16" i="59" s="1"/>
  <c r="CC16" i="59"/>
  <c r="CD16" i="59" s="1"/>
  <c r="CA16" i="59"/>
  <c r="CB16" i="59" s="1"/>
  <c r="BY16" i="59"/>
  <c r="BZ16" i="59" s="1"/>
  <c r="BW16" i="59"/>
  <c r="BX16" i="59" s="1"/>
  <c r="BU16" i="59"/>
  <c r="BV16" i="59" s="1"/>
  <c r="BS16" i="59"/>
  <c r="BT16" i="59" s="1"/>
  <c r="AY16" i="59"/>
  <c r="AX16" i="59"/>
  <c r="AV16" i="59"/>
  <c r="EC22" i="59"/>
  <c r="ED22" i="59" s="1"/>
  <c r="EA22" i="59"/>
  <c r="EB22" i="59" s="1"/>
  <c r="DY22" i="59"/>
  <c r="DZ22" i="59" s="1"/>
  <c r="DW22" i="59"/>
  <c r="DX22" i="59" s="1"/>
  <c r="DU22" i="59"/>
  <c r="DV22" i="59" s="1"/>
  <c r="DS22" i="59"/>
  <c r="DT22" i="59" s="1"/>
  <c r="DQ22" i="59"/>
  <c r="DR22" i="59" s="1"/>
  <c r="DO22" i="59"/>
  <c r="DP22" i="59" s="1"/>
  <c r="DM22" i="59"/>
  <c r="DN22" i="59" s="1"/>
  <c r="DK22" i="59"/>
  <c r="DL22" i="59" s="1"/>
  <c r="DI22" i="59"/>
  <c r="DJ22" i="59" s="1"/>
  <c r="DG22" i="59"/>
  <c r="DH22" i="59" s="1"/>
  <c r="DE22" i="59"/>
  <c r="DF22" i="59" s="1"/>
  <c r="DC22" i="59"/>
  <c r="DD22" i="59" s="1"/>
  <c r="DA22" i="59"/>
  <c r="DB22" i="59" s="1"/>
  <c r="CY22" i="59"/>
  <c r="CZ22" i="59" s="1"/>
  <c r="CW22" i="59"/>
  <c r="CX22" i="59" s="1"/>
  <c r="CU22" i="59"/>
  <c r="CV22" i="59" s="1"/>
  <c r="CS22" i="59"/>
  <c r="CT22" i="59" s="1"/>
  <c r="CQ22" i="59"/>
  <c r="CR22" i="59" s="1"/>
  <c r="CO22" i="59"/>
  <c r="CP22" i="59" s="1"/>
  <c r="CM22" i="59"/>
  <c r="CN22" i="59" s="1"/>
  <c r="CK22" i="59"/>
  <c r="CL22" i="59" s="1"/>
  <c r="CI22" i="59"/>
  <c r="CJ22" i="59" s="1"/>
  <c r="CG22" i="59"/>
  <c r="CH22" i="59" s="1"/>
  <c r="CE22" i="59"/>
  <c r="CF22" i="59" s="1"/>
  <c r="CC22" i="59"/>
  <c r="CD22" i="59" s="1"/>
  <c r="CA22" i="59"/>
  <c r="CB22" i="59" s="1"/>
  <c r="BY22" i="59"/>
  <c r="BZ22" i="59" s="1"/>
  <c r="BW22" i="59"/>
  <c r="BX22" i="59" s="1"/>
  <c r="BU22" i="59"/>
  <c r="BV22" i="59" s="1"/>
  <c r="BS22" i="59"/>
  <c r="BT22" i="59" s="1"/>
  <c r="AY22" i="59"/>
  <c r="AX22" i="59"/>
  <c r="AV22" i="59"/>
  <c r="EC20" i="59"/>
  <c r="ED20" i="59" s="1"/>
  <c r="EA20" i="59"/>
  <c r="EB20" i="59" s="1"/>
  <c r="DY20" i="59"/>
  <c r="DZ20" i="59" s="1"/>
  <c r="DW20" i="59"/>
  <c r="DX20" i="59" s="1"/>
  <c r="DU20" i="59"/>
  <c r="DV20" i="59" s="1"/>
  <c r="DS20" i="59"/>
  <c r="DT20" i="59" s="1"/>
  <c r="DQ20" i="59"/>
  <c r="DR20" i="59" s="1"/>
  <c r="DO20" i="59"/>
  <c r="DP20" i="59" s="1"/>
  <c r="DM20" i="59"/>
  <c r="DN20" i="59" s="1"/>
  <c r="DK20" i="59"/>
  <c r="DL20" i="59" s="1"/>
  <c r="DI20" i="59"/>
  <c r="DJ20" i="59" s="1"/>
  <c r="DG20" i="59"/>
  <c r="DH20" i="59" s="1"/>
  <c r="DE20" i="59"/>
  <c r="DF20" i="59" s="1"/>
  <c r="DC20" i="59"/>
  <c r="DD20" i="59" s="1"/>
  <c r="DA20" i="59"/>
  <c r="DB20" i="59" s="1"/>
  <c r="CY20" i="59"/>
  <c r="CZ20" i="59" s="1"/>
  <c r="CW20" i="59"/>
  <c r="CX20" i="59" s="1"/>
  <c r="CU20" i="59"/>
  <c r="CV20" i="59" s="1"/>
  <c r="CS20" i="59"/>
  <c r="CT20" i="59" s="1"/>
  <c r="CQ20" i="59"/>
  <c r="CR20" i="59" s="1"/>
  <c r="CO20" i="59"/>
  <c r="CP20" i="59" s="1"/>
  <c r="CM20" i="59"/>
  <c r="CN20" i="59" s="1"/>
  <c r="CK20" i="59"/>
  <c r="CL20" i="59" s="1"/>
  <c r="CI20" i="59"/>
  <c r="CJ20" i="59" s="1"/>
  <c r="CG20" i="59"/>
  <c r="CH20" i="59" s="1"/>
  <c r="CE20" i="59"/>
  <c r="CF20" i="59" s="1"/>
  <c r="CC20" i="59"/>
  <c r="CD20" i="59" s="1"/>
  <c r="CA20" i="59"/>
  <c r="CB20" i="59" s="1"/>
  <c r="BY20" i="59"/>
  <c r="BZ20" i="59" s="1"/>
  <c r="BW20" i="59"/>
  <c r="BX20" i="59" s="1"/>
  <c r="BU20" i="59"/>
  <c r="BV20" i="59" s="1"/>
  <c r="BS20" i="59"/>
  <c r="BT20" i="59" s="1"/>
  <c r="AY20" i="59"/>
  <c r="AX20" i="59"/>
  <c r="AV20" i="59"/>
  <c r="EC103" i="59"/>
  <c r="ED103" i="59" s="1"/>
  <c r="EA103" i="59"/>
  <c r="EB103" i="59" s="1"/>
  <c r="DY103" i="59"/>
  <c r="DZ103" i="59" s="1"/>
  <c r="DW103" i="59"/>
  <c r="DX103" i="59" s="1"/>
  <c r="DU103" i="59"/>
  <c r="DV103" i="59" s="1"/>
  <c r="DS103" i="59"/>
  <c r="DT103" i="59" s="1"/>
  <c r="DQ103" i="59"/>
  <c r="DR103" i="59" s="1"/>
  <c r="DO103" i="59"/>
  <c r="DP103" i="59" s="1"/>
  <c r="DM103" i="59"/>
  <c r="DN103" i="59" s="1"/>
  <c r="DK103" i="59"/>
  <c r="DL103" i="59" s="1"/>
  <c r="DI103" i="59"/>
  <c r="DJ103" i="59" s="1"/>
  <c r="DG103" i="59"/>
  <c r="DH103" i="59" s="1"/>
  <c r="DE103" i="59"/>
  <c r="DF103" i="59" s="1"/>
  <c r="DC103" i="59"/>
  <c r="DD103" i="59" s="1"/>
  <c r="DA103" i="59"/>
  <c r="DB103" i="59" s="1"/>
  <c r="CY103" i="59"/>
  <c r="CZ103" i="59" s="1"/>
  <c r="CW103" i="59"/>
  <c r="CX103" i="59" s="1"/>
  <c r="CU103" i="59"/>
  <c r="CV103" i="59" s="1"/>
  <c r="CS103" i="59"/>
  <c r="CT103" i="59" s="1"/>
  <c r="CQ103" i="59"/>
  <c r="CR103" i="59" s="1"/>
  <c r="CO103" i="59"/>
  <c r="CP103" i="59" s="1"/>
  <c r="CM103" i="59"/>
  <c r="CN103" i="59" s="1"/>
  <c r="CK103" i="59"/>
  <c r="CL103" i="59" s="1"/>
  <c r="CI103" i="59"/>
  <c r="CJ103" i="59" s="1"/>
  <c r="CG103" i="59"/>
  <c r="CH103" i="59" s="1"/>
  <c r="CE103" i="59"/>
  <c r="CF103" i="59" s="1"/>
  <c r="CC103" i="59"/>
  <c r="CD103" i="59" s="1"/>
  <c r="CA103" i="59"/>
  <c r="CB103" i="59" s="1"/>
  <c r="BY103" i="59"/>
  <c r="BZ103" i="59" s="1"/>
  <c r="BW103" i="59"/>
  <c r="BX103" i="59" s="1"/>
  <c r="BU103" i="59"/>
  <c r="BV103" i="59" s="1"/>
  <c r="BS103" i="59"/>
  <c r="BT103" i="59" s="1"/>
  <c r="AY103" i="59"/>
  <c r="AX103" i="59"/>
  <c r="AV103" i="59"/>
  <c r="AU103" i="59"/>
  <c r="EC88" i="59"/>
  <c r="ED88" i="59" s="1"/>
  <c r="EA88" i="59"/>
  <c r="EB88" i="59" s="1"/>
  <c r="DY88" i="59"/>
  <c r="DZ88" i="59" s="1"/>
  <c r="DW88" i="59"/>
  <c r="DX88" i="59" s="1"/>
  <c r="DU88" i="59"/>
  <c r="DV88" i="59" s="1"/>
  <c r="DS88" i="59"/>
  <c r="DT88" i="59" s="1"/>
  <c r="DQ88" i="59"/>
  <c r="DR88" i="59" s="1"/>
  <c r="DO88" i="59"/>
  <c r="DP88" i="59" s="1"/>
  <c r="DM88" i="59"/>
  <c r="DN88" i="59" s="1"/>
  <c r="DK88" i="59"/>
  <c r="DL88" i="59" s="1"/>
  <c r="DI88" i="59"/>
  <c r="DJ88" i="59" s="1"/>
  <c r="DG88" i="59"/>
  <c r="DH88" i="59" s="1"/>
  <c r="DE88" i="59"/>
  <c r="DF88" i="59" s="1"/>
  <c r="DC88" i="59"/>
  <c r="DD88" i="59" s="1"/>
  <c r="DA88" i="59"/>
  <c r="DB88" i="59" s="1"/>
  <c r="CY88" i="59"/>
  <c r="CZ88" i="59" s="1"/>
  <c r="CW88" i="59"/>
  <c r="CX88" i="59" s="1"/>
  <c r="CU88" i="59"/>
  <c r="CV88" i="59" s="1"/>
  <c r="CS88" i="59"/>
  <c r="CT88" i="59" s="1"/>
  <c r="CQ88" i="59"/>
  <c r="CR88" i="59" s="1"/>
  <c r="CO88" i="59"/>
  <c r="CP88" i="59" s="1"/>
  <c r="CM88" i="59"/>
  <c r="CN88" i="59" s="1"/>
  <c r="CK88" i="59"/>
  <c r="CL88" i="59" s="1"/>
  <c r="CI88" i="59"/>
  <c r="CJ88" i="59" s="1"/>
  <c r="CG88" i="59"/>
  <c r="CH88" i="59" s="1"/>
  <c r="CE88" i="59"/>
  <c r="CF88" i="59" s="1"/>
  <c r="CC88" i="59"/>
  <c r="CD88" i="59" s="1"/>
  <c r="CA88" i="59"/>
  <c r="CB88" i="59" s="1"/>
  <c r="BY88" i="59"/>
  <c r="BZ88" i="59" s="1"/>
  <c r="BW88" i="59"/>
  <c r="BX88" i="59" s="1"/>
  <c r="BU88" i="59"/>
  <c r="BV88" i="59" s="1"/>
  <c r="BS88" i="59"/>
  <c r="BT88" i="59" s="1"/>
  <c r="AY88" i="59"/>
  <c r="AX88" i="59"/>
  <c r="AV88" i="59"/>
  <c r="EC10" i="59"/>
  <c r="ED10" i="59" s="1"/>
  <c r="EA10" i="59"/>
  <c r="EB10" i="59" s="1"/>
  <c r="DY10" i="59"/>
  <c r="DZ10" i="59" s="1"/>
  <c r="DW10" i="59"/>
  <c r="DX10" i="59" s="1"/>
  <c r="DU10" i="59"/>
  <c r="DV10" i="59" s="1"/>
  <c r="DS10" i="59"/>
  <c r="DT10" i="59" s="1"/>
  <c r="DQ10" i="59"/>
  <c r="DR10" i="59" s="1"/>
  <c r="DO10" i="59"/>
  <c r="DP10" i="59" s="1"/>
  <c r="DM10" i="59"/>
  <c r="DN10" i="59" s="1"/>
  <c r="DK10" i="59"/>
  <c r="DL10" i="59" s="1"/>
  <c r="DI10" i="59"/>
  <c r="DJ10" i="59" s="1"/>
  <c r="DG10" i="59"/>
  <c r="DH10" i="59" s="1"/>
  <c r="DE10" i="59"/>
  <c r="DF10" i="59" s="1"/>
  <c r="DC10" i="59"/>
  <c r="DD10" i="59" s="1"/>
  <c r="DA10" i="59"/>
  <c r="DB10" i="59" s="1"/>
  <c r="CY10" i="59"/>
  <c r="CZ10" i="59" s="1"/>
  <c r="CW10" i="59"/>
  <c r="CX10" i="59" s="1"/>
  <c r="CU10" i="59"/>
  <c r="CV10" i="59" s="1"/>
  <c r="CS10" i="59"/>
  <c r="CT10" i="59" s="1"/>
  <c r="CQ10" i="59"/>
  <c r="CR10" i="59" s="1"/>
  <c r="CO10" i="59"/>
  <c r="CP10" i="59" s="1"/>
  <c r="CM10" i="59"/>
  <c r="CN10" i="59" s="1"/>
  <c r="CK10" i="59"/>
  <c r="CL10" i="59" s="1"/>
  <c r="CI10" i="59"/>
  <c r="CJ10" i="59" s="1"/>
  <c r="CG10" i="59"/>
  <c r="CH10" i="59" s="1"/>
  <c r="CE10" i="59"/>
  <c r="CF10" i="59" s="1"/>
  <c r="CC10" i="59"/>
  <c r="CD10" i="59" s="1"/>
  <c r="CA10" i="59"/>
  <c r="CB10" i="59" s="1"/>
  <c r="BY10" i="59"/>
  <c r="BZ10" i="59" s="1"/>
  <c r="BW10" i="59"/>
  <c r="BX10" i="59" s="1"/>
  <c r="BU10" i="59"/>
  <c r="BV10" i="59" s="1"/>
  <c r="BS10" i="59"/>
  <c r="BT10" i="59" s="1"/>
  <c r="AY10" i="59"/>
  <c r="AX10" i="59"/>
  <c r="AV10" i="59"/>
  <c r="EC9" i="59"/>
  <c r="ED9" i="59" s="1"/>
  <c r="EA9" i="59"/>
  <c r="EB9" i="59" s="1"/>
  <c r="DY9" i="59"/>
  <c r="DZ9" i="59" s="1"/>
  <c r="DW9" i="59"/>
  <c r="DX9" i="59" s="1"/>
  <c r="DU9" i="59"/>
  <c r="DV9" i="59" s="1"/>
  <c r="DS9" i="59"/>
  <c r="DT9" i="59" s="1"/>
  <c r="DQ9" i="59"/>
  <c r="DR9" i="59" s="1"/>
  <c r="DO9" i="59"/>
  <c r="DP9" i="59" s="1"/>
  <c r="DM9" i="59"/>
  <c r="DN9" i="59" s="1"/>
  <c r="DK9" i="59"/>
  <c r="DL9" i="59" s="1"/>
  <c r="DI9" i="59"/>
  <c r="DJ9" i="59" s="1"/>
  <c r="DG9" i="59"/>
  <c r="DH9" i="59" s="1"/>
  <c r="DE9" i="59"/>
  <c r="DF9" i="59" s="1"/>
  <c r="DC9" i="59"/>
  <c r="DD9" i="59" s="1"/>
  <c r="DA9" i="59"/>
  <c r="DB9" i="59" s="1"/>
  <c r="CY9" i="59"/>
  <c r="CZ9" i="59" s="1"/>
  <c r="CW9" i="59"/>
  <c r="CX9" i="59" s="1"/>
  <c r="CU9" i="59"/>
  <c r="CV9" i="59" s="1"/>
  <c r="CS9" i="59"/>
  <c r="CT9" i="59" s="1"/>
  <c r="CQ9" i="59"/>
  <c r="CR9" i="59" s="1"/>
  <c r="CO9" i="59"/>
  <c r="CP9" i="59" s="1"/>
  <c r="CM9" i="59"/>
  <c r="CN9" i="59" s="1"/>
  <c r="CK9" i="59"/>
  <c r="CL9" i="59" s="1"/>
  <c r="CI9" i="59"/>
  <c r="CJ9" i="59" s="1"/>
  <c r="CG9" i="59"/>
  <c r="CH9" i="59" s="1"/>
  <c r="CE9" i="59"/>
  <c r="CF9" i="59" s="1"/>
  <c r="CC9" i="59"/>
  <c r="CD9" i="59" s="1"/>
  <c r="CA9" i="59"/>
  <c r="CB9" i="59" s="1"/>
  <c r="BY9" i="59"/>
  <c r="BZ9" i="59" s="1"/>
  <c r="BW9" i="59"/>
  <c r="BX9" i="59" s="1"/>
  <c r="BU9" i="59"/>
  <c r="BV9" i="59" s="1"/>
  <c r="BS9" i="59"/>
  <c r="BT9" i="59" s="1"/>
  <c r="AY9" i="59"/>
  <c r="AX9" i="59"/>
  <c r="AV9" i="59"/>
  <c r="BH103" i="59" l="1"/>
  <c r="BG103" i="59"/>
  <c r="BG102" i="59"/>
  <c r="BH102" i="59"/>
  <c r="BH88" i="59"/>
  <c r="BG88" i="59"/>
  <c r="BH10" i="59"/>
  <c r="BG10" i="59"/>
  <c r="BG97" i="59"/>
  <c r="BH97" i="59"/>
  <c r="BG18" i="59"/>
  <c r="BH18" i="59"/>
  <c r="BG12" i="59"/>
  <c r="BH12" i="59"/>
  <c r="BH9" i="59"/>
  <c r="BG9" i="59"/>
  <c r="BG20" i="59"/>
  <c r="BH20" i="59"/>
  <c r="BH16" i="59"/>
  <c r="BG16" i="59"/>
  <c r="BG11" i="59"/>
  <c r="BH11" i="59"/>
  <c r="BG13" i="59"/>
  <c r="BH13" i="59"/>
  <c r="BG14" i="59"/>
  <c r="BH14" i="59"/>
  <c r="BG98" i="59"/>
  <c r="BH98" i="59"/>
  <c r="BG17" i="59"/>
  <c r="BH17" i="59"/>
  <c r="BG21" i="59"/>
  <c r="BH21" i="59"/>
  <c r="BG19" i="59"/>
  <c r="BH19" i="59"/>
  <c r="BH22" i="59"/>
  <c r="BG22" i="59"/>
  <c r="BG15" i="59"/>
  <c r="BH15" i="59"/>
  <c r="AX43" i="61"/>
  <c r="BB43" i="61" s="1"/>
  <c r="BE43" i="61" s="1"/>
  <c r="AT16" i="59"/>
  <c r="BE16" i="59" s="1"/>
  <c r="AT17" i="59"/>
  <c r="BE17" i="59" s="1"/>
  <c r="AT10" i="59"/>
  <c r="BE10" i="59" s="1"/>
  <c r="AX41" i="61"/>
  <c r="BB41" i="61" s="1"/>
  <c r="BE41" i="61" s="1"/>
  <c r="AT97" i="59"/>
  <c r="BE97" i="59" s="1"/>
  <c r="AT15" i="59"/>
  <c r="BE15" i="59" s="1"/>
  <c r="AT14" i="59"/>
  <c r="BE14" i="59" s="1"/>
  <c r="AT21" i="59"/>
  <c r="BE21" i="59" s="1"/>
  <c r="AT11" i="59"/>
  <c r="BE11" i="59" s="1"/>
  <c r="AT9" i="59"/>
  <c r="BE9" i="59" s="1"/>
  <c r="AT88" i="59"/>
  <c r="BE88" i="59" s="1"/>
  <c r="AT18" i="59"/>
  <c r="BE18" i="59" s="1"/>
  <c r="AT98" i="59"/>
  <c r="BE98" i="59" s="1"/>
  <c r="AT19" i="59"/>
  <c r="BE19" i="59" s="1"/>
  <c r="AT22" i="59"/>
  <c r="BE22" i="59" s="1"/>
  <c r="AT13" i="59"/>
  <c r="BE13" i="59" s="1"/>
  <c r="AT20" i="59"/>
  <c r="BE20" i="59" s="1"/>
  <c r="AT12" i="59"/>
  <c r="BE12" i="59" s="1"/>
  <c r="AT102" i="59"/>
  <c r="BE102" i="59" s="1"/>
  <c r="AT103" i="59"/>
  <c r="BE103" i="59" s="1"/>
  <c r="AX48" i="61" l="1"/>
  <c r="BB48" i="61" s="1"/>
  <c r="BE48" i="61" s="1"/>
  <c r="AX44" i="61"/>
  <c r="BB44" i="61" s="1"/>
  <c r="BE44" i="61" s="1"/>
  <c r="AX42" i="61"/>
  <c r="BB42" i="61" s="1"/>
  <c r="BE42" i="61" s="1"/>
  <c r="AX29" i="61"/>
  <c r="BB29" i="61" s="1"/>
  <c r="BE29" i="61" s="1"/>
  <c r="BK13" i="59"/>
  <c r="BO13" i="59" s="1"/>
  <c r="BR13" i="59" s="1"/>
  <c r="BK18" i="59"/>
  <c r="BO18" i="59" s="1"/>
  <c r="BR18" i="59" s="1"/>
  <c r="BK15" i="59"/>
  <c r="BO15" i="59" s="1"/>
  <c r="BR15" i="59" s="1"/>
  <c r="BK97" i="59"/>
  <c r="BO97" i="59" s="1"/>
  <c r="BR97" i="59" s="1"/>
  <c r="BK17" i="59"/>
  <c r="BO17" i="59" s="1"/>
  <c r="BR17" i="59" s="1"/>
  <c r="BK102" i="59"/>
  <c r="BO102" i="59" s="1"/>
  <c r="BR102" i="59" s="1"/>
  <c r="BK10" i="59"/>
  <c r="BO10" i="59" s="1"/>
  <c r="BR10" i="59" s="1"/>
  <c r="BK16" i="59"/>
  <c r="BO16" i="59" s="1"/>
  <c r="BR16" i="59" s="1"/>
  <c r="BK22" i="59"/>
  <c r="BO22" i="59" s="1"/>
  <c r="BR22" i="59" s="1"/>
  <c r="BK19" i="59"/>
  <c r="BO19" i="59" s="1"/>
  <c r="BR19" i="59" s="1"/>
  <c r="BK88" i="59"/>
  <c r="BO88" i="59" s="1"/>
  <c r="BR88" i="59" s="1"/>
  <c r="BK103" i="59"/>
  <c r="BO103" i="59" s="1"/>
  <c r="BR103" i="59" s="1"/>
  <c r="BK9" i="59"/>
  <c r="BO9" i="59" s="1"/>
  <c r="BR9" i="59" s="1"/>
  <c r="BK98" i="59"/>
  <c r="BO98" i="59" s="1"/>
  <c r="BR98" i="59" s="1"/>
  <c r="BK12" i="59"/>
  <c r="BO12" i="59" s="1"/>
  <c r="BR12" i="59" s="1"/>
  <c r="BK14" i="59"/>
  <c r="BO14" i="59" s="1"/>
  <c r="BR14" i="59" s="1"/>
  <c r="BK11" i="59"/>
  <c r="BO11" i="59" s="1"/>
  <c r="BR11" i="59" s="1"/>
  <c r="BK21" i="59"/>
  <c r="BO21" i="59" s="1"/>
  <c r="BR21" i="59" s="1"/>
  <c r="BK20" i="59"/>
  <c r="BO20" i="59" s="1"/>
  <c r="BR20" i="59" s="1"/>
  <c r="AX46" i="61"/>
  <c r="BB46" i="61" s="1"/>
  <c r="BE46" i="61" s="1"/>
  <c r="AX9" i="61"/>
  <c r="BB9" i="61" s="1"/>
  <c r="BE9" i="61" s="1"/>
  <c r="AX10" i="61"/>
  <c r="BB10" i="61" s="1"/>
  <c r="BE10" i="61" s="1"/>
  <c r="AW110" i="59"/>
  <c r="BD110" i="59" l="1"/>
  <c r="BF110" i="59"/>
  <c r="BC110" i="59"/>
  <c r="AM6" i="61"/>
  <c r="AM31" i="61"/>
  <c r="AY65" i="59"/>
  <c r="BG65" i="59" l="1"/>
  <c r="BH65" i="59"/>
  <c r="AM47" i="61"/>
  <c r="AL47" i="61"/>
  <c r="AV4" i="59" l="1"/>
  <c r="AV96" i="59"/>
  <c r="AV5" i="59"/>
  <c r="AV6" i="59"/>
  <c r="AV7" i="59"/>
  <c r="AV8" i="59"/>
  <c r="AV65" i="59"/>
  <c r="AV66" i="59"/>
  <c r="AV67" i="59"/>
  <c r="AV68" i="59"/>
  <c r="AV72" i="59"/>
  <c r="AV73" i="59"/>
  <c r="AV74" i="59"/>
  <c r="AX47" i="61" l="1"/>
  <c r="BB47" i="61" s="1"/>
  <c r="BE47" i="61" s="1"/>
  <c r="AV110" i="59"/>
  <c r="AM40" i="61" l="1"/>
  <c r="AL40" i="61"/>
  <c r="AJ40" i="61"/>
  <c r="AM45" i="61"/>
  <c r="AL45" i="61"/>
  <c r="AJ45" i="61"/>
  <c r="AM7" i="61"/>
  <c r="AL7" i="61"/>
  <c r="AJ7" i="61"/>
  <c r="AM32" i="61"/>
  <c r="AL32" i="61"/>
  <c r="AJ32" i="61"/>
  <c r="AM8" i="61"/>
  <c r="AL8" i="61"/>
  <c r="AJ8" i="61"/>
  <c r="AM28" i="61"/>
  <c r="AL28" i="61"/>
  <c r="AJ28" i="61"/>
  <c r="AM39" i="61"/>
  <c r="AL39" i="61"/>
  <c r="AJ39" i="61"/>
  <c r="AL31" i="61"/>
  <c r="AJ31" i="61"/>
  <c r="AM27" i="61"/>
  <c r="AL27" i="61"/>
  <c r="AJ27" i="61"/>
  <c r="AL6" i="61"/>
  <c r="AJ6" i="61"/>
  <c r="AM26" i="61"/>
  <c r="AL26" i="61"/>
  <c r="AJ26" i="61"/>
  <c r="AM5" i="61"/>
  <c r="AL5" i="61"/>
  <c r="AJ5" i="61"/>
  <c r="BA4" i="61"/>
  <c r="AM4" i="61"/>
  <c r="AL4" i="61"/>
  <c r="AJ4" i="61"/>
  <c r="AX6" i="61" l="1"/>
  <c r="BB6" i="61" s="1"/>
  <c r="BE6" i="61" s="1"/>
  <c r="AX31" i="61"/>
  <c r="BB31" i="61" s="1"/>
  <c r="BE31" i="61" s="1"/>
  <c r="AT4" i="61"/>
  <c r="AJ54" i="61"/>
  <c r="BA54" i="61"/>
  <c r="AK54" i="61"/>
  <c r="AL54" i="61"/>
  <c r="AM54" i="61"/>
  <c r="AX74" i="59"/>
  <c r="AY74" i="59"/>
  <c r="BS74" i="59"/>
  <c r="BT74" i="59" s="1"/>
  <c r="BU74" i="59"/>
  <c r="BV74" i="59" s="1"/>
  <c r="BW74" i="59"/>
  <c r="BX74" i="59" s="1"/>
  <c r="BY74" i="59"/>
  <c r="BZ74" i="59" s="1"/>
  <c r="CA74" i="59"/>
  <c r="CB74" i="59" s="1"/>
  <c r="CC74" i="59"/>
  <c r="CD74" i="59" s="1"/>
  <c r="CE74" i="59"/>
  <c r="CF74" i="59" s="1"/>
  <c r="CG74" i="59"/>
  <c r="CH74" i="59" s="1"/>
  <c r="CI74" i="59"/>
  <c r="CJ74" i="59" s="1"/>
  <c r="CK74" i="59"/>
  <c r="CL74" i="59" s="1"/>
  <c r="CM74" i="59"/>
  <c r="CN74" i="59" s="1"/>
  <c r="CO74" i="59"/>
  <c r="CP74" i="59" s="1"/>
  <c r="CQ74" i="59"/>
  <c r="CR74" i="59" s="1"/>
  <c r="CS74" i="59"/>
  <c r="CT74" i="59" s="1"/>
  <c r="CU74" i="59"/>
  <c r="CV74" i="59" s="1"/>
  <c r="CW74" i="59"/>
  <c r="CX74" i="59" s="1"/>
  <c r="CY74" i="59"/>
  <c r="CZ74" i="59" s="1"/>
  <c r="DA74" i="59"/>
  <c r="DB74" i="59" s="1"/>
  <c r="DC74" i="59"/>
  <c r="DD74" i="59" s="1"/>
  <c r="DE74" i="59"/>
  <c r="DF74" i="59" s="1"/>
  <c r="DG74" i="59"/>
  <c r="DH74" i="59" s="1"/>
  <c r="DI74" i="59"/>
  <c r="DJ74" i="59" s="1"/>
  <c r="DK74" i="59"/>
  <c r="DL74" i="59" s="1"/>
  <c r="DM74" i="59"/>
  <c r="DN74" i="59" s="1"/>
  <c r="DO74" i="59"/>
  <c r="DP74" i="59" s="1"/>
  <c r="DQ74" i="59"/>
  <c r="DR74" i="59" s="1"/>
  <c r="DS74" i="59"/>
  <c r="DT74" i="59" s="1"/>
  <c r="DU74" i="59"/>
  <c r="DV74" i="59" s="1"/>
  <c r="DW74" i="59"/>
  <c r="DX74" i="59" s="1"/>
  <c r="DY74" i="59"/>
  <c r="DZ74" i="59" s="1"/>
  <c r="EA74" i="59"/>
  <c r="EB74" i="59" s="1"/>
  <c r="EC74" i="59"/>
  <c r="ED74" i="59" s="1"/>
  <c r="BG74" i="59" l="1"/>
  <c r="BH74" i="59"/>
  <c r="AX39" i="61"/>
  <c r="BB39" i="61" s="1"/>
  <c r="BE39" i="61" s="1"/>
  <c r="AX28" i="61"/>
  <c r="BB28" i="61" s="1"/>
  <c r="BE28" i="61" s="1"/>
  <c r="AX8" i="61"/>
  <c r="BB8" i="61" s="1"/>
  <c r="BE8" i="61" s="1"/>
  <c r="AX26" i="61"/>
  <c r="BB26" i="61" s="1"/>
  <c r="BE26" i="61" s="1"/>
  <c r="AT54" i="61"/>
  <c r="AX45" i="61"/>
  <c r="BB45" i="61" s="1"/>
  <c r="BE45" i="61" s="1"/>
  <c r="AX27" i="61"/>
  <c r="BB27" i="61" s="1"/>
  <c r="BE27" i="61" s="1"/>
  <c r="AX7" i="61"/>
  <c r="BB7" i="61" s="1"/>
  <c r="BE7" i="61" s="1"/>
  <c r="AX40" i="61"/>
  <c r="BB40" i="61" s="1"/>
  <c r="BE40" i="61" s="1"/>
  <c r="AX32" i="61"/>
  <c r="BB32" i="61" s="1"/>
  <c r="BE32" i="61" s="1"/>
  <c r="AX5" i="61"/>
  <c r="BB5" i="61" s="1"/>
  <c r="BE5" i="61" s="1"/>
  <c r="AT74" i="59"/>
  <c r="BE74" i="59" s="1"/>
  <c r="AX4" i="61"/>
  <c r="AS54" i="61"/>
  <c r="AU54" i="61"/>
  <c r="AV54" i="61"/>
  <c r="AR54" i="61"/>
  <c r="AQ54" i="61"/>
  <c r="BK74" i="59" l="1"/>
  <c r="BO74" i="59" s="1"/>
  <c r="BR74" i="59" s="1"/>
  <c r="AX54" i="61"/>
  <c r="BB4" i="61" l="1"/>
  <c r="BE4" i="61" l="1"/>
  <c r="BE54" i="61" s="1"/>
  <c r="BB54" i="61"/>
  <c r="EC73" i="59"/>
  <c r="ED73" i="59" s="1"/>
  <c r="EA73" i="59"/>
  <c r="EB73" i="59" s="1"/>
  <c r="DY73" i="59"/>
  <c r="DZ73" i="59" s="1"/>
  <c r="DW73" i="59"/>
  <c r="DX73" i="59" s="1"/>
  <c r="DU73" i="59"/>
  <c r="DV73" i="59" s="1"/>
  <c r="DS73" i="59"/>
  <c r="DT73" i="59" s="1"/>
  <c r="DQ73" i="59"/>
  <c r="DR73" i="59" s="1"/>
  <c r="DO73" i="59"/>
  <c r="DP73" i="59" s="1"/>
  <c r="DM73" i="59"/>
  <c r="DN73" i="59" s="1"/>
  <c r="DK73" i="59"/>
  <c r="DL73" i="59" s="1"/>
  <c r="DI73" i="59"/>
  <c r="DJ73" i="59" s="1"/>
  <c r="DG73" i="59"/>
  <c r="DH73" i="59" s="1"/>
  <c r="DE73" i="59"/>
  <c r="DF73" i="59" s="1"/>
  <c r="DC73" i="59"/>
  <c r="DD73" i="59" s="1"/>
  <c r="DA73" i="59"/>
  <c r="DB73" i="59" s="1"/>
  <c r="CY73" i="59"/>
  <c r="CZ73" i="59" s="1"/>
  <c r="CW73" i="59"/>
  <c r="CX73" i="59" s="1"/>
  <c r="CU73" i="59"/>
  <c r="CV73" i="59" s="1"/>
  <c r="CS73" i="59"/>
  <c r="CT73" i="59" s="1"/>
  <c r="CQ73" i="59"/>
  <c r="CR73" i="59" s="1"/>
  <c r="CO73" i="59"/>
  <c r="CP73" i="59" s="1"/>
  <c r="CM73" i="59"/>
  <c r="CN73" i="59" s="1"/>
  <c r="CK73" i="59"/>
  <c r="CL73" i="59" s="1"/>
  <c r="CI73" i="59"/>
  <c r="CJ73" i="59" s="1"/>
  <c r="CG73" i="59"/>
  <c r="CH73" i="59" s="1"/>
  <c r="CE73" i="59"/>
  <c r="CF73" i="59" s="1"/>
  <c r="CC73" i="59"/>
  <c r="CD73" i="59" s="1"/>
  <c r="CA73" i="59"/>
  <c r="CB73" i="59" s="1"/>
  <c r="BY73" i="59"/>
  <c r="BZ73" i="59" s="1"/>
  <c r="BW73" i="59"/>
  <c r="BX73" i="59" s="1"/>
  <c r="BU73" i="59"/>
  <c r="BV73" i="59" s="1"/>
  <c r="BS73" i="59"/>
  <c r="BT73" i="59" s="1"/>
  <c r="AY73" i="59"/>
  <c r="AX73" i="59"/>
  <c r="EC72" i="59"/>
  <c r="ED72" i="59" s="1"/>
  <c r="EA72" i="59"/>
  <c r="EB72" i="59" s="1"/>
  <c r="DY72" i="59"/>
  <c r="DZ72" i="59" s="1"/>
  <c r="DW72" i="59"/>
  <c r="DX72" i="59" s="1"/>
  <c r="DU72" i="59"/>
  <c r="DV72" i="59" s="1"/>
  <c r="DS72" i="59"/>
  <c r="DT72" i="59" s="1"/>
  <c r="DQ72" i="59"/>
  <c r="DR72" i="59" s="1"/>
  <c r="DO72" i="59"/>
  <c r="DP72" i="59" s="1"/>
  <c r="DM72" i="59"/>
  <c r="DN72" i="59" s="1"/>
  <c r="DK72" i="59"/>
  <c r="DL72" i="59" s="1"/>
  <c r="DI72" i="59"/>
  <c r="DJ72" i="59" s="1"/>
  <c r="DG72" i="59"/>
  <c r="DH72" i="59" s="1"/>
  <c r="DE72" i="59"/>
  <c r="DF72" i="59" s="1"/>
  <c r="DC72" i="59"/>
  <c r="DD72" i="59" s="1"/>
  <c r="DA72" i="59"/>
  <c r="DB72" i="59" s="1"/>
  <c r="CY72" i="59"/>
  <c r="CZ72" i="59" s="1"/>
  <c r="CW72" i="59"/>
  <c r="CX72" i="59" s="1"/>
  <c r="CU72" i="59"/>
  <c r="CV72" i="59" s="1"/>
  <c r="CS72" i="59"/>
  <c r="CT72" i="59" s="1"/>
  <c r="CQ72" i="59"/>
  <c r="CR72" i="59" s="1"/>
  <c r="CO72" i="59"/>
  <c r="CP72" i="59" s="1"/>
  <c r="CM72" i="59"/>
  <c r="CN72" i="59" s="1"/>
  <c r="CK72" i="59"/>
  <c r="CL72" i="59" s="1"/>
  <c r="CI72" i="59"/>
  <c r="CJ72" i="59" s="1"/>
  <c r="CG72" i="59"/>
  <c r="CH72" i="59" s="1"/>
  <c r="CE72" i="59"/>
  <c r="CF72" i="59" s="1"/>
  <c r="CC72" i="59"/>
  <c r="CD72" i="59" s="1"/>
  <c r="CA72" i="59"/>
  <c r="CB72" i="59" s="1"/>
  <c r="BY72" i="59"/>
  <c r="BZ72" i="59" s="1"/>
  <c r="BW72" i="59"/>
  <c r="BX72" i="59" s="1"/>
  <c r="BU72" i="59"/>
  <c r="BV72" i="59" s="1"/>
  <c r="BS72" i="59"/>
  <c r="BT72" i="59" s="1"/>
  <c r="AY72" i="59"/>
  <c r="AX72" i="59"/>
  <c r="EC68" i="59"/>
  <c r="ED68" i="59" s="1"/>
  <c r="EA68" i="59"/>
  <c r="EB68" i="59" s="1"/>
  <c r="DY68" i="59"/>
  <c r="DZ68" i="59" s="1"/>
  <c r="DW68" i="59"/>
  <c r="DX68" i="59" s="1"/>
  <c r="DU68" i="59"/>
  <c r="DV68" i="59" s="1"/>
  <c r="DS68" i="59"/>
  <c r="DT68" i="59" s="1"/>
  <c r="DQ68" i="59"/>
  <c r="DR68" i="59" s="1"/>
  <c r="DO68" i="59"/>
  <c r="DP68" i="59" s="1"/>
  <c r="DM68" i="59"/>
  <c r="DN68" i="59" s="1"/>
  <c r="DK68" i="59"/>
  <c r="DL68" i="59" s="1"/>
  <c r="DI68" i="59"/>
  <c r="DJ68" i="59" s="1"/>
  <c r="DG68" i="59"/>
  <c r="DH68" i="59" s="1"/>
  <c r="DE68" i="59"/>
  <c r="DF68" i="59" s="1"/>
  <c r="DC68" i="59"/>
  <c r="DD68" i="59" s="1"/>
  <c r="DA68" i="59"/>
  <c r="DB68" i="59" s="1"/>
  <c r="CY68" i="59"/>
  <c r="CZ68" i="59" s="1"/>
  <c r="CW68" i="59"/>
  <c r="CX68" i="59" s="1"/>
  <c r="CU68" i="59"/>
  <c r="CV68" i="59" s="1"/>
  <c r="CS68" i="59"/>
  <c r="CT68" i="59" s="1"/>
  <c r="CQ68" i="59"/>
  <c r="CR68" i="59" s="1"/>
  <c r="CO68" i="59"/>
  <c r="CP68" i="59" s="1"/>
  <c r="CM68" i="59"/>
  <c r="CN68" i="59" s="1"/>
  <c r="CK68" i="59"/>
  <c r="CL68" i="59" s="1"/>
  <c r="CI68" i="59"/>
  <c r="CJ68" i="59" s="1"/>
  <c r="CG68" i="59"/>
  <c r="CH68" i="59" s="1"/>
  <c r="CE68" i="59"/>
  <c r="CF68" i="59" s="1"/>
  <c r="CC68" i="59"/>
  <c r="CD68" i="59" s="1"/>
  <c r="CA68" i="59"/>
  <c r="CB68" i="59" s="1"/>
  <c r="BY68" i="59"/>
  <c r="BZ68" i="59" s="1"/>
  <c r="BW68" i="59"/>
  <c r="BX68" i="59" s="1"/>
  <c r="BU68" i="59"/>
  <c r="BV68" i="59" s="1"/>
  <c r="BS68" i="59"/>
  <c r="BT68" i="59" s="1"/>
  <c r="AY68" i="59"/>
  <c r="AX68" i="59"/>
  <c r="EC67" i="59"/>
  <c r="ED67" i="59" s="1"/>
  <c r="EA67" i="59"/>
  <c r="EB67" i="59" s="1"/>
  <c r="DY67" i="59"/>
  <c r="DZ67" i="59" s="1"/>
  <c r="DW67" i="59"/>
  <c r="DX67" i="59" s="1"/>
  <c r="DU67" i="59"/>
  <c r="DV67" i="59" s="1"/>
  <c r="DS67" i="59"/>
  <c r="DT67" i="59" s="1"/>
  <c r="DQ67" i="59"/>
  <c r="DR67" i="59" s="1"/>
  <c r="DO67" i="59"/>
  <c r="DP67" i="59" s="1"/>
  <c r="DM67" i="59"/>
  <c r="DN67" i="59" s="1"/>
  <c r="DK67" i="59"/>
  <c r="DL67" i="59" s="1"/>
  <c r="DI67" i="59"/>
  <c r="DJ67" i="59" s="1"/>
  <c r="DG67" i="59"/>
  <c r="DH67" i="59" s="1"/>
  <c r="DE67" i="59"/>
  <c r="DF67" i="59" s="1"/>
  <c r="DC67" i="59"/>
  <c r="DD67" i="59" s="1"/>
  <c r="DA67" i="59"/>
  <c r="DB67" i="59" s="1"/>
  <c r="CY67" i="59"/>
  <c r="CZ67" i="59" s="1"/>
  <c r="CW67" i="59"/>
  <c r="CX67" i="59" s="1"/>
  <c r="CU67" i="59"/>
  <c r="CV67" i="59" s="1"/>
  <c r="CS67" i="59"/>
  <c r="CT67" i="59" s="1"/>
  <c r="CQ67" i="59"/>
  <c r="CR67" i="59" s="1"/>
  <c r="CO67" i="59"/>
  <c r="CP67" i="59" s="1"/>
  <c r="CM67" i="59"/>
  <c r="CN67" i="59" s="1"/>
  <c r="CK67" i="59"/>
  <c r="CL67" i="59" s="1"/>
  <c r="CI67" i="59"/>
  <c r="CJ67" i="59" s="1"/>
  <c r="CG67" i="59"/>
  <c r="CH67" i="59" s="1"/>
  <c r="CE67" i="59"/>
  <c r="CF67" i="59" s="1"/>
  <c r="CC67" i="59"/>
  <c r="CD67" i="59" s="1"/>
  <c r="CA67" i="59"/>
  <c r="CB67" i="59" s="1"/>
  <c r="BY67" i="59"/>
  <c r="BZ67" i="59" s="1"/>
  <c r="BW67" i="59"/>
  <c r="BX67" i="59" s="1"/>
  <c r="BU67" i="59"/>
  <c r="BV67" i="59" s="1"/>
  <c r="BS67" i="59"/>
  <c r="BT67" i="59" s="1"/>
  <c r="AY67" i="59"/>
  <c r="AX67" i="59"/>
  <c r="EC66" i="59"/>
  <c r="ED66" i="59" s="1"/>
  <c r="EA66" i="59"/>
  <c r="EB66" i="59" s="1"/>
  <c r="DY66" i="59"/>
  <c r="DZ66" i="59" s="1"/>
  <c r="DW66" i="59"/>
  <c r="DX66" i="59" s="1"/>
  <c r="DU66" i="59"/>
  <c r="DV66" i="59" s="1"/>
  <c r="DS66" i="59"/>
  <c r="DT66" i="59" s="1"/>
  <c r="DQ66" i="59"/>
  <c r="DR66" i="59" s="1"/>
  <c r="DO66" i="59"/>
  <c r="DP66" i="59" s="1"/>
  <c r="DM66" i="59"/>
  <c r="DN66" i="59" s="1"/>
  <c r="DK66" i="59"/>
  <c r="DL66" i="59" s="1"/>
  <c r="DI66" i="59"/>
  <c r="DJ66" i="59" s="1"/>
  <c r="DG66" i="59"/>
  <c r="DH66" i="59" s="1"/>
  <c r="DE66" i="59"/>
  <c r="DF66" i="59" s="1"/>
  <c r="DC66" i="59"/>
  <c r="DD66" i="59" s="1"/>
  <c r="DA66" i="59"/>
  <c r="DB66" i="59" s="1"/>
  <c r="CY66" i="59"/>
  <c r="CZ66" i="59" s="1"/>
  <c r="CW66" i="59"/>
  <c r="CX66" i="59" s="1"/>
  <c r="CU66" i="59"/>
  <c r="CV66" i="59" s="1"/>
  <c r="CS66" i="59"/>
  <c r="CT66" i="59" s="1"/>
  <c r="CQ66" i="59"/>
  <c r="CR66" i="59" s="1"/>
  <c r="CO66" i="59"/>
  <c r="CP66" i="59" s="1"/>
  <c r="CM66" i="59"/>
  <c r="CN66" i="59" s="1"/>
  <c r="CK66" i="59"/>
  <c r="CL66" i="59" s="1"/>
  <c r="CI66" i="59"/>
  <c r="CJ66" i="59" s="1"/>
  <c r="CG66" i="59"/>
  <c r="CH66" i="59" s="1"/>
  <c r="CE66" i="59"/>
  <c r="CF66" i="59" s="1"/>
  <c r="CC66" i="59"/>
  <c r="CD66" i="59" s="1"/>
  <c r="CA66" i="59"/>
  <c r="CB66" i="59" s="1"/>
  <c r="BY66" i="59"/>
  <c r="BZ66" i="59" s="1"/>
  <c r="BW66" i="59"/>
  <c r="BX66" i="59" s="1"/>
  <c r="BU66" i="59"/>
  <c r="BV66" i="59" s="1"/>
  <c r="BS66" i="59"/>
  <c r="BT66" i="59" s="1"/>
  <c r="AY66" i="59"/>
  <c r="AX66" i="59"/>
  <c r="EC65" i="59"/>
  <c r="ED65" i="59" s="1"/>
  <c r="EA65" i="59"/>
  <c r="EB65" i="59" s="1"/>
  <c r="DY65" i="59"/>
  <c r="DZ65" i="59" s="1"/>
  <c r="DW65" i="59"/>
  <c r="DX65" i="59" s="1"/>
  <c r="DU65" i="59"/>
  <c r="DV65" i="59" s="1"/>
  <c r="DS65" i="59"/>
  <c r="DT65" i="59" s="1"/>
  <c r="DQ65" i="59"/>
  <c r="DR65" i="59" s="1"/>
  <c r="DO65" i="59"/>
  <c r="DP65" i="59" s="1"/>
  <c r="DM65" i="59"/>
  <c r="DN65" i="59" s="1"/>
  <c r="DK65" i="59"/>
  <c r="DL65" i="59" s="1"/>
  <c r="DI65" i="59"/>
  <c r="DJ65" i="59" s="1"/>
  <c r="DG65" i="59"/>
  <c r="DH65" i="59" s="1"/>
  <c r="DE65" i="59"/>
  <c r="DF65" i="59" s="1"/>
  <c r="DC65" i="59"/>
  <c r="DD65" i="59" s="1"/>
  <c r="DA65" i="59"/>
  <c r="DB65" i="59" s="1"/>
  <c r="CY65" i="59"/>
  <c r="CZ65" i="59" s="1"/>
  <c r="CW65" i="59"/>
  <c r="CX65" i="59" s="1"/>
  <c r="CU65" i="59"/>
  <c r="CV65" i="59" s="1"/>
  <c r="CS65" i="59"/>
  <c r="CT65" i="59" s="1"/>
  <c r="CQ65" i="59"/>
  <c r="CR65" i="59" s="1"/>
  <c r="CO65" i="59"/>
  <c r="CP65" i="59" s="1"/>
  <c r="CM65" i="59"/>
  <c r="CN65" i="59" s="1"/>
  <c r="CK65" i="59"/>
  <c r="CL65" i="59" s="1"/>
  <c r="CI65" i="59"/>
  <c r="CJ65" i="59" s="1"/>
  <c r="CG65" i="59"/>
  <c r="CH65" i="59" s="1"/>
  <c r="CE65" i="59"/>
  <c r="CF65" i="59" s="1"/>
  <c r="CC65" i="59"/>
  <c r="CD65" i="59" s="1"/>
  <c r="CA65" i="59"/>
  <c r="CB65" i="59" s="1"/>
  <c r="BY65" i="59"/>
  <c r="BZ65" i="59" s="1"/>
  <c r="BW65" i="59"/>
  <c r="BX65" i="59" s="1"/>
  <c r="BU65" i="59"/>
  <c r="BV65" i="59" s="1"/>
  <c r="BS65" i="59"/>
  <c r="BT65" i="59" s="1"/>
  <c r="AX65" i="59"/>
  <c r="EC8" i="59"/>
  <c r="ED8" i="59" s="1"/>
  <c r="EA8" i="59"/>
  <c r="EB8" i="59" s="1"/>
  <c r="DY8" i="59"/>
  <c r="DZ8" i="59" s="1"/>
  <c r="DW8" i="59"/>
  <c r="DX8" i="59" s="1"/>
  <c r="DU8" i="59"/>
  <c r="DV8" i="59" s="1"/>
  <c r="DS8" i="59"/>
  <c r="DT8" i="59" s="1"/>
  <c r="DQ8" i="59"/>
  <c r="DR8" i="59" s="1"/>
  <c r="DO8" i="59"/>
  <c r="DP8" i="59" s="1"/>
  <c r="DM8" i="59"/>
  <c r="DN8" i="59" s="1"/>
  <c r="DK8" i="59"/>
  <c r="DL8" i="59" s="1"/>
  <c r="DI8" i="59"/>
  <c r="DJ8" i="59" s="1"/>
  <c r="DG8" i="59"/>
  <c r="DH8" i="59" s="1"/>
  <c r="DE8" i="59"/>
  <c r="DF8" i="59" s="1"/>
  <c r="DC8" i="59"/>
  <c r="DD8" i="59" s="1"/>
  <c r="DA8" i="59"/>
  <c r="DB8" i="59" s="1"/>
  <c r="CY8" i="59"/>
  <c r="CZ8" i="59" s="1"/>
  <c r="CW8" i="59"/>
  <c r="CX8" i="59" s="1"/>
  <c r="CU8" i="59"/>
  <c r="CV8" i="59" s="1"/>
  <c r="CS8" i="59"/>
  <c r="CT8" i="59" s="1"/>
  <c r="CQ8" i="59"/>
  <c r="CR8" i="59" s="1"/>
  <c r="CO8" i="59"/>
  <c r="CP8" i="59" s="1"/>
  <c r="CM8" i="59"/>
  <c r="CN8" i="59" s="1"/>
  <c r="CK8" i="59"/>
  <c r="CL8" i="59" s="1"/>
  <c r="CI8" i="59"/>
  <c r="CJ8" i="59" s="1"/>
  <c r="CG8" i="59"/>
  <c r="CH8" i="59" s="1"/>
  <c r="CE8" i="59"/>
  <c r="CF8" i="59" s="1"/>
  <c r="CC8" i="59"/>
  <c r="CD8" i="59" s="1"/>
  <c r="CA8" i="59"/>
  <c r="CB8" i="59" s="1"/>
  <c r="BY8" i="59"/>
  <c r="BZ8" i="59" s="1"/>
  <c r="BW8" i="59"/>
  <c r="BX8" i="59" s="1"/>
  <c r="BU8" i="59"/>
  <c r="BV8" i="59" s="1"/>
  <c r="BS8" i="59"/>
  <c r="BT8" i="59" s="1"/>
  <c r="AY8" i="59"/>
  <c r="AX8" i="59"/>
  <c r="EC7" i="59"/>
  <c r="ED7" i="59" s="1"/>
  <c r="EA7" i="59"/>
  <c r="EB7" i="59" s="1"/>
  <c r="DY7" i="59"/>
  <c r="DZ7" i="59" s="1"/>
  <c r="DW7" i="59"/>
  <c r="DX7" i="59" s="1"/>
  <c r="DU7" i="59"/>
  <c r="DV7" i="59" s="1"/>
  <c r="DS7" i="59"/>
  <c r="DT7" i="59" s="1"/>
  <c r="DQ7" i="59"/>
  <c r="DR7" i="59" s="1"/>
  <c r="DO7" i="59"/>
  <c r="DP7" i="59" s="1"/>
  <c r="DM7" i="59"/>
  <c r="DN7" i="59" s="1"/>
  <c r="DK7" i="59"/>
  <c r="DL7" i="59" s="1"/>
  <c r="DI7" i="59"/>
  <c r="DJ7" i="59" s="1"/>
  <c r="DG7" i="59"/>
  <c r="DH7" i="59" s="1"/>
  <c r="DE7" i="59"/>
  <c r="DF7" i="59" s="1"/>
  <c r="DC7" i="59"/>
  <c r="DD7" i="59" s="1"/>
  <c r="DA7" i="59"/>
  <c r="DB7" i="59" s="1"/>
  <c r="CY7" i="59"/>
  <c r="CZ7" i="59" s="1"/>
  <c r="CW7" i="59"/>
  <c r="CX7" i="59" s="1"/>
  <c r="CU7" i="59"/>
  <c r="CV7" i="59" s="1"/>
  <c r="CS7" i="59"/>
  <c r="CT7" i="59" s="1"/>
  <c r="CQ7" i="59"/>
  <c r="CR7" i="59" s="1"/>
  <c r="CO7" i="59"/>
  <c r="CP7" i="59" s="1"/>
  <c r="CM7" i="59"/>
  <c r="CN7" i="59" s="1"/>
  <c r="CK7" i="59"/>
  <c r="CL7" i="59" s="1"/>
  <c r="CI7" i="59"/>
  <c r="CJ7" i="59" s="1"/>
  <c r="CG7" i="59"/>
  <c r="CH7" i="59" s="1"/>
  <c r="CE7" i="59"/>
  <c r="CF7" i="59" s="1"/>
  <c r="CC7" i="59"/>
  <c r="CD7" i="59" s="1"/>
  <c r="CA7" i="59"/>
  <c r="CB7" i="59" s="1"/>
  <c r="BY7" i="59"/>
  <c r="BZ7" i="59" s="1"/>
  <c r="BW7" i="59"/>
  <c r="BX7" i="59" s="1"/>
  <c r="BU7" i="59"/>
  <c r="BV7" i="59" s="1"/>
  <c r="BS7" i="59"/>
  <c r="BT7" i="59" s="1"/>
  <c r="AY7" i="59"/>
  <c r="AX7" i="59"/>
  <c r="EC6" i="59"/>
  <c r="ED6" i="59" s="1"/>
  <c r="EA6" i="59"/>
  <c r="EB6" i="59" s="1"/>
  <c r="DY6" i="59"/>
  <c r="DZ6" i="59" s="1"/>
  <c r="DW6" i="59"/>
  <c r="DX6" i="59" s="1"/>
  <c r="DU6" i="59"/>
  <c r="DV6" i="59" s="1"/>
  <c r="DS6" i="59"/>
  <c r="DT6" i="59" s="1"/>
  <c r="DQ6" i="59"/>
  <c r="DR6" i="59" s="1"/>
  <c r="DO6" i="59"/>
  <c r="DP6" i="59" s="1"/>
  <c r="DM6" i="59"/>
  <c r="DN6" i="59" s="1"/>
  <c r="DK6" i="59"/>
  <c r="DL6" i="59" s="1"/>
  <c r="DI6" i="59"/>
  <c r="DJ6" i="59" s="1"/>
  <c r="DG6" i="59"/>
  <c r="DH6" i="59" s="1"/>
  <c r="DE6" i="59"/>
  <c r="DF6" i="59" s="1"/>
  <c r="DC6" i="59"/>
  <c r="DD6" i="59" s="1"/>
  <c r="DA6" i="59"/>
  <c r="DB6" i="59" s="1"/>
  <c r="CY6" i="59"/>
  <c r="CZ6" i="59" s="1"/>
  <c r="CW6" i="59"/>
  <c r="CX6" i="59" s="1"/>
  <c r="CU6" i="59"/>
  <c r="CV6" i="59" s="1"/>
  <c r="CS6" i="59"/>
  <c r="CT6" i="59" s="1"/>
  <c r="CQ6" i="59"/>
  <c r="CR6" i="59" s="1"/>
  <c r="CO6" i="59"/>
  <c r="CP6" i="59" s="1"/>
  <c r="CM6" i="59"/>
  <c r="CN6" i="59" s="1"/>
  <c r="CK6" i="59"/>
  <c r="CL6" i="59" s="1"/>
  <c r="CI6" i="59"/>
  <c r="CJ6" i="59" s="1"/>
  <c r="CG6" i="59"/>
  <c r="CH6" i="59" s="1"/>
  <c r="CE6" i="59"/>
  <c r="CF6" i="59" s="1"/>
  <c r="CC6" i="59"/>
  <c r="CD6" i="59" s="1"/>
  <c r="CA6" i="59"/>
  <c r="CB6" i="59" s="1"/>
  <c r="BY6" i="59"/>
  <c r="BZ6" i="59" s="1"/>
  <c r="BW6" i="59"/>
  <c r="BX6" i="59" s="1"/>
  <c r="BU6" i="59"/>
  <c r="BV6" i="59" s="1"/>
  <c r="BS6" i="59"/>
  <c r="BT6" i="59" s="1"/>
  <c r="AY6" i="59"/>
  <c r="AX6" i="59"/>
  <c r="EC5" i="59"/>
  <c r="ED5" i="59" s="1"/>
  <c r="EA5" i="59"/>
  <c r="EB5" i="59" s="1"/>
  <c r="DY5" i="59"/>
  <c r="DZ5" i="59" s="1"/>
  <c r="DW5" i="59"/>
  <c r="DX5" i="59" s="1"/>
  <c r="DU5" i="59"/>
  <c r="DV5" i="59" s="1"/>
  <c r="DS5" i="59"/>
  <c r="DT5" i="59" s="1"/>
  <c r="DQ5" i="59"/>
  <c r="DR5" i="59" s="1"/>
  <c r="DO5" i="59"/>
  <c r="DP5" i="59" s="1"/>
  <c r="DM5" i="59"/>
  <c r="DN5" i="59" s="1"/>
  <c r="DK5" i="59"/>
  <c r="DL5" i="59" s="1"/>
  <c r="DI5" i="59"/>
  <c r="DJ5" i="59" s="1"/>
  <c r="DG5" i="59"/>
  <c r="DH5" i="59" s="1"/>
  <c r="DE5" i="59"/>
  <c r="DF5" i="59" s="1"/>
  <c r="DC5" i="59"/>
  <c r="DD5" i="59" s="1"/>
  <c r="DA5" i="59"/>
  <c r="DB5" i="59" s="1"/>
  <c r="CY5" i="59"/>
  <c r="CZ5" i="59" s="1"/>
  <c r="CW5" i="59"/>
  <c r="CX5" i="59" s="1"/>
  <c r="CU5" i="59"/>
  <c r="CV5" i="59" s="1"/>
  <c r="CS5" i="59"/>
  <c r="CT5" i="59" s="1"/>
  <c r="CQ5" i="59"/>
  <c r="CR5" i="59" s="1"/>
  <c r="CO5" i="59"/>
  <c r="CP5" i="59" s="1"/>
  <c r="CM5" i="59"/>
  <c r="CN5" i="59" s="1"/>
  <c r="CK5" i="59"/>
  <c r="CL5" i="59" s="1"/>
  <c r="CI5" i="59"/>
  <c r="CJ5" i="59" s="1"/>
  <c r="CG5" i="59"/>
  <c r="CH5" i="59" s="1"/>
  <c r="CE5" i="59"/>
  <c r="CF5" i="59" s="1"/>
  <c r="CC5" i="59"/>
  <c r="CD5" i="59" s="1"/>
  <c r="CA5" i="59"/>
  <c r="CB5" i="59" s="1"/>
  <c r="BY5" i="59"/>
  <c r="BZ5" i="59" s="1"/>
  <c r="BW5" i="59"/>
  <c r="BX5" i="59" s="1"/>
  <c r="BU5" i="59"/>
  <c r="BV5" i="59" s="1"/>
  <c r="BS5" i="59"/>
  <c r="BT5" i="59" s="1"/>
  <c r="AY5" i="59"/>
  <c r="AX5" i="59"/>
  <c r="EC96" i="59"/>
  <c r="ED96" i="59" s="1"/>
  <c r="EA96" i="59"/>
  <c r="EB96" i="59" s="1"/>
  <c r="DY96" i="59"/>
  <c r="DZ96" i="59" s="1"/>
  <c r="DW96" i="59"/>
  <c r="DX96" i="59" s="1"/>
  <c r="DU96" i="59"/>
  <c r="DV96" i="59" s="1"/>
  <c r="DS96" i="59"/>
  <c r="DT96" i="59" s="1"/>
  <c r="DQ96" i="59"/>
  <c r="DR96" i="59" s="1"/>
  <c r="DO96" i="59"/>
  <c r="DP96" i="59" s="1"/>
  <c r="DM96" i="59"/>
  <c r="DN96" i="59" s="1"/>
  <c r="DK96" i="59"/>
  <c r="DL96" i="59" s="1"/>
  <c r="DI96" i="59"/>
  <c r="DJ96" i="59" s="1"/>
  <c r="DG96" i="59"/>
  <c r="DH96" i="59" s="1"/>
  <c r="DE96" i="59"/>
  <c r="DF96" i="59" s="1"/>
  <c r="DC96" i="59"/>
  <c r="DD96" i="59" s="1"/>
  <c r="DA96" i="59"/>
  <c r="DB96" i="59" s="1"/>
  <c r="CY96" i="59"/>
  <c r="CZ96" i="59" s="1"/>
  <c r="CW96" i="59"/>
  <c r="CX96" i="59" s="1"/>
  <c r="CU96" i="59"/>
  <c r="CV96" i="59" s="1"/>
  <c r="CS96" i="59"/>
  <c r="CT96" i="59" s="1"/>
  <c r="CQ96" i="59"/>
  <c r="CR96" i="59" s="1"/>
  <c r="CO96" i="59"/>
  <c r="CP96" i="59" s="1"/>
  <c r="CM96" i="59"/>
  <c r="CN96" i="59" s="1"/>
  <c r="CK96" i="59"/>
  <c r="CL96" i="59" s="1"/>
  <c r="CI96" i="59"/>
  <c r="CJ96" i="59" s="1"/>
  <c r="CG96" i="59"/>
  <c r="CH96" i="59" s="1"/>
  <c r="CE96" i="59"/>
  <c r="CF96" i="59" s="1"/>
  <c r="CC96" i="59"/>
  <c r="CD96" i="59" s="1"/>
  <c r="CA96" i="59"/>
  <c r="CB96" i="59" s="1"/>
  <c r="BY96" i="59"/>
  <c r="BZ96" i="59" s="1"/>
  <c r="BW96" i="59"/>
  <c r="BX96" i="59" s="1"/>
  <c r="BU96" i="59"/>
  <c r="BV96" i="59" s="1"/>
  <c r="BS96" i="59"/>
  <c r="BT96" i="59" s="1"/>
  <c r="BN96" i="59"/>
  <c r="AY96" i="59"/>
  <c r="AX96" i="59"/>
  <c r="EC4" i="59"/>
  <c r="ED4" i="59" s="1"/>
  <c r="EA4" i="59"/>
  <c r="EB4" i="59" s="1"/>
  <c r="DY4" i="59"/>
  <c r="DZ4" i="59" s="1"/>
  <c r="DW4" i="59"/>
  <c r="DX4" i="59" s="1"/>
  <c r="DU4" i="59"/>
  <c r="DV4" i="59" s="1"/>
  <c r="DS4" i="59"/>
  <c r="DT4" i="59" s="1"/>
  <c r="DQ4" i="59"/>
  <c r="DR4" i="59" s="1"/>
  <c r="DO4" i="59"/>
  <c r="DP4" i="59" s="1"/>
  <c r="DM4" i="59"/>
  <c r="DN4" i="59" s="1"/>
  <c r="DK4" i="59"/>
  <c r="DL4" i="59" s="1"/>
  <c r="DI4" i="59"/>
  <c r="DJ4" i="59" s="1"/>
  <c r="DG4" i="59"/>
  <c r="DH4" i="59" s="1"/>
  <c r="DE4" i="59"/>
  <c r="DF4" i="59" s="1"/>
  <c r="DC4" i="59"/>
  <c r="DD4" i="59" s="1"/>
  <c r="DA4" i="59"/>
  <c r="DB4" i="59" s="1"/>
  <c r="CY4" i="59"/>
  <c r="CZ4" i="59" s="1"/>
  <c r="CW4" i="59"/>
  <c r="CX4" i="59" s="1"/>
  <c r="CU4" i="59"/>
  <c r="CV4" i="59" s="1"/>
  <c r="CS4" i="59"/>
  <c r="CT4" i="59" s="1"/>
  <c r="CQ4" i="59"/>
  <c r="CR4" i="59" s="1"/>
  <c r="CO4" i="59"/>
  <c r="CP4" i="59" s="1"/>
  <c r="CM4" i="59"/>
  <c r="CN4" i="59" s="1"/>
  <c r="CK4" i="59"/>
  <c r="CL4" i="59" s="1"/>
  <c r="CI4" i="59"/>
  <c r="CJ4" i="59" s="1"/>
  <c r="CG4" i="59"/>
  <c r="CH4" i="59" s="1"/>
  <c r="CE4" i="59"/>
  <c r="CF4" i="59" s="1"/>
  <c r="CC4" i="59"/>
  <c r="CD4" i="59" s="1"/>
  <c r="CA4" i="59"/>
  <c r="CB4" i="59" s="1"/>
  <c r="BY4" i="59"/>
  <c r="BZ4" i="59" s="1"/>
  <c r="BW4" i="59"/>
  <c r="BX4" i="59" s="1"/>
  <c r="BU4" i="59"/>
  <c r="BV4" i="59" s="1"/>
  <c r="BS4" i="59"/>
  <c r="BT4" i="59" s="1"/>
  <c r="AY4" i="59"/>
  <c r="AX4" i="59"/>
  <c r="BG96" i="59" l="1"/>
  <c r="BH96" i="59"/>
  <c r="BG5" i="59"/>
  <c r="BH5" i="59"/>
  <c r="BG8" i="59"/>
  <c r="BH8" i="59"/>
  <c r="BG73" i="59"/>
  <c r="BH73" i="59"/>
  <c r="BH4" i="59"/>
  <c r="BG4" i="59"/>
  <c r="BG72" i="59"/>
  <c r="BH72" i="59"/>
  <c r="BG67" i="59"/>
  <c r="BH67" i="59"/>
  <c r="BG6" i="59"/>
  <c r="BH6" i="59"/>
  <c r="BG68" i="59"/>
  <c r="BH68" i="59"/>
  <c r="BG7" i="59"/>
  <c r="BH7" i="59"/>
  <c r="BG66" i="59"/>
  <c r="BH66" i="59"/>
  <c r="AT65" i="59"/>
  <c r="BE65" i="59" s="1"/>
  <c r="AT67" i="59"/>
  <c r="BE67" i="59" s="1"/>
  <c r="AT72" i="59"/>
  <c r="BE72" i="59" s="1"/>
  <c r="AT7" i="59"/>
  <c r="BE7" i="59" s="1"/>
  <c r="AT66" i="59"/>
  <c r="BE66" i="59" s="1"/>
  <c r="AT68" i="59"/>
  <c r="BE68" i="59" s="1"/>
  <c r="AT73" i="59"/>
  <c r="BE73" i="59" s="1"/>
  <c r="AT6" i="59"/>
  <c r="BE6" i="59" s="1"/>
  <c r="AT8" i="59"/>
  <c r="BE8" i="59" s="1"/>
  <c r="AX110" i="59"/>
  <c r="BN110" i="59"/>
  <c r="AY110" i="59"/>
  <c r="AU5" i="59"/>
  <c r="AU4" i="59"/>
  <c r="AU96" i="59"/>
  <c r="AT96" i="59"/>
  <c r="DS110" i="59"/>
  <c r="DT110" i="59" s="1"/>
  <c r="EC110" i="59"/>
  <c r="ED110" i="59" s="1"/>
  <c r="DQ110" i="59"/>
  <c r="DR110" i="59" s="1"/>
  <c r="AT5" i="59"/>
  <c r="AT4" i="59"/>
  <c r="CI110" i="59"/>
  <c r="CJ110" i="59" s="1"/>
  <c r="CU110" i="59"/>
  <c r="CV110" i="59" s="1"/>
  <c r="DG110" i="59"/>
  <c r="DH110" i="59" s="1"/>
  <c r="CK110" i="59"/>
  <c r="CL110" i="59" s="1"/>
  <c r="CW110" i="59"/>
  <c r="CX110" i="59" s="1"/>
  <c r="DI110" i="59"/>
  <c r="DJ110" i="59" s="1"/>
  <c r="DU110" i="59"/>
  <c r="DV110" i="59" s="1"/>
  <c r="CA110" i="59"/>
  <c r="CB110" i="59" s="1"/>
  <c r="CM110" i="59"/>
  <c r="CN110" i="59" s="1"/>
  <c r="CY110" i="59"/>
  <c r="CZ110" i="59" s="1"/>
  <c r="DK110" i="59"/>
  <c r="DL110" i="59" s="1"/>
  <c r="DW110" i="59"/>
  <c r="DX110" i="59" s="1"/>
  <c r="CC110" i="59"/>
  <c r="CD110" i="59" s="1"/>
  <c r="CO110" i="59"/>
  <c r="CP110" i="59" s="1"/>
  <c r="DA110" i="59"/>
  <c r="DB110" i="59" s="1"/>
  <c r="DM110" i="59"/>
  <c r="DN110" i="59" s="1"/>
  <c r="DY110" i="59"/>
  <c r="DZ110" i="59" s="1"/>
  <c r="CE110" i="59"/>
  <c r="CF110" i="59" s="1"/>
  <c r="CQ110" i="59"/>
  <c r="CR110" i="59" s="1"/>
  <c r="DC110" i="59"/>
  <c r="DD110" i="59" s="1"/>
  <c r="DO110" i="59"/>
  <c r="DP110" i="59" s="1"/>
  <c r="EA110" i="59"/>
  <c r="EB110" i="59" s="1"/>
  <c r="CG110" i="59"/>
  <c r="CH110" i="59" s="1"/>
  <c r="CS110" i="59"/>
  <c r="CT110" i="59" s="1"/>
  <c r="DE110" i="59"/>
  <c r="DF110" i="59" s="1"/>
  <c r="BE96" i="59" l="1"/>
  <c r="BK96" i="59" s="1"/>
  <c r="BO96" i="59" s="1"/>
  <c r="BR96" i="59" s="1"/>
  <c r="BE4" i="59"/>
  <c r="BK4" i="59" s="1"/>
  <c r="BO4" i="59" s="1"/>
  <c r="BR4" i="59" s="1"/>
  <c r="BE5" i="59"/>
  <c r="BK5" i="59" s="1"/>
  <c r="BO5" i="59" s="1"/>
  <c r="BR5" i="59" s="1"/>
  <c r="BK65" i="59"/>
  <c r="BO65" i="59" s="1"/>
  <c r="BR65" i="59" s="1"/>
  <c r="BK6" i="59"/>
  <c r="BO6" i="59" s="1"/>
  <c r="BR6" i="59" s="1"/>
  <c r="BK7" i="59"/>
  <c r="BO7" i="59" s="1"/>
  <c r="BR7" i="59" s="1"/>
  <c r="BK73" i="59"/>
  <c r="BO73" i="59" s="1"/>
  <c r="BR73" i="59" s="1"/>
  <c r="BK67" i="59"/>
  <c r="BO67" i="59" s="1"/>
  <c r="BR67" i="59" s="1"/>
  <c r="BK68" i="59"/>
  <c r="BO68" i="59" s="1"/>
  <c r="BR68" i="59" s="1"/>
  <c r="BK72" i="59"/>
  <c r="BO72" i="59" s="1"/>
  <c r="BR72" i="59" s="1"/>
  <c r="BK66" i="59"/>
  <c r="BO66" i="59" s="1"/>
  <c r="BR66" i="59" s="1"/>
  <c r="BK8" i="59"/>
  <c r="BO8" i="59" s="1"/>
  <c r="BR8" i="59" s="1"/>
  <c r="AT110" i="59"/>
  <c r="AU110" i="59"/>
  <c r="BH110" i="59"/>
  <c r="BG110" i="59"/>
  <c r="BE110" i="59" l="1"/>
  <c r="BK110" i="59"/>
  <c r="BO110" i="59" l="1"/>
  <c r="BR110" i="5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B26" authorId="0" shapeId="0" xr:uid="{CF625925-5B78-479F-9D66-B12B9DA7BD01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FOREMEN ALLOWANCE = 200/-+100/-,
SPECIAL ALLOWANCE = 200/-</t>
        </r>
      </text>
    </comment>
  </commentList>
</comments>
</file>

<file path=xl/sharedStrings.xml><?xml version="1.0" encoding="utf-8"?>
<sst xmlns="http://schemas.openxmlformats.org/spreadsheetml/2006/main" count="4559" uniqueCount="636">
  <si>
    <t>NAME</t>
  </si>
  <si>
    <t>D.O.J</t>
  </si>
  <si>
    <t>F</t>
  </si>
  <si>
    <t>S NO</t>
  </si>
  <si>
    <t>EMP. 
NO.</t>
  </si>
  <si>
    <t>TOTAL 
NORMAL 
OT HOURS</t>
  </si>
  <si>
    <t>TOTAL WORKING DAYS</t>
  </si>
  <si>
    <t>TOTAL ABSENT DAYS</t>
  </si>
  <si>
    <t>OT-1_ 8.5HRS</t>
  </si>
  <si>
    <t>OT-2_ 9HRS</t>
  </si>
  <si>
    <t>OT-3_ 9.5HRS</t>
  </si>
  <si>
    <t>OT-4_ 10HRS</t>
  </si>
  <si>
    <t>M</t>
  </si>
  <si>
    <t>T</t>
  </si>
  <si>
    <t>W</t>
  </si>
  <si>
    <t>S</t>
  </si>
  <si>
    <t>TECHNICIANS ATTENDANCE</t>
  </si>
  <si>
    <t>TOTAL WEEKOFF
 OT HOURS</t>
  </si>
  <si>
    <t>1F</t>
  </si>
  <si>
    <t>OT-F_ 10.5HRS</t>
  </si>
  <si>
    <t>OT-6_ 11HRS</t>
  </si>
  <si>
    <t>OT-7_ 11.5HRS</t>
  </si>
  <si>
    <t>OT-8_ 12HRS</t>
  </si>
  <si>
    <t>OT-9_ 12.5HRS</t>
  </si>
  <si>
    <t>OT-10_ 13HRS</t>
  </si>
  <si>
    <t>OT-11_ 13.5HRS</t>
  </si>
  <si>
    <t>OT-12_ 14HRS</t>
  </si>
  <si>
    <t>OT-13_ 14.5HRS</t>
  </si>
  <si>
    <t>OT-14_ 15HRS</t>
  </si>
  <si>
    <t>OT-15_ 15.5HRS</t>
  </si>
  <si>
    <t>OT-16_ 16HRS</t>
  </si>
  <si>
    <t>OT-17_ 16.5HRS</t>
  </si>
  <si>
    <t>OT-18_ 17HRS</t>
  </si>
  <si>
    <t>OT-19_ 17.5HRS</t>
  </si>
  <si>
    <t>OT-20_ 18HRS</t>
  </si>
  <si>
    <t>OT-21_ 18.5HRS</t>
  </si>
  <si>
    <t>OT-22_ 19HRS</t>
  </si>
  <si>
    <t>OT-23_ 19.5HRS</t>
  </si>
  <si>
    <t>OT-24_ 20HRS</t>
  </si>
  <si>
    <t>OT-25_ 20.5HRS</t>
  </si>
  <si>
    <t>OT-26_ 21HRS</t>
  </si>
  <si>
    <t>OT-27_ 21.5HRS</t>
  </si>
  <si>
    <t>OT-28_ 22HRS</t>
  </si>
  <si>
    <t>OT-29_ 22.5HRS</t>
  </si>
  <si>
    <t>OT-30_ 23HRS</t>
  </si>
  <si>
    <t>OT-31_ 23.5HRS</t>
  </si>
  <si>
    <t>OT-32_ 24HRS</t>
  </si>
  <si>
    <t>BASIC</t>
  </si>
  <si>
    <t>FOOD ALLOWANCE</t>
  </si>
  <si>
    <t>FOREMAN ALLOWANCE</t>
  </si>
  <si>
    <t>OVER TIME</t>
  </si>
  <si>
    <t>TOTAL AMOUNT</t>
  </si>
  <si>
    <t>SALARY ADVANCE DEDUCTION</t>
  </si>
  <si>
    <t>TOTAL DEDUCTION</t>
  </si>
  <si>
    <t>NET AMOUNT</t>
  </si>
  <si>
    <t>ARREARS</t>
  </si>
  <si>
    <t>RECOVERY</t>
  </si>
  <si>
    <t>NET SALARY
BANK</t>
  </si>
  <si>
    <t>TOTAL IDLE DAYS</t>
  </si>
  <si>
    <t>003</t>
  </si>
  <si>
    <t>Abhishek Kumar</t>
  </si>
  <si>
    <t>Mason</t>
  </si>
  <si>
    <t>005</t>
  </si>
  <si>
    <t>Jay Prakash</t>
  </si>
  <si>
    <t>006</t>
  </si>
  <si>
    <t>Kanahya Sha</t>
  </si>
  <si>
    <t>011</t>
  </si>
  <si>
    <t>Rajan Kumar</t>
  </si>
  <si>
    <t>015</t>
  </si>
  <si>
    <t>Sangam Kumar</t>
  </si>
  <si>
    <t>016</t>
  </si>
  <si>
    <t>Sanjay Ram</t>
  </si>
  <si>
    <t>018</t>
  </si>
  <si>
    <t>Saroj Pandit</t>
  </si>
  <si>
    <t>019</t>
  </si>
  <si>
    <t>Ajad Sha</t>
  </si>
  <si>
    <t>025</t>
  </si>
  <si>
    <t>Sandeep Kumar</t>
  </si>
  <si>
    <t>030</t>
  </si>
  <si>
    <t>Govinda Rajan</t>
  </si>
  <si>
    <t>039</t>
  </si>
  <si>
    <t>Ramprakash Mahto</t>
  </si>
  <si>
    <t>026</t>
  </si>
  <si>
    <t>Aras Miyan</t>
  </si>
  <si>
    <t>032</t>
  </si>
  <si>
    <t>Hemant Karsan</t>
  </si>
  <si>
    <t>033</t>
  </si>
  <si>
    <t>Manish Kumar</t>
  </si>
  <si>
    <t>036</t>
  </si>
  <si>
    <t xml:space="preserve">Karuppasamy Karuppasamy </t>
  </si>
  <si>
    <t>040</t>
  </si>
  <si>
    <t>Sikandar Paswan</t>
  </si>
  <si>
    <t>043</t>
  </si>
  <si>
    <t>Om Prakash Bhar</t>
  </si>
  <si>
    <t>044</t>
  </si>
  <si>
    <t>Samir Ray</t>
  </si>
  <si>
    <t>045</t>
  </si>
  <si>
    <t>Uttam Rajbhar</t>
  </si>
  <si>
    <t>107</t>
  </si>
  <si>
    <t>Mohit Lal</t>
  </si>
  <si>
    <t>109</t>
  </si>
  <si>
    <t>Shankar Ram</t>
  </si>
  <si>
    <t>111</t>
  </si>
  <si>
    <t>Laxman Ram</t>
  </si>
  <si>
    <t>Ashok Ram</t>
  </si>
  <si>
    <t>IDLE BASIC SALARY</t>
  </si>
  <si>
    <t>IDLE FOOD ALLOW</t>
  </si>
  <si>
    <t>Electrician</t>
  </si>
  <si>
    <t>049</t>
  </si>
  <si>
    <t>Guddoo Kumar</t>
  </si>
  <si>
    <t>087</t>
  </si>
  <si>
    <t xml:space="preserve">Anup </t>
  </si>
  <si>
    <t>086</t>
  </si>
  <si>
    <t>Afzal</t>
  </si>
  <si>
    <t>095</t>
  </si>
  <si>
    <t>Amit Kumar</t>
  </si>
  <si>
    <t>096</t>
  </si>
  <si>
    <t>Birendra Pal</t>
  </si>
  <si>
    <t>097</t>
  </si>
  <si>
    <t>Hareram Singh</t>
  </si>
  <si>
    <t>Cleaner</t>
  </si>
  <si>
    <t>054</t>
  </si>
  <si>
    <t>Abdullah</t>
  </si>
  <si>
    <t>055</t>
  </si>
  <si>
    <t>Md Abu Kalam</t>
  </si>
  <si>
    <t>056</t>
  </si>
  <si>
    <t>Al Amin Miah</t>
  </si>
  <si>
    <t>057</t>
  </si>
  <si>
    <t>Arif Dewan</t>
  </si>
  <si>
    <t>058</t>
  </si>
  <si>
    <t>Babul Mia</t>
  </si>
  <si>
    <t>060</t>
  </si>
  <si>
    <t>Kawsar Ahmed</t>
  </si>
  <si>
    <t>062</t>
  </si>
  <si>
    <t>Liton</t>
  </si>
  <si>
    <t>063</t>
  </si>
  <si>
    <t>Md Golap</t>
  </si>
  <si>
    <t>080</t>
  </si>
  <si>
    <t>Md Muklesh Mia</t>
  </si>
  <si>
    <t>082</t>
  </si>
  <si>
    <t>Rana Chandra Moni Das</t>
  </si>
  <si>
    <t>085</t>
  </si>
  <si>
    <t>081</t>
  </si>
  <si>
    <t>Osman Ali</t>
  </si>
  <si>
    <t>083</t>
  </si>
  <si>
    <t>Md Rasel Mondol</t>
  </si>
  <si>
    <t>123</t>
  </si>
  <si>
    <t>Govindarajan Appasamy</t>
  </si>
  <si>
    <t>ID</t>
  </si>
  <si>
    <t>OTHER DEDUCTION</t>
  </si>
  <si>
    <t>TOTAL WEEKOFF
 OT</t>
  </si>
  <si>
    <t>FIXED OVERTIME ALLOWANCE</t>
  </si>
  <si>
    <t>WEEKOFF OT ALLOWANCE</t>
  </si>
  <si>
    <t>126</t>
  </si>
  <si>
    <t>Asaithambi</t>
  </si>
  <si>
    <t>115</t>
  </si>
  <si>
    <t>OT-5_ 10.5HRS</t>
  </si>
  <si>
    <t>Mason Chargehand</t>
  </si>
  <si>
    <t>Electrical Foreman</t>
  </si>
  <si>
    <t>Ashok Meghwal</t>
  </si>
  <si>
    <t>130</t>
  </si>
  <si>
    <t>131</t>
  </si>
  <si>
    <t>133</t>
  </si>
  <si>
    <t>135</t>
  </si>
  <si>
    <t>134</t>
  </si>
  <si>
    <t>136</t>
  </si>
  <si>
    <t>132</t>
  </si>
  <si>
    <t>Plumber</t>
  </si>
  <si>
    <t>Mari Ramasamy</t>
  </si>
  <si>
    <t>Ravindra Kumar Singh</t>
  </si>
  <si>
    <t xml:space="preserve">ZERO ALLOWANCE </t>
  </si>
  <si>
    <t>Absconding</t>
  </si>
  <si>
    <t>Emergency Leave</t>
  </si>
  <si>
    <t>138</t>
  </si>
  <si>
    <t>Pichandi Ponnusamy</t>
  </si>
  <si>
    <t>Ayyappan Jahanathan</t>
  </si>
  <si>
    <t>Parasuraman</t>
  </si>
  <si>
    <t>Raj Kumar Genoliya</t>
  </si>
  <si>
    <t>156</t>
  </si>
  <si>
    <t>137</t>
  </si>
  <si>
    <t>146</t>
  </si>
  <si>
    <t>147</t>
  </si>
  <si>
    <t>148</t>
  </si>
  <si>
    <t>149</t>
  </si>
  <si>
    <t>150</t>
  </si>
  <si>
    <t>160</t>
  </si>
  <si>
    <t>161</t>
  </si>
  <si>
    <t>167</t>
  </si>
  <si>
    <t>163</t>
  </si>
  <si>
    <t>164</t>
  </si>
  <si>
    <t>171</t>
  </si>
  <si>
    <t>Nagarajan Veerasamy</t>
  </si>
  <si>
    <t>Palanisamy Gurusamy</t>
  </si>
  <si>
    <t>Shahnewaj Afroj</t>
  </si>
  <si>
    <t>Hasarat Ali</t>
  </si>
  <si>
    <t>Govardhan  Chauhan</t>
  </si>
  <si>
    <t>152</t>
  </si>
  <si>
    <t>162</t>
  </si>
  <si>
    <t>166</t>
  </si>
  <si>
    <t>168</t>
  </si>
  <si>
    <t>Munna Lal</t>
  </si>
  <si>
    <t>159</t>
  </si>
  <si>
    <t>Ajay Kumar</t>
  </si>
  <si>
    <t>Plumbing Foreman</t>
  </si>
  <si>
    <t>142</t>
  </si>
  <si>
    <t>155</t>
  </si>
  <si>
    <t>141</t>
  </si>
  <si>
    <t>151</t>
  </si>
  <si>
    <t>143</t>
  </si>
  <si>
    <t>139</t>
  </si>
  <si>
    <t>144</t>
  </si>
  <si>
    <t>140</t>
  </si>
  <si>
    <t>145</t>
  </si>
  <si>
    <t>154</t>
  </si>
  <si>
    <t>153</t>
  </si>
  <si>
    <t>Raihan Babu</t>
  </si>
  <si>
    <t>MD Hasan Mia</t>
  </si>
  <si>
    <t>MD Hossain Mia</t>
  </si>
  <si>
    <t>MD Rakibul Islam</t>
  </si>
  <si>
    <t>Ragho Singh</t>
  </si>
  <si>
    <t>Jobayer Habibulla</t>
  </si>
  <si>
    <t>Mohammad Ibran Ali</t>
  </si>
  <si>
    <t>MD Robin</t>
  </si>
  <si>
    <t>Arif Lal Mia</t>
  </si>
  <si>
    <t>158</t>
  </si>
  <si>
    <t>Shekh Sheraj</t>
  </si>
  <si>
    <t>MD Sharif Ansari</t>
  </si>
  <si>
    <t>Arbind Chaurasiya</t>
  </si>
  <si>
    <t xml:space="preserve">Talib Hussain </t>
  </si>
  <si>
    <t>Akash Kumar</t>
  </si>
  <si>
    <t>Kishna Sah</t>
  </si>
  <si>
    <t>165</t>
  </si>
  <si>
    <t>169</t>
  </si>
  <si>
    <t>Munna Sah Jamuna Sah</t>
  </si>
  <si>
    <t>Om Prakash Kumar</t>
  </si>
  <si>
    <t>Ayyadurai Pitchappa</t>
  </si>
  <si>
    <t>Thirupathi Kanikarupu</t>
  </si>
  <si>
    <t>Arvind Kumar Gond</t>
  </si>
  <si>
    <t>Chandrashekhar Rajbhar</t>
  </si>
  <si>
    <t>Mohammad Arif</t>
  </si>
  <si>
    <t>Shafikul Islam Bhuya</t>
  </si>
  <si>
    <t>MD Sweet Molla</t>
  </si>
  <si>
    <t>MD Sujon Islam</t>
  </si>
  <si>
    <t>MD Maruf Rahman</t>
  </si>
  <si>
    <t>MD Nasir Uddin</t>
  </si>
  <si>
    <t>Meer Hasan Ansari</t>
  </si>
  <si>
    <t>China Babu Cheeli</t>
  </si>
  <si>
    <t>Nagarajan Subramanian</t>
  </si>
  <si>
    <t>Karuppaiah Chinnakkannu</t>
  </si>
  <si>
    <t>Mani Adaikkappan</t>
  </si>
  <si>
    <t>172</t>
  </si>
  <si>
    <t>173</t>
  </si>
  <si>
    <t>176</t>
  </si>
  <si>
    <t>177</t>
  </si>
  <si>
    <t>178</t>
  </si>
  <si>
    <t>175</t>
  </si>
  <si>
    <t>Manikanta Swamy Gurajapu</t>
  </si>
  <si>
    <t>179</t>
  </si>
  <si>
    <t>180</t>
  </si>
  <si>
    <t>181</t>
  </si>
  <si>
    <t>182</t>
  </si>
  <si>
    <t>183</t>
  </si>
  <si>
    <t>184</t>
  </si>
  <si>
    <t>185</t>
  </si>
  <si>
    <t>186</t>
  </si>
  <si>
    <t>188</t>
  </si>
  <si>
    <t>Md Rahad Khan</t>
  </si>
  <si>
    <t>Arman Md Afsar Uddin</t>
  </si>
  <si>
    <t>Joinal Abadin</t>
  </si>
  <si>
    <t>Md Abdur Razzak Sarker</t>
  </si>
  <si>
    <t>Md Monir Hossain</t>
  </si>
  <si>
    <t>Md Sabbir Hosen</t>
  </si>
  <si>
    <t>Md Soboz Miah</t>
  </si>
  <si>
    <t>Shapan Mia</t>
  </si>
  <si>
    <t>191</t>
  </si>
  <si>
    <t>Firoz Mohammad</t>
  </si>
  <si>
    <t>Sandeep Krishnan</t>
  </si>
  <si>
    <t>199</t>
  </si>
  <si>
    <t>193</t>
  </si>
  <si>
    <t>194</t>
  </si>
  <si>
    <t>195</t>
  </si>
  <si>
    <t>196</t>
  </si>
  <si>
    <t>198</t>
  </si>
  <si>
    <t>200</t>
  </si>
  <si>
    <t>201</t>
  </si>
  <si>
    <t>202</t>
  </si>
  <si>
    <t>203</t>
  </si>
  <si>
    <t>204</t>
  </si>
  <si>
    <t>205</t>
  </si>
  <si>
    <t>Masud Miah</t>
  </si>
  <si>
    <t>Mohammad Zahid</t>
  </si>
  <si>
    <t>Nur Jaman</t>
  </si>
  <si>
    <t>Shamim Mia</t>
  </si>
  <si>
    <t>Md Najmaul</t>
  </si>
  <si>
    <t>Md Sharif</t>
  </si>
  <si>
    <t>Md Israfil</t>
  </si>
  <si>
    <t>Md Sagor Ali</t>
  </si>
  <si>
    <t>Saiful Islam</t>
  </si>
  <si>
    <t>Muktar Miah</t>
  </si>
  <si>
    <t>Md Abu Taher</t>
  </si>
  <si>
    <t>Abdul Halim</t>
  </si>
  <si>
    <t>SPECIAL
ALLOWANCE</t>
  </si>
  <si>
    <t>Cancel</t>
  </si>
  <si>
    <t>206</t>
  </si>
  <si>
    <t>207</t>
  </si>
  <si>
    <t>208</t>
  </si>
  <si>
    <t>Md Amran Mia</t>
  </si>
  <si>
    <t>Saifur Rahman</t>
  </si>
  <si>
    <t>Monirul Sheikh</t>
  </si>
  <si>
    <t>PH OT
DAY 5</t>
  </si>
  <si>
    <t>209</t>
  </si>
  <si>
    <t>210</t>
  </si>
  <si>
    <t>Md Aminul Islam</t>
  </si>
  <si>
    <t>Joyel Bhuiyan</t>
  </si>
  <si>
    <t>TRADE</t>
  </si>
  <si>
    <t>212</t>
  </si>
  <si>
    <t>A</t>
  </si>
  <si>
    <t>TOTAL PH 
OT HOURS</t>
  </si>
  <si>
    <t>TOTAL 
AMOUNT</t>
  </si>
  <si>
    <t>Muthukumar</t>
  </si>
  <si>
    <t>TOTAL 
IDLE 
DAYS</t>
  </si>
  <si>
    <t>IDLE 
BASIC SALARY</t>
  </si>
  <si>
    <t>IDLE 
FOOD ALLOW</t>
  </si>
  <si>
    <t>NET 
AMOUNT</t>
  </si>
  <si>
    <t>Shailesh Ray</t>
  </si>
  <si>
    <t>Nagendran</t>
  </si>
  <si>
    <t>Velu Udaiyar</t>
  </si>
  <si>
    <t>Karuppaiah Adaikalam</t>
  </si>
  <si>
    <t>214</t>
  </si>
  <si>
    <t>215</t>
  </si>
  <si>
    <t>216</t>
  </si>
  <si>
    <t>218</t>
  </si>
  <si>
    <t>Saddam Mohammad</t>
  </si>
  <si>
    <t>Vijiyan Chanthu</t>
  </si>
  <si>
    <t>Abhay Kumar</t>
  </si>
  <si>
    <t>Pawan Kumar</t>
  </si>
  <si>
    <t>Girajesh Suresh</t>
  </si>
  <si>
    <t>Karhik Ganesan</t>
  </si>
  <si>
    <t>Sagiralam Ishaque Miyan</t>
  </si>
  <si>
    <t>Gurmit Singh Vasan Singh</t>
  </si>
  <si>
    <t>Gopi Patel</t>
  </si>
  <si>
    <t>Awadhesh Kumar</t>
  </si>
  <si>
    <t>Rajesh Kharavar</t>
  </si>
  <si>
    <t>Sethumanickam Karuppan</t>
  </si>
  <si>
    <t>Sandeep Prasad</t>
  </si>
  <si>
    <t>Safe Alam</t>
  </si>
  <si>
    <t>Lakshman Kumar</t>
  </si>
  <si>
    <t>Gulshan Kumar</t>
  </si>
  <si>
    <t>Hari Kishor Prasad</t>
  </si>
  <si>
    <t>Harendra Prasad</t>
  </si>
  <si>
    <t>FOREMAN / 
SPECIAL ALLOWANCE</t>
  </si>
  <si>
    <t>237</t>
  </si>
  <si>
    <t>238</t>
  </si>
  <si>
    <t>239</t>
  </si>
  <si>
    <t>242</t>
  </si>
  <si>
    <t>246</t>
  </si>
  <si>
    <t>247</t>
  </si>
  <si>
    <t>248</t>
  </si>
  <si>
    <t>Saddam Ansari</t>
  </si>
  <si>
    <t>Mundrika Shri</t>
  </si>
  <si>
    <t>Sambhu Nathune</t>
  </si>
  <si>
    <t>Tamilmaran Pulikuthi</t>
  </si>
  <si>
    <t>Mohammad Irshad Alam</t>
  </si>
  <si>
    <t>Meraj Alam</t>
  </si>
  <si>
    <t>Kishor Nat</t>
  </si>
  <si>
    <t>Vidyanand Paras Kumar</t>
  </si>
  <si>
    <t>Sundarbabu Muruganantham</t>
  </si>
  <si>
    <t>Mohammad Gulab</t>
  </si>
  <si>
    <t>Chandan Pandit</t>
  </si>
  <si>
    <t>Majahr Ansari</t>
  </si>
  <si>
    <t>Md Makbul Ansari</t>
  </si>
  <si>
    <t>Ajaj Alam</t>
  </si>
  <si>
    <t>Mukesh Ram</t>
  </si>
  <si>
    <t>Police case/Cancel</t>
  </si>
  <si>
    <t>Cash</t>
  </si>
  <si>
    <t>Vignesh Mariyappan</t>
  </si>
  <si>
    <t>219</t>
  </si>
  <si>
    <t>220</t>
  </si>
  <si>
    <t>227</t>
  </si>
  <si>
    <t>228</t>
  </si>
  <si>
    <t>230</t>
  </si>
  <si>
    <t>232</t>
  </si>
  <si>
    <t>234</t>
  </si>
  <si>
    <t>236</t>
  </si>
  <si>
    <t>249</t>
  </si>
  <si>
    <t>250</t>
  </si>
  <si>
    <t>251</t>
  </si>
  <si>
    <t>253</t>
  </si>
  <si>
    <t>255</t>
  </si>
  <si>
    <t>257</t>
  </si>
  <si>
    <t>Mohammad Salim</t>
  </si>
  <si>
    <t>Murugan Muniyandi</t>
  </si>
  <si>
    <t>221</t>
  </si>
  <si>
    <t>222</t>
  </si>
  <si>
    <t>223</t>
  </si>
  <si>
    <t>224</t>
  </si>
  <si>
    <t>225</t>
  </si>
  <si>
    <t>226</t>
  </si>
  <si>
    <t>229</t>
  </si>
  <si>
    <t>231</t>
  </si>
  <si>
    <t>233</t>
  </si>
  <si>
    <t>235</t>
  </si>
  <si>
    <t>241</t>
  </si>
  <si>
    <t>243</t>
  </si>
  <si>
    <t>245</t>
  </si>
  <si>
    <t>252</t>
  </si>
  <si>
    <t>254</t>
  </si>
  <si>
    <t>260</t>
  </si>
  <si>
    <t>264</t>
  </si>
  <si>
    <t>267</t>
  </si>
  <si>
    <t>268</t>
  </si>
  <si>
    <t>271</t>
  </si>
  <si>
    <t>Abdul Kathar Jailani</t>
  </si>
  <si>
    <t>Pratik Ashok</t>
  </si>
  <si>
    <t>Sushil Kumar Ram</t>
  </si>
  <si>
    <t>Hasim Mohammad</t>
  </si>
  <si>
    <t>Mohammed Sajid Mohd Sharfuddin</t>
  </si>
  <si>
    <t>EL</t>
  </si>
  <si>
    <t>CL</t>
  </si>
  <si>
    <t>Idle</t>
  </si>
  <si>
    <t>Shashi Kumar</t>
  </si>
  <si>
    <t>Muslim Alam</t>
  </si>
  <si>
    <t>Amajed Alee</t>
  </si>
  <si>
    <t>Zeeaul Haque</t>
  </si>
  <si>
    <t>Pintu Sharma</t>
  </si>
  <si>
    <t>Sanjay Tiwari</t>
  </si>
  <si>
    <t>Balaji Sopan</t>
  </si>
  <si>
    <t>ABS</t>
  </si>
  <si>
    <t>Jeyakumar Ganeshan</t>
  </si>
  <si>
    <t>Gulam Mehdi</t>
  </si>
  <si>
    <t>Mansukhbhai Ghela</t>
  </si>
  <si>
    <t>275</t>
  </si>
  <si>
    <t>Mumtaz Ali</t>
  </si>
  <si>
    <t>276</t>
  </si>
  <si>
    <t>Harilal Pandit</t>
  </si>
  <si>
    <t>277</t>
  </si>
  <si>
    <t>Gulab</t>
  </si>
  <si>
    <t>283</t>
  </si>
  <si>
    <t>284</t>
  </si>
  <si>
    <t>285</t>
  </si>
  <si>
    <t>286</t>
  </si>
  <si>
    <t>287</t>
  </si>
  <si>
    <t>Abhishek Kumar Shyam Lal Mahato</t>
  </si>
  <si>
    <t>Arman Ali Jamaluddin Miya</t>
  </si>
  <si>
    <t>Ekbal Ali Masum Ali</t>
  </si>
  <si>
    <t>Mohammad Abdul Mohammad Alam</t>
  </si>
  <si>
    <t>Shaquib Nawaj Shahid Jamal</t>
  </si>
  <si>
    <t>278</t>
  </si>
  <si>
    <t>279</t>
  </si>
  <si>
    <t>280</t>
  </si>
  <si>
    <t>281</t>
  </si>
  <si>
    <t>282</t>
  </si>
  <si>
    <t>Karmegam</t>
  </si>
  <si>
    <t>Ramesh Chauhan</t>
  </si>
  <si>
    <t>Manivel</t>
  </si>
  <si>
    <t>Karuppasamy</t>
  </si>
  <si>
    <t>289</t>
  </si>
  <si>
    <t>Bharat Karshan</t>
  </si>
  <si>
    <t>290</t>
  </si>
  <si>
    <t>Vanraj Khimjibhai</t>
  </si>
  <si>
    <t>Rejoined</t>
  </si>
  <si>
    <t>291</t>
  </si>
  <si>
    <t>Vishaldeep Singh</t>
  </si>
  <si>
    <t>Yasir Arfat</t>
  </si>
  <si>
    <t>Rohit Mansukhbhai</t>
  </si>
  <si>
    <t>Ayush Sharma</t>
  </si>
  <si>
    <t>Manjay Kumar</t>
  </si>
  <si>
    <t>Pankaj Kumar</t>
  </si>
  <si>
    <t>Rajan Kumar Pasi</t>
  </si>
  <si>
    <t>Rajesh Kumar Chaudhari</t>
  </si>
  <si>
    <t>Wasim Akram</t>
  </si>
  <si>
    <t>Samsher Ansari</t>
  </si>
  <si>
    <t>Muslim Ali</t>
  </si>
  <si>
    <t>V</t>
  </si>
  <si>
    <t>Vacation</t>
  </si>
  <si>
    <t>Sarfaraj Alam</t>
  </si>
  <si>
    <t>Guljar Harun</t>
  </si>
  <si>
    <t>Raju Kushawaha</t>
  </si>
  <si>
    <t>Anil Kumar</t>
  </si>
  <si>
    <t>Kashmir Singh</t>
  </si>
  <si>
    <t>Ravi Kishan</t>
  </si>
  <si>
    <t>Chandan Ram</t>
  </si>
  <si>
    <t>Vinod Bommidi</t>
  </si>
  <si>
    <t>Asserwadam Cheeli</t>
  </si>
  <si>
    <t>Rajkumar Mallula</t>
  </si>
  <si>
    <t>Srinu Jogi</t>
  </si>
  <si>
    <t>Jentilal Odha</t>
  </si>
  <si>
    <t>Hitesh Danabhai</t>
  </si>
  <si>
    <t>Ashokbhai Mohanbhai</t>
  </si>
  <si>
    <t>Ramarao Kadali</t>
  </si>
  <si>
    <t>Mokhtar Ansari</t>
  </si>
  <si>
    <t>Venkanna Raja</t>
  </si>
  <si>
    <t>308</t>
  </si>
  <si>
    <t>309</t>
  </si>
  <si>
    <t>310</t>
  </si>
  <si>
    <t>317</t>
  </si>
  <si>
    <t>319</t>
  </si>
  <si>
    <t>320</t>
  </si>
  <si>
    <t>321</t>
  </si>
  <si>
    <t>322</t>
  </si>
  <si>
    <t>Vimal Kumar</t>
  </si>
  <si>
    <t>Amarjeet</t>
  </si>
  <si>
    <t>MD. Sarfaraz</t>
  </si>
  <si>
    <t>326</t>
  </si>
  <si>
    <t>Jaya Bharathi</t>
  </si>
  <si>
    <t>Ramnik Vala</t>
  </si>
  <si>
    <t>Paresh Chana</t>
  </si>
  <si>
    <t>Ramesh Vajshi</t>
  </si>
  <si>
    <t>Sunil Kumar</t>
  </si>
  <si>
    <t>258</t>
  </si>
  <si>
    <t>259</t>
  </si>
  <si>
    <t>261</t>
  </si>
  <si>
    <t>262</t>
  </si>
  <si>
    <t>269</t>
  </si>
  <si>
    <t>270</t>
  </si>
  <si>
    <t>272</t>
  </si>
  <si>
    <t>273</t>
  </si>
  <si>
    <t>274</t>
  </si>
  <si>
    <t>292</t>
  </si>
  <si>
    <t>301</t>
  </si>
  <si>
    <t>302</t>
  </si>
  <si>
    <t>304</t>
  </si>
  <si>
    <t>305</t>
  </si>
  <si>
    <t>307</t>
  </si>
  <si>
    <t>311</t>
  </si>
  <si>
    <t>312</t>
  </si>
  <si>
    <t>313</t>
  </si>
  <si>
    <t>314</t>
  </si>
  <si>
    <t>315</t>
  </si>
  <si>
    <t>323</t>
  </si>
  <si>
    <t>324</t>
  </si>
  <si>
    <t>325</t>
  </si>
  <si>
    <t>327</t>
  </si>
  <si>
    <t>331</t>
  </si>
  <si>
    <t>332</t>
  </si>
  <si>
    <t>333</t>
  </si>
  <si>
    <t>339</t>
  </si>
  <si>
    <t>340</t>
  </si>
  <si>
    <t>Md Muslim</t>
  </si>
  <si>
    <t>Arif Reja</t>
  </si>
  <si>
    <t>Motilal Sah</t>
  </si>
  <si>
    <t>Chandan Durga Chouhan</t>
  </si>
  <si>
    <t>Serajuddin Kha</t>
  </si>
  <si>
    <t>263</t>
  </si>
  <si>
    <t>Sek Mosarraf</t>
  </si>
  <si>
    <t>Mohammad Mahfuz</t>
  </si>
  <si>
    <t>Virendra Kumar</t>
  </si>
  <si>
    <t>Pavan Kumar</t>
  </si>
  <si>
    <t>Devlal Singh</t>
  </si>
  <si>
    <t>Brijesh Kumar</t>
  </si>
  <si>
    <t>Md Adil</t>
  </si>
  <si>
    <t>Naimuddin Ansari</t>
  </si>
  <si>
    <t>Salauddin Ansari</t>
  </si>
  <si>
    <t>Hold</t>
  </si>
  <si>
    <t>P</t>
  </si>
  <si>
    <t>Manoj Kumar</t>
  </si>
  <si>
    <t>Akhilesh Kumar</t>
  </si>
  <si>
    <t>Ananthan Balasubramaniyan</t>
  </si>
  <si>
    <t>Vijay Kumar</t>
  </si>
  <si>
    <t>Deepak Kumar</t>
  </si>
  <si>
    <t>PH OT
DAY 1
- 5TH</t>
  </si>
  <si>
    <t>PH OT
DAY 2
- 6TH</t>
  </si>
  <si>
    <t>PH OT
DAY 3
- 7TH</t>
  </si>
  <si>
    <t>SPECIAL ALLOWANCE</t>
  </si>
  <si>
    <t>TOTAL 
PH OT HOURS</t>
  </si>
  <si>
    <t>Shivchand Chauhan</t>
  </si>
  <si>
    <t>Selvaraj Thavasimani</t>
  </si>
  <si>
    <t>Chndrdev Ram</t>
  </si>
  <si>
    <t>Harsh Prajapati</t>
  </si>
  <si>
    <t>Kalpesh Sondarva</t>
  </si>
  <si>
    <t>Vinod Chandra</t>
  </si>
  <si>
    <t>Lalchand Chauhan</t>
  </si>
  <si>
    <t>Pramod Chauhan</t>
  </si>
  <si>
    <t>Dinu Naran</t>
  </si>
  <si>
    <t>Rajman Ram</t>
  </si>
  <si>
    <t>Mukesh Kumar</t>
  </si>
  <si>
    <t>PH OT
DAY 4
- 27TH</t>
  </si>
  <si>
    <t>Mohammad Ladla</t>
  </si>
  <si>
    <t>Md Dilshad Md Mumtaz</t>
  </si>
  <si>
    <t>Mohammad Rustam Alam</t>
  </si>
  <si>
    <t>Arun Kumar</t>
  </si>
  <si>
    <t>Vikas Kumar</t>
  </si>
  <si>
    <t>Surendra Singh</t>
  </si>
  <si>
    <t>Ganganna Kasarapu</t>
  </si>
  <si>
    <t>Mangesh Kumar</t>
  </si>
  <si>
    <t>Sudhakar Karuppasamy</t>
  </si>
  <si>
    <t>Saravanan Thangavel</t>
  </si>
  <si>
    <t>Vivek Yadav</t>
  </si>
  <si>
    <t>Manish Maurya</t>
  </si>
  <si>
    <t>Ram Lakhan</t>
  </si>
  <si>
    <t>Mohammad Sohayal</t>
  </si>
  <si>
    <t>Vadivelu Muthu</t>
  </si>
  <si>
    <t>Ramesh Kumar</t>
  </si>
  <si>
    <t>Mahendran Malaiyandi</t>
  </si>
  <si>
    <t>Viji Veerapathiran</t>
  </si>
  <si>
    <t>Raj Singh</t>
  </si>
  <si>
    <t>Takrar Husain</t>
  </si>
  <si>
    <t>Ubedur Rhman</t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</si>
  <si>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OT 
DAY 5
-  31ST</t>
    </r>
  </si>
  <si>
    <t>Mohammad Yunus</t>
  </si>
  <si>
    <t>384</t>
  </si>
  <si>
    <t>Ravish Kumar</t>
  </si>
  <si>
    <t>PAYROLL - SEPTEMBER 2025</t>
  </si>
  <si>
    <t>PH</t>
  </si>
  <si>
    <t>385</t>
  </si>
  <si>
    <t>386</t>
  </si>
  <si>
    <t>Ashok Kumar</t>
  </si>
  <si>
    <t>Dinesh Kumar Singh</t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</si>
  <si>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OT 
DAY 1
- 7TH</t>
    </r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</si>
  <si>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OT 
DAY 2
- 14TH</t>
    </r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</si>
  <si>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OT 
DAY 3 
- 21ST</t>
    </r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</si>
  <si>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OT 
DAY 4
- 28TH</t>
    </r>
  </si>
  <si>
    <r>
      <t>WO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 xml:space="preserve">OT 
DAY 5
-  </t>
    </r>
  </si>
  <si>
    <t>346</t>
  </si>
  <si>
    <t>348</t>
  </si>
  <si>
    <t>349</t>
  </si>
  <si>
    <t>350</t>
  </si>
  <si>
    <t>355</t>
  </si>
  <si>
    <t>356</t>
  </si>
  <si>
    <t>357</t>
  </si>
  <si>
    <t>358</t>
  </si>
  <si>
    <t>359</t>
  </si>
  <si>
    <t>362</t>
  </si>
  <si>
    <t>363</t>
  </si>
  <si>
    <t>364</t>
  </si>
  <si>
    <t>369</t>
  </si>
  <si>
    <t>371</t>
  </si>
  <si>
    <t>372</t>
  </si>
  <si>
    <t>373</t>
  </si>
  <si>
    <t>375</t>
  </si>
  <si>
    <t>376</t>
  </si>
  <si>
    <t>379</t>
  </si>
  <si>
    <t>381</t>
  </si>
  <si>
    <t>354</t>
  </si>
  <si>
    <t>360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</si>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</sst>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/mmm/yy;@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1"/>
      <name val="Book Antiqua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Book Antiqua"/>
      <family val="1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85D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0" fillId="12" borderId="13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7" xfId="0" quotePrefix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14" fontId="10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quotePrefix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14" fillId="0" borderId="0" xfId="0" applyFont="1"/>
    <xf numFmtId="165" fontId="7" fillId="4" borderId="3" xfId="0" applyNumberFormat="1" applyFont="1" applyFill="1" applyBorder="1" applyAlignment="1">
      <alignment horizontal="center" vertical="center" textRotation="90"/>
    </xf>
    <xf numFmtId="165" fontId="7" fillId="9" borderId="3" xfId="0" applyNumberFormat="1" applyFont="1" applyFill="1" applyBorder="1" applyAlignment="1">
      <alignment horizontal="center" vertical="center" textRotation="90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166" fontId="10" fillId="0" borderId="17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0" fontId="12" fillId="8" borderId="2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2" fillId="8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0" fillId="13" borderId="0" xfId="0" quotePrefix="1" applyFont="1" applyFill="1" applyAlignment="1">
      <alignment horizontal="center" vertical="center"/>
    </xf>
    <xf numFmtId="0" fontId="10" fillId="11" borderId="0" xfId="0" quotePrefix="1" applyFont="1" applyFill="1" applyAlignment="1">
      <alignment horizontal="center" vertical="center"/>
    </xf>
    <xf numFmtId="0" fontId="10" fillId="15" borderId="0" xfId="0" quotePrefix="1" applyFont="1" applyFill="1" applyAlignment="1">
      <alignment horizontal="center" vertical="center"/>
    </xf>
    <xf numFmtId="0" fontId="10" fillId="16" borderId="1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10" fillId="18" borderId="0" xfId="0" quotePrefix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49" fontId="11" fillId="0" borderId="2" xfId="0" quotePrefix="1" applyNumberFormat="1" applyFont="1" applyBorder="1" applyAlignment="1">
      <alignment horizontal="center" vertical="center"/>
    </xf>
    <xf numFmtId="49" fontId="11" fillId="16" borderId="1" xfId="0" quotePrefix="1" applyNumberFormat="1" applyFont="1" applyFill="1" applyBorder="1" applyAlignment="1">
      <alignment horizontal="center" vertical="center"/>
    </xf>
    <xf numFmtId="49" fontId="11" fillId="11" borderId="1" xfId="0" quotePrefix="1" applyNumberFormat="1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49" fontId="10" fillId="13" borderId="0" xfId="0" quotePrefix="1" applyNumberFormat="1" applyFont="1" applyFill="1" applyAlignment="1">
      <alignment horizontal="center" vertical="center"/>
    </xf>
    <xf numFmtId="49" fontId="10" fillId="11" borderId="0" xfId="0" quotePrefix="1" applyNumberFormat="1" applyFont="1" applyFill="1" applyAlignment="1">
      <alignment horizontal="center" vertical="center"/>
    </xf>
    <xf numFmtId="49" fontId="10" fillId="15" borderId="0" xfId="0" quotePrefix="1" applyNumberFormat="1" applyFont="1" applyFill="1" applyAlignment="1">
      <alignment horizontal="center" vertical="center"/>
    </xf>
    <xf numFmtId="49" fontId="3" fillId="16" borderId="0" xfId="0" applyNumberFormat="1" applyFont="1" applyFill="1" applyAlignment="1">
      <alignment horizontal="center"/>
    </xf>
    <xf numFmtId="49" fontId="11" fillId="18" borderId="1" xfId="0" quotePrefix="1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/>
    </xf>
    <xf numFmtId="0" fontId="10" fillId="18" borderId="1" xfId="0" quotePrefix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18" borderId="1" xfId="0" applyNumberFormat="1" applyFont="1" applyFill="1" applyBorder="1" applyAlignment="1">
      <alignment horizontal="center" vertical="center"/>
    </xf>
    <xf numFmtId="49" fontId="10" fillId="18" borderId="1" xfId="0" quotePrefix="1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49" fontId="11" fillId="12" borderId="1" xfId="0" quotePrefix="1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18" borderId="0" xfId="0" quotePrefix="1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0" fontId="10" fillId="1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18" borderId="0" xfId="0" applyFont="1" applyFill="1" applyAlignment="1">
      <alignment horizontal="center" vertical="center"/>
    </xf>
    <xf numFmtId="49" fontId="10" fillId="0" borderId="1" xfId="0" quotePrefix="1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12" borderId="0" xfId="0" applyFont="1" applyFill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 textRotation="90"/>
    </xf>
    <xf numFmtId="14" fontId="9" fillId="5" borderId="1" xfId="0" applyNumberFormat="1" applyFont="1" applyFill="1" applyBorder="1" applyAlignment="1">
      <alignment horizontal="center" vertical="center"/>
    </xf>
    <xf numFmtId="0" fontId="19" fillId="0" borderId="0" xfId="0" applyFont="1"/>
    <xf numFmtId="4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11" fillId="13" borderId="1" xfId="0" quotePrefix="1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vertical="center"/>
    </xf>
    <xf numFmtId="0" fontId="10" fillId="13" borderId="5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0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2769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theme="1"/>
      </font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0.39994506668294322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theme="1"/>
      </font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theme="1"/>
      </font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theme="1"/>
      </font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6" tint="-0.24994659260841701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theme="1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  <color rgb="FF00FF00"/>
      <color rgb="FFFFD85D"/>
      <color rgb="FF00CCFF"/>
      <color rgb="FF66CCFF"/>
      <color rgb="FF0000FF"/>
      <color rgb="FF66FFFF"/>
      <color rgb="FFCCFFCC"/>
      <color rgb="FFF3FFF3"/>
      <color rgb="FFFFEE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E27B-61FA-4C06-8CCC-934C97953D13}">
  <sheetPr>
    <pageSetUpPr fitToPage="1"/>
  </sheetPr>
  <dimension ref="A1:ED266"/>
  <sheetViews>
    <sheetView tabSelected="1" zoomScaleNormal="100" zoomScaleSheetLayoutView="100" workbookViewId="0">
      <pane xSplit="5" ySplit="3" topLeftCell="F4" activePane="bottomRight" state="frozen"/>
      <selection pane="topRight" activeCell="L1" sqref="L1"/>
      <selection pane="bottomLeft" activeCell="A4" sqref="A4"/>
      <selection pane="bottomRight" activeCell="C4" sqref="C4"/>
    </sheetView>
  </sheetViews>
  <sheetFormatPr defaultColWidth="9.28515625" defaultRowHeight="11.25" x14ac:dyDescent="0.2"/>
  <cols>
    <col min="1" max="1" width="3.7109375" style="78" customWidth="1"/>
    <col min="2" max="2" width="4.85546875" style="85" customWidth="1"/>
    <col min="3" max="3" width="18.5703125" style="86" bestFit="1" customWidth="1"/>
    <col min="4" max="4" width="14.140625" style="85" bestFit="1" customWidth="1"/>
    <col min="5" max="5" width="9" style="85" customWidth="1"/>
    <col min="6" max="10" width="4.28515625" style="79" customWidth="1"/>
    <col min="11" max="11" width="4.28515625" style="87" customWidth="1"/>
    <col min="12" max="17" width="4.28515625" style="79" customWidth="1"/>
    <col min="18" max="21" width="4.28515625" style="87" customWidth="1"/>
    <col min="22" max="28" width="4.28515625" style="79" customWidth="1"/>
    <col min="29" max="35" width="4.28515625" style="87" customWidth="1"/>
    <col min="36" max="39" width="5.140625" style="79" customWidth="1"/>
    <col min="40" max="40" width="5.140625" style="79" hidden="1" customWidth="1"/>
    <col min="41" max="41" width="4.7109375" style="79" customWidth="1"/>
    <col min="42" max="43" width="4.7109375" style="79" hidden="1" customWidth="1"/>
    <col min="44" max="45" width="5.5703125" style="79" hidden="1" customWidth="1"/>
    <col min="46" max="46" width="7" style="79" customWidth="1"/>
    <col min="47" max="47" width="7.28515625" style="79" customWidth="1"/>
    <col min="48" max="48" width="7" style="79" customWidth="1"/>
    <col min="49" max="49" width="7.28515625" style="79" customWidth="1"/>
    <col min="50" max="50" width="5.7109375" style="79" customWidth="1"/>
    <col min="51" max="51" width="5.28515625" style="79" customWidth="1"/>
    <col min="52" max="52" width="6.140625" style="79" bestFit="1" customWidth="1"/>
    <col min="53" max="53" width="9.42578125" style="79" customWidth="1"/>
    <col min="54" max="54" width="10" style="79" customWidth="1"/>
    <col min="55" max="55" width="6.140625" style="79" customWidth="1"/>
    <col min="56" max="56" width="9.28515625" style="79" customWidth="1"/>
    <col min="57" max="57" width="7.28515625" style="79" bestFit="1" customWidth="1"/>
    <col min="58" max="58" width="9.42578125" style="79" customWidth="1"/>
    <col min="59" max="59" width="6.140625" style="79" customWidth="1"/>
    <col min="60" max="60" width="5.7109375" style="79" customWidth="1"/>
    <col min="61" max="61" width="9.28515625" style="79" customWidth="1"/>
    <col min="62" max="62" width="7.28515625" style="79" customWidth="1"/>
    <col min="63" max="63" width="8.7109375" style="79" customWidth="1"/>
    <col min="64" max="64" width="8.85546875" style="79" customWidth="1"/>
    <col min="65" max="65" width="8.7109375" style="79" customWidth="1"/>
    <col min="66" max="66" width="7.140625" style="79" customWidth="1"/>
    <col min="67" max="67" width="7" style="79" customWidth="1"/>
    <col min="68" max="68" width="7.7109375" style="79" customWidth="1"/>
    <col min="69" max="69" width="8.140625" style="79" bestFit="1" customWidth="1"/>
    <col min="70" max="74" width="8.28515625" style="79" hidden="1" customWidth="1"/>
    <col min="75" max="75" width="9.28515625" style="79" hidden="1" customWidth="1"/>
    <col min="76" max="77" width="8.28515625" style="79" hidden="1" customWidth="1"/>
    <col min="78" max="78" width="8.7109375" style="79" hidden="1" customWidth="1"/>
    <col min="79" max="81" width="8.28515625" style="79" hidden="1" customWidth="1"/>
    <col min="82" max="82" width="9" style="79" hidden="1" customWidth="1"/>
    <col min="83" max="85" width="8.28515625" style="79" hidden="1" customWidth="1"/>
    <col min="86" max="86" width="8.7109375" style="79" hidden="1" customWidth="1"/>
    <col min="87" max="89" width="8.28515625" style="79" hidden="1" customWidth="1"/>
    <col min="90" max="90" width="8.42578125" style="79" hidden="1" customWidth="1"/>
    <col min="91" max="95" width="8.28515625" style="79" hidden="1" customWidth="1"/>
    <col min="96" max="96" width="8.7109375" style="79" hidden="1" customWidth="1"/>
    <col min="97" max="124" width="8.28515625" style="79" hidden="1" customWidth="1"/>
    <col min="125" max="127" width="9.28515625" style="79" hidden="1" customWidth="1"/>
    <col min="128" max="128" width="8.28515625" style="79" hidden="1" customWidth="1"/>
    <col min="129" max="129" width="9.28515625" style="79" hidden="1" customWidth="1"/>
    <col min="130" max="130" width="8.7109375" style="79" hidden="1" customWidth="1"/>
    <col min="131" max="131" width="9.28515625" style="79" hidden="1" customWidth="1"/>
    <col min="132" max="132" width="8.28515625" style="79" hidden="1" customWidth="1"/>
    <col min="133" max="133" width="9.28515625" style="79" hidden="1" customWidth="1"/>
    <col min="134" max="134" width="12.5703125" style="79" bestFit="1" customWidth="1"/>
    <col min="135" max="135" width="21" style="79" bestFit="1" customWidth="1"/>
    <col min="136" max="16384" width="9.28515625" style="79"/>
  </cols>
  <sheetData>
    <row r="1" spans="1:134" s="10" customFormat="1" ht="28.5" customHeight="1" thickBot="1" x14ac:dyDescent="0.25">
      <c r="A1" s="174" t="s">
        <v>16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6"/>
      <c r="AZ1" s="174" t="s">
        <v>602</v>
      </c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6"/>
      <c r="BR1" s="8"/>
      <c r="BS1" s="9">
        <v>0.5</v>
      </c>
      <c r="BT1" s="9"/>
      <c r="BU1" s="9">
        <v>1</v>
      </c>
      <c r="BV1" s="9"/>
      <c r="BW1" s="9">
        <v>1.5</v>
      </c>
      <c r="BX1" s="9"/>
      <c r="BY1" s="9">
        <v>2</v>
      </c>
      <c r="BZ1" s="9"/>
      <c r="CA1" s="9">
        <v>2.5</v>
      </c>
      <c r="CB1" s="9"/>
      <c r="CC1" s="9">
        <v>3</v>
      </c>
      <c r="CD1" s="9"/>
      <c r="CE1" s="9">
        <v>3.5</v>
      </c>
      <c r="CF1" s="9"/>
      <c r="CG1" s="9">
        <v>4</v>
      </c>
      <c r="CH1" s="9"/>
      <c r="CI1" s="9">
        <v>4.5</v>
      </c>
      <c r="CJ1" s="9"/>
      <c r="CK1" s="9">
        <v>5</v>
      </c>
      <c r="CL1" s="9"/>
      <c r="CM1" s="9">
        <v>5.5</v>
      </c>
      <c r="CN1" s="9"/>
      <c r="CO1" s="9">
        <v>6</v>
      </c>
      <c r="CP1" s="9"/>
      <c r="CQ1" s="9">
        <v>6.5</v>
      </c>
      <c r="CR1" s="9"/>
      <c r="CS1" s="9">
        <v>7</v>
      </c>
      <c r="CT1" s="9"/>
      <c r="CU1" s="9">
        <v>7.5</v>
      </c>
      <c r="CV1" s="9"/>
      <c r="CW1" s="9">
        <v>8</v>
      </c>
      <c r="CX1" s="9"/>
      <c r="CY1" s="9">
        <v>8.5</v>
      </c>
      <c r="CZ1" s="9"/>
      <c r="DA1" s="9">
        <v>9</v>
      </c>
      <c r="DB1" s="9"/>
      <c r="DC1" s="9">
        <v>9.5</v>
      </c>
      <c r="DD1" s="9"/>
      <c r="DE1" s="9">
        <v>10</v>
      </c>
      <c r="DF1" s="9"/>
      <c r="DG1" s="9">
        <v>10.5</v>
      </c>
      <c r="DH1" s="9"/>
      <c r="DI1" s="9">
        <v>11</v>
      </c>
      <c r="DJ1" s="9"/>
      <c r="DK1" s="9">
        <v>11.5</v>
      </c>
      <c r="DL1" s="9"/>
      <c r="DM1" s="9">
        <v>12</v>
      </c>
      <c r="DN1" s="9"/>
      <c r="DO1" s="9">
        <v>12.5</v>
      </c>
      <c r="DP1" s="9"/>
      <c r="DQ1" s="9">
        <v>13</v>
      </c>
      <c r="DR1" s="9"/>
      <c r="DS1" s="9">
        <v>13.5</v>
      </c>
      <c r="DT1" s="9"/>
      <c r="DU1" s="9">
        <v>14</v>
      </c>
      <c r="DV1" s="9"/>
      <c r="DW1" s="9" t="s">
        <v>18</v>
      </c>
      <c r="DX1" s="9"/>
      <c r="DY1" s="9">
        <v>15</v>
      </c>
      <c r="DZ1" s="9"/>
      <c r="EA1" s="9">
        <v>15.5</v>
      </c>
      <c r="EB1" s="9"/>
      <c r="EC1" s="9">
        <v>16</v>
      </c>
    </row>
    <row r="2" spans="1:134" ht="54" customHeight="1" x14ac:dyDescent="0.2">
      <c r="A2" s="177" t="s">
        <v>3</v>
      </c>
      <c r="B2" s="160" t="s">
        <v>4</v>
      </c>
      <c r="C2" s="179" t="s">
        <v>0</v>
      </c>
      <c r="D2" s="179" t="s">
        <v>314</v>
      </c>
      <c r="E2" s="179" t="s">
        <v>1</v>
      </c>
      <c r="F2" s="58">
        <v>45901</v>
      </c>
      <c r="G2" s="58">
        <v>45902</v>
      </c>
      <c r="H2" s="58">
        <v>45903</v>
      </c>
      <c r="I2" s="58">
        <v>45904</v>
      </c>
      <c r="J2" s="140">
        <v>45905</v>
      </c>
      <c r="K2" s="58">
        <v>45906</v>
      </c>
      <c r="L2" s="59">
        <v>45907</v>
      </c>
      <c r="M2" s="58">
        <v>45908</v>
      </c>
      <c r="N2" s="58">
        <v>45909</v>
      </c>
      <c r="O2" s="58">
        <v>45910</v>
      </c>
      <c r="P2" s="58">
        <v>45911</v>
      </c>
      <c r="Q2" s="58">
        <v>45912</v>
      </c>
      <c r="R2" s="58">
        <v>45913</v>
      </c>
      <c r="S2" s="59">
        <v>45914</v>
      </c>
      <c r="T2" s="58">
        <v>45915</v>
      </c>
      <c r="U2" s="58">
        <v>45916</v>
      </c>
      <c r="V2" s="58">
        <v>45917</v>
      </c>
      <c r="W2" s="58">
        <v>45918</v>
      </c>
      <c r="X2" s="58">
        <v>45919</v>
      </c>
      <c r="Y2" s="58">
        <v>45920</v>
      </c>
      <c r="Z2" s="59">
        <v>45921</v>
      </c>
      <c r="AA2" s="58">
        <v>45922</v>
      </c>
      <c r="AB2" s="58">
        <v>45923</v>
      </c>
      <c r="AC2" s="58">
        <v>45924</v>
      </c>
      <c r="AD2" s="58">
        <v>45925</v>
      </c>
      <c r="AE2" s="58">
        <v>45926</v>
      </c>
      <c r="AF2" s="58">
        <v>45927</v>
      </c>
      <c r="AG2" s="59">
        <v>45928</v>
      </c>
      <c r="AH2" s="58">
        <v>45929</v>
      </c>
      <c r="AI2" s="58">
        <v>45930</v>
      </c>
      <c r="AJ2" s="173" t="s">
        <v>608</v>
      </c>
      <c r="AK2" s="173" t="s">
        <v>609</v>
      </c>
      <c r="AL2" s="173" t="s">
        <v>610</v>
      </c>
      <c r="AM2" s="173" t="s">
        <v>611</v>
      </c>
      <c r="AN2" s="181" t="s">
        <v>598</v>
      </c>
      <c r="AO2" s="182" t="s">
        <v>560</v>
      </c>
      <c r="AP2" s="182" t="s">
        <v>561</v>
      </c>
      <c r="AQ2" s="166" t="s">
        <v>562</v>
      </c>
      <c r="AR2" s="166" t="s">
        <v>576</v>
      </c>
      <c r="AS2" s="167" t="s">
        <v>309</v>
      </c>
      <c r="AT2" s="169" t="s">
        <v>5</v>
      </c>
      <c r="AU2" s="171" t="s">
        <v>17</v>
      </c>
      <c r="AV2" s="167" t="s">
        <v>317</v>
      </c>
      <c r="AW2" s="160" t="s">
        <v>6</v>
      </c>
      <c r="AX2" s="160" t="s">
        <v>7</v>
      </c>
      <c r="AY2" s="160" t="s">
        <v>320</v>
      </c>
      <c r="AZ2" s="162" t="s">
        <v>47</v>
      </c>
      <c r="BA2" s="164" t="s">
        <v>48</v>
      </c>
      <c r="BB2" s="164" t="s">
        <v>350</v>
      </c>
      <c r="BC2" s="158" t="s">
        <v>47</v>
      </c>
      <c r="BD2" s="158" t="s">
        <v>48</v>
      </c>
      <c r="BE2" s="158" t="s">
        <v>50</v>
      </c>
      <c r="BF2" s="158" t="s">
        <v>49</v>
      </c>
      <c r="BG2" s="158" t="s">
        <v>321</v>
      </c>
      <c r="BH2" s="158" t="s">
        <v>322</v>
      </c>
      <c r="BI2" s="156" t="s">
        <v>170</v>
      </c>
      <c r="BJ2" s="158" t="s">
        <v>318</v>
      </c>
      <c r="BK2" s="156" t="s">
        <v>52</v>
      </c>
      <c r="BL2" s="156" t="s">
        <v>149</v>
      </c>
      <c r="BM2" s="158" t="s">
        <v>53</v>
      </c>
      <c r="BN2" s="158" t="s">
        <v>323</v>
      </c>
      <c r="BO2" s="156" t="s">
        <v>55</v>
      </c>
      <c r="BP2" s="156" t="s">
        <v>56</v>
      </c>
      <c r="BQ2" s="154" t="s">
        <v>57</v>
      </c>
      <c r="BR2" s="80" t="s">
        <v>8</v>
      </c>
      <c r="BS2" s="81"/>
      <c r="BT2" s="81" t="s">
        <v>9</v>
      </c>
      <c r="BU2" s="81"/>
      <c r="BV2" s="81" t="s">
        <v>10</v>
      </c>
      <c r="BW2" s="81"/>
      <c r="BX2" s="81" t="s">
        <v>11</v>
      </c>
      <c r="BY2" s="81"/>
      <c r="BZ2" s="81" t="s">
        <v>156</v>
      </c>
      <c r="CA2" s="81"/>
      <c r="CB2" s="81" t="s">
        <v>20</v>
      </c>
      <c r="CC2" s="81"/>
      <c r="CD2" s="81" t="s">
        <v>21</v>
      </c>
      <c r="CE2" s="81"/>
      <c r="CF2" s="81" t="s">
        <v>22</v>
      </c>
      <c r="CG2" s="81"/>
      <c r="CH2" s="81" t="s">
        <v>23</v>
      </c>
      <c r="CI2" s="81"/>
      <c r="CJ2" s="81" t="s">
        <v>24</v>
      </c>
      <c r="CK2" s="81"/>
      <c r="CL2" s="81" t="s">
        <v>25</v>
      </c>
      <c r="CM2" s="81"/>
      <c r="CN2" s="81" t="s">
        <v>26</v>
      </c>
      <c r="CO2" s="81"/>
      <c r="CP2" s="81" t="s">
        <v>27</v>
      </c>
      <c r="CQ2" s="81"/>
      <c r="CR2" s="81" t="s">
        <v>28</v>
      </c>
      <c r="CS2" s="81"/>
      <c r="CT2" s="81" t="s">
        <v>29</v>
      </c>
      <c r="CU2" s="81"/>
      <c r="CV2" s="81" t="s">
        <v>30</v>
      </c>
      <c r="CW2" s="81"/>
      <c r="CX2" s="81" t="s">
        <v>31</v>
      </c>
      <c r="CY2" s="81"/>
      <c r="CZ2" s="81" t="s">
        <v>32</v>
      </c>
      <c r="DA2" s="81"/>
      <c r="DB2" s="81" t="s">
        <v>33</v>
      </c>
      <c r="DC2" s="81"/>
      <c r="DD2" s="81" t="s">
        <v>34</v>
      </c>
      <c r="DE2" s="81"/>
      <c r="DF2" s="81" t="s">
        <v>35</v>
      </c>
      <c r="DG2" s="81"/>
      <c r="DH2" s="81" t="s">
        <v>36</v>
      </c>
      <c r="DI2" s="81"/>
      <c r="DJ2" s="81" t="s">
        <v>37</v>
      </c>
      <c r="DK2" s="81"/>
      <c r="DL2" s="81" t="s">
        <v>38</v>
      </c>
      <c r="DM2" s="81"/>
      <c r="DN2" s="81" t="s">
        <v>39</v>
      </c>
      <c r="DO2" s="81"/>
      <c r="DP2" s="81" t="s">
        <v>40</v>
      </c>
      <c r="DQ2" s="81"/>
      <c r="DR2" s="81" t="s">
        <v>41</v>
      </c>
      <c r="DS2" s="81"/>
      <c r="DT2" s="81" t="s">
        <v>42</v>
      </c>
      <c r="DU2" s="81"/>
      <c r="DV2" s="81" t="s">
        <v>43</v>
      </c>
      <c r="DW2" s="81"/>
      <c r="DX2" s="81" t="s">
        <v>44</v>
      </c>
      <c r="DY2" s="81"/>
      <c r="DZ2" s="81" t="s">
        <v>45</v>
      </c>
      <c r="EA2" s="81"/>
      <c r="EB2" s="81" t="s">
        <v>46</v>
      </c>
      <c r="EC2" s="81"/>
    </row>
    <row r="3" spans="1:134" ht="20.25" customHeight="1" x14ac:dyDescent="0.2">
      <c r="A3" s="178"/>
      <c r="B3" s="161"/>
      <c r="C3" s="180"/>
      <c r="D3" s="180"/>
      <c r="E3" s="180"/>
      <c r="F3" s="13" t="s">
        <v>12</v>
      </c>
      <c r="G3" s="13" t="s">
        <v>13</v>
      </c>
      <c r="H3" s="13" t="s">
        <v>14</v>
      </c>
      <c r="I3" s="13" t="s">
        <v>13</v>
      </c>
      <c r="J3" s="141" t="s">
        <v>2</v>
      </c>
      <c r="K3" s="13" t="s">
        <v>15</v>
      </c>
      <c r="L3" s="14" t="s">
        <v>15</v>
      </c>
      <c r="M3" s="13" t="s">
        <v>12</v>
      </c>
      <c r="N3" s="13" t="s">
        <v>13</v>
      </c>
      <c r="O3" s="13" t="s">
        <v>14</v>
      </c>
      <c r="P3" s="13" t="s">
        <v>13</v>
      </c>
      <c r="Q3" s="13" t="s">
        <v>2</v>
      </c>
      <c r="R3" s="13" t="s">
        <v>15</v>
      </c>
      <c r="S3" s="14" t="s">
        <v>15</v>
      </c>
      <c r="T3" s="13" t="s">
        <v>12</v>
      </c>
      <c r="U3" s="13" t="s">
        <v>13</v>
      </c>
      <c r="V3" s="13" t="s">
        <v>14</v>
      </c>
      <c r="W3" s="13" t="s">
        <v>13</v>
      </c>
      <c r="X3" s="13" t="s">
        <v>2</v>
      </c>
      <c r="Y3" s="13" t="s">
        <v>15</v>
      </c>
      <c r="Z3" s="14" t="s">
        <v>15</v>
      </c>
      <c r="AA3" s="13" t="s">
        <v>12</v>
      </c>
      <c r="AB3" s="13" t="s">
        <v>13</v>
      </c>
      <c r="AC3" s="13" t="s">
        <v>14</v>
      </c>
      <c r="AD3" s="13" t="s">
        <v>13</v>
      </c>
      <c r="AE3" s="13" t="s">
        <v>2</v>
      </c>
      <c r="AF3" s="13" t="s">
        <v>15</v>
      </c>
      <c r="AG3" s="14" t="s">
        <v>15</v>
      </c>
      <c r="AH3" s="13" t="s">
        <v>12</v>
      </c>
      <c r="AI3" s="13" t="s">
        <v>13</v>
      </c>
      <c r="AJ3" s="171"/>
      <c r="AK3" s="171"/>
      <c r="AL3" s="171"/>
      <c r="AM3" s="171"/>
      <c r="AN3" s="171"/>
      <c r="AO3" s="167"/>
      <c r="AP3" s="167"/>
      <c r="AQ3" s="167"/>
      <c r="AR3" s="167"/>
      <c r="AS3" s="168"/>
      <c r="AT3" s="170"/>
      <c r="AU3" s="172"/>
      <c r="AV3" s="168"/>
      <c r="AW3" s="161"/>
      <c r="AX3" s="161"/>
      <c r="AY3" s="161"/>
      <c r="AZ3" s="163"/>
      <c r="BA3" s="165"/>
      <c r="BB3" s="165"/>
      <c r="BC3" s="159"/>
      <c r="BD3" s="159"/>
      <c r="BE3" s="159"/>
      <c r="BF3" s="159"/>
      <c r="BG3" s="159"/>
      <c r="BH3" s="159"/>
      <c r="BI3" s="157"/>
      <c r="BJ3" s="159"/>
      <c r="BK3" s="157"/>
      <c r="BL3" s="157"/>
      <c r="BM3" s="159"/>
      <c r="BN3" s="159"/>
      <c r="BO3" s="157"/>
      <c r="BP3" s="157"/>
      <c r="BQ3" s="155"/>
      <c r="BR3" s="80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</row>
    <row r="4" spans="1:134" s="78" customFormat="1" ht="18" customHeight="1" x14ac:dyDescent="0.25">
      <c r="A4" s="15">
        <v>1</v>
      </c>
      <c r="B4" s="122" t="s">
        <v>62</v>
      </c>
      <c r="C4" s="17" t="s">
        <v>63</v>
      </c>
      <c r="D4" s="16" t="s">
        <v>61</v>
      </c>
      <c r="E4" s="18">
        <v>44903</v>
      </c>
      <c r="F4" s="19">
        <v>10</v>
      </c>
      <c r="G4" s="19">
        <v>10</v>
      </c>
      <c r="H4" s="19">
        <v>10</v>
      </c>
      <c r="I4" s="19">
        <v>10</v>
      </c>
      <c r="J4" s="19" t="s">
        <v>603</v>
      </c>
      <c r="K4" s="19" t="s">
        <v>316</v>
      </c>
      <c r="L4" s="19" t="s">
        <v>316</v>
      </c>
      <c r="M4" s="19">
        <v>10</v>
      </c>
      <c r="N4" s="19">
        <v>10</v>
      </c>
      <c r="O4" s="19">
        <v>10</v>
      </c>
      <c r="P4" s="19">
        <v>10</v>
      </c>
      <c r="Q4" s="19">
        <v>10</v>
      </c>
      <c r="R4" s="19">
        <v>10</v>
      </c>
      <c r="S4" s="19" t="s">
        <v>15</v>
      </c>
      <c r="T4" s="19">
        <v>10</v>
      </c>
      <c r="U4" s="19">
        <v>10</v>
      </c>
      <c r="V4" s="19">
        <v>10</v>
      </c>
      <c r="W4" s="19">
        <v>10</v>
      </c>
      <c r="X4" s="19">
        <v>10</v>
      </c>
      <c r="Y4" s="19">
        <v>10</v>
      </c>
      <c r="Z4" s="19" t="s">
        <v>15</v>
      </c>
      <c r="AA4" s="19">
        <v>10</v>
      </c>
      <c r="AB4" s="19">
        <v>10</v>
      </c>
      <c r="AC4" s="19">
        <v>10</v>
      </c>
      <c r="AD4" s="19">
        <v>10</v>
      </c>
      <c r="AE4" s="19">
        <v>10</v>
      </c>
      <c r="AF4" s="19">
        <v>10</v>
      </c>
      <c r="AG4" s="19" t="s">
        <v>15</v>
      </c>
      <c r="AH4" s="19">
        <v>10</v>
      </c>
      <c r="AI4" s="19">
        <v>10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/>
      <c r="AQ4" s="19"/>
      <c r="AR4" s="19"/>
      <c r="AS4" s="19">
        <v>0</v>
      </c>
      <c r="AT4" s="19">
        <f t="shared" ref="AT4:AT34" si="0">SUM(BS4+BU4+BW4+BY4+CA4+CC4+CE4+CG4+CI4+CK4+CM4+CO4+CQ4+CS4+CU4+CW4+CY4+DA4+DC4+DE4+DG4+DI4+DK4+DM4+DO4+DQ4+DS4+DU4+DW4+DY4+EA4+EC4)</f>
        <v>48</v>
      </c>
      <c r="AU4" s="19">
        <f t="shared" ref="AU4:AU34" si="1">SUM(AJ4:AN4)</f>
        <v>0</v>
      </c>
      <c r="AV4" s="19">
        <f t="shared" ref="AV4:AV34" si="2">SUM(AO4:AS4)</f>
        <v>0</v>
      </c>
      <c r="AW4" s="16">
        <f t="shared" ref="AW4:AW34" si="3">COUNTIF(F4:AI4,"8")+COUNTIF(F4:AI4,"8.5")+COUNTIF(F4:AI4,"9")+COUNTIF(F4:AI4,"9.5")+COUNTIF(F4:AI4,"10")+COUNTIF(F4:AI4,"10.5")+COUNTIF(F4:AI4,"11")+COUNTIF(F4:AI4,"11.5")+COUNTIF(F4:AI4,"12")+COUNTIF(F4:AI4,"12.5")+COUNTIF(F4:AI4,"13")+COUNTIF(F4:AI4,"13.5")+COUNTIF(F4:AI4,"14")+COUNTIF(F4:AI4,"14.5")+COUNTIF(F4:AI4,"15")+COUNTIF(F4:AI4,"15.5")+COUNTIF(F4:AI4,"16")+COUNTIF(F4:AI4,"16.5")+COUNTIF(F4:AI4,"17")+COUNTIF(F4:AI4,"17.5")+COUNTIF(F4:AI4,"18")+COUNTIF(F4:AI4,"18.5")+COUNTIF(F4:AI4,"19")+COUNTIF(F4:AI4,"19.5")+COUNTIF(F4:AI4,"20")+COUNTIF(F4:AI4,"20.5")+COUNTIF(F4:AI4,"21")+COUNTIF(F4:AI4,"21.5")+COUNTIF(F4:AI4,"22")+COUNTIF(F4:AI4,"22.5")+COUNTIF(F4:AI4,"23")+COUNTIF(F4:AI4,"23.5")+COUNTIF(F4:AI4,"24")+COUNTIF(F4:AI4,"S")+COUNTIF(F4:AI4,"PH")+COUNTIF(F4:AI4,"ML")+COUNTIF(F4:AI4,"OD")</f>
        <v>28</v>
      </c>
      <c r="AX4" s="16">
        <f t="shared" ref="AX4:AX34" si="4">COUNTIF(F4:AI4,"A")</f>
        <v>2</v>
      </c>
      <c r="AY4" s="16">
        <f t="shared" ref="AY4:AY34" si="5">COUNTIF(F4:AI4,"ID")</f>
        <v>0</v>
      </c>
      <c r="AZ4" s="21">
        <v>1000</v>
      </c>
      <c r="BA4" s="21">
        <v>200</v>
      </c>
      <c r="BB4" s="21">
        <v>0</v>
      </c>
      <c r="BC4" s="19">
        <f t="shared" ref="BC4:BC34" si="6">MROUND(AZ4/30*AW4, 1)</f>
        <v>933</v>
      </c>
      <c r="BD4" s="19">
        <f t="shared" ref="BD4:BD34" si="7">MROUND(BA4/30*AW4, 1)</f>
        <v>187</v>
      </c>
      <c r="BE4" s="19">
        <f t="shared" ref="BE4:BE34" si="8">MROUND((AZ4/30/8*1.25*AT4)+(AZ4/30/8*1.5*AU4)+(AZ4/30/8*1.5*AV4), 1)</f>
        <v>250</v>
      </c>
      <c r="BF4" s="19">
        <f t="shared" ref="BF4:BF34" si="9">MROUND(BB4/30*AW4, 1)</f>
        <v>0</v>
      </c>
      <c r="BG4" s="19">
        <f t="shared" ref="BG4:BG34" si="10">MROUND(AZ4/30*AY4, 1)</f>
        <v>0</v>
      </c>
      <c r="BH4" s="19">
        <f t="shared" ref="BH4:BH34" si="11">MROUND(BA4/30*AY4, 1)</f>
        <v>0</v>
      </c>
      <c r="BI4" s="19">
        <v>0</v>
      </c>
      <c r="BJ4" s="19">
        <f t="shared" ref="BJ4:BJ34" si="12">SUM(BC4:BI4)</f>
        <v>1370</v>
      </c>
      <c r="BK4" s="19">
        <v>0</v>
      </c>
      <c r="BL4" s="19">
        <v>0</v>
      </c>
      <c r="BM4" s="19">
        <f t="shared" ref="BM4:BM34" si="13">BK4+BL4</f>
        <v>0</v>
      </c>
      <c r="BN4" s="19">
        <f t="shared" ref="BN4:BN34" si="14">BJ4-BM4</f>
        <v>1370</v>
      </c>
      <c r="BO4" s="19">
        <v>0</v>
      </c>
      <c r="BP4" s="19">
        <v>0</v>
      </c>
      <c r="BQ4" s="22">
        <f t="shared" ref="BQ4:BQ34" si="15">SUM(BN4:BO4)-BP4</f>
        <v>1370</v>
      </c>
      <c r="BR4" s="82">
        <f t="shared" ref="BR4:BR34" si="16">COUNTIF(F4:AI4, "8.5")</f>
        <v>0</v>
      </c>
      <c r="BS4" s="19">
        <f t="shared" ref="BS4:BS34" si="17">BR4*0.5</f>
        <v>0</v>
      </c>
      <c r="BT4" s="19">
        <f t="shared" ref="BT4:BT34" si="18">COUNTIF(F4:AI4, "9")</f>
        <v>0</v>
      </c>
      <c r="BU4" s="19">
        <f t="shared" ref="BU4:BU34" si="19">BT4*1</f>
        <v>0</v>
      </c>
      <c r="BV4" s="19">
        <f t="shared" ref="BV4:BV34" si="20">COUNTIF(F4:AI4, "9.5")</f>
        <v>0</v>
      </c>
      <c r="BW4" s="19">
        <f t="shared" ref="BW4:BW34" si="21">BV4*1.5</f>
        <v>0</v>
      </c>
      <c r="BX4" s="19">
        <f t="shared" ref="BX4:BX34" si="22">COUNTIF(F4:AI4, "10")</f>
        <v>24</v>
      </c>
      <c r="BY4" s="19">
        <f t="shared" ref="BY4:BY34" si="23">BX4*2</f>
        <v>48</v>
      </c>
      <c r="BZ4" s="19">
        <f t="shared" ref="BZ4:BZ34" si="24">COUNTIF(F4:AI4, "10.5")</f>
        <v>0</v>
      </c>
      <c r="CA4" s="19">
        <f t="shared" ref="CA4:CA34" si="25">BZ4*2.5</f>
        <v>0</v>
      </c>
      <c r="CB4" s="19">
        <f t="shared" ref="CB4:CB34" si="26">COUNTIF(F4:AI4, "11")</f>
        <v>0</v>
      </c>
      <c r="CC4" s="19">
        <f t="shared" ref="CC4:CC34" si="27">CB4*3</f>
        <v>0</v>
      </c>
      <c r="CD4" s="19">
        <f t="shared" ref="CD4:CD34" si="28">COUNTIF(F4:AI4, "11.5")</f>
        <v>0</v>
      </c>
      <c r="CE4" s="19">
        <f t="shared" ref="CE4:CE34" si="29">CD4*3.5</f>
        <v>0</v>
      </c>
      <c r="CF4" s="19">
        <f t="shared" ref="CF4:CF34" si="30">COUNTIF(F4:AI4, "12")</f>
        <v>0</v>
      </c>
      <c r="CG4" s="19">
        <f t="shared" ref="CG4:CG34" si="31">CF4*4</f>
        <v>0</v>
      </c>
      <c r="CH4" s="19">
        <f t="shared" ref="CH4:CH34" si="32">COUNTIF(F4:AI4, "12.5")</f>
        <v>0</v>
      </c>
      <c r="CI4" s="19">
        <f t="shared" ref="CI4:CI34" si="33">CH4*4.5</f>
        <v>0</v>
      </c>
      <c r="CJ4" s="19">
        <f t="shared" ref="CJ4:CJ34" si="34">COUNTIF(F4:AI4, "13")</f>
        <v>0</v>
      </c>
      <c r="CK4" s="19">
        <f t="shared" ref="CK4:CK34" si="35">CJ4*5</f>
        <v>0</v>
      </c>
      <c r="CL4" s="19">
        <f t="shared" ref="CL4:CL34" si="36">COUNTIF(F4:AI4, "13.5")</f>
        <v>0</v>
      </c>
      <c r="CM4" s="19">
        <f t="shared" ref="CM4:CM34" si="37">CL4*5.5</f>
        <v>0</v>
      </c>
      <c r="CN4" s="19">
        <f t="shared" ref="CN4:CN34" si="38">COUNTIF(F4:AI4, "14")</f>
        <v>0</v>
      </c>
      <c r="CO4" s="19">
        <f t="shared" ref="CO4:CO34" si="39">CN4*6</f>
        <v>0</v>
      </c>
      <c r="CP4" s="19">
        <f t="shared" ref="CP4:CP34" si="40">COUNTIF(F4:AI4, "14.5")</f>
        <v>0</v>
      </c>
      <c r="CQ4" s="19">
        <f t="shared" ref="CQ4:CQ34" si="41">CP4*6.5</f>
        <v>0</v>
      </c>
      <c r="CR4" s="19">
        <f t="shared" ref="CR4:CR34" si="42">COUNTIF(F4:AI4, "15")</f>
        <v>0</v>
      </c>
      <c r="CS4" s="19">
        <f t="shared" ref="CS4:CS34" si="43">CR4*7</f>
        <v>0</v>
      </c>
      <c r="CT4" s="19">
        <f t="shared" ref="CT4:CT34" si="44">COUNTIF(F4:AI4, "15.5")</f>
        <v>0</v>
      </c>
      <c r="CU4" s="19">
        <f t="shared" ref="CU4:CU34" si="45">CT4*7.5</f>
        <v>0</v>
      </c>
      <c r="CV4" s="19">
        <f t="shared" ref="CV4:CV34" si="46">COUNTIF(F4:AI4, "16")</f>
        <v>0</v>
      </c>
      <c r="CW4" s="19">
        <f t="shared" ref="CW4:CW34" si="47">CV4*8</f>
        <v>0</v>
      </c>
      <c r="CX4" s="19">
        <f t="shared" ref="CX4:CX34" si="48">COUNTIF(F4:AI4, "16.5")</f>
        <v>0</v>
      </c>
      <c r="CY4" s="19">
        <f t="shared" ref="CY4:CY34" si="49">CX4*8.5</f>
        <v>0</v>
      </c>
      <c r="CZ4" s="19">
        <f t="shared" ref="CZ4:CZ34" si="50">COUNTIF(F4:AI4, "17")</f>
        <v>0</v>
      </c>
      <c r="DA4" s="19">
        <f t="shared" ref="DA4:DA34" si="51">CZ4*9</f>
        <v>0</v>
      </c>
      <c r="DB4" s="19">
        <f t="shared" ref="DB4:DB34" si="52">COUNTIF(F4:AI4, "17.5")</f>
        <v>0</v>
      </c>
      <c r="DC4" s="19">
        <f t="shared" ref="DC4:DC34" si="53">DB4*9.5</f>
        <v>0</v>
      </c>
      <c r="DD4" s="19">
        <f t="shared" ref="DD4:DD34" si="54">COUNTIF(F4:AI4, "18")</f>
        <v>0</v>
      </c>
      <c r="DE4" s="19">
        <f t="shared" ref="DE4:DE34" si="55">DD4*10</f>
        <v>0</v>
      </c>
      <c r="DF4" s="19">
        <f t="shared" ref="DF4:DF34" si="56">COUNTIF(F4:AI4, "18.5")</f>
        <v>0</v>
      </c>
      <c r="DG4" s="19">
        <f t="shared" ref="DG4:DG34" si="57">DF4*10.5</f>
        <v>0</v>
      </c>
      <c r="DH4" s="19">
        <f t="shared" ref="DH4:DH34" si="58">COUNTIF(F4:AI4, "19")</f>
        <v>0</v>
      </c>
      <c r="DI4" s="19">
        <f t="shared" ref="DI4:DI34" si="59">DH4*11</f>
        <v>0</v>
      </c>
      <c r="DJ4" s="19">
        <f t="shared" ref="DJ4:DJ34" si="60">COUNTIF(F4:AI4, "19.5")</f>
        <v>0</v>
      </c>
      <c r="DK4" s="19">
        <f t="shared" ref="DK4:DK34" si="61">DJ4*11.5</f>
        <v>0</v>
      </c>
      <c r="DL4" s="19">
        <f t="shared" ref="DL4:DL34" si="62">COUNTIF(F4:AI4, "20")</f>
        <v>0</v>
      </c>
      <c r="DM4" s="19">
        <f t="shared" ref="DM4:DM34" si="63">DL4*12</f>
        <v>0</v>
      </c>
      <c r="DN4" s="19">
        <f t="shared" ref="DN4:DN34" si="64">COUNTIF(F4:AI4, "20.5")</f>
        <v>0</v>
      </c>
      <c r="DO4" s="19">
        <f t="shared" ref="DO4:DO34" si="65">DN4*12.5</f>
        <v>0</v>
      </c>
      <c r="DP4" s="19">
        <f t="shared" ref="DP4:DP34" si="66">COUNTIF(F4:AI4, "21")</f>
        <v>0</v>
      </c>
      <c r="DQ4" s="19">
        <f t="shared" ref="DQ4:DQ34" si="67">DP4*13</f>
        <v>0</v>
      </c>
      <c r="DR4" s="19">
        <f t="shared" ref="DR4:DR34" si="68">COUNTIF(F4:AI4, "21.5")</f>
        <v>0</v>
      </c>
      <c r="DS4" s="19">
        <f t="shared" ref="DS4:DS34" si="69">DR4*13.5</f>
        <v>0</v>
      </c>
      <c r="DT4" s="19">
        <f t="shared" ref="DT4:DT34" si="70">COUNTIF(F4:AI4, "22")</f>
        <v>0</v>
      </c>
      <c r="DU4" s="19">
        <f t="shared" ref="DU4:DU34" si="71">DT4*14</f>
        <v>0</v>
      </c>
      <c r="DV4" s="19">
        <f t="shared" ref="DV4:DV34" si="72">COUNTIF(F4:AI4, "22.5")</f>
        <v>0</v>
      </c>
      <c r="DW4" s="19">
        <f t="shared" ref="DW4:DW34" si="73">DV4*14.5</f>
        <v>0</v>
      </c>
      <c r="DX4" s="19">
        <f t="shared" ref="DX4:DX34" si="74">COUNTIF(F4:AI4, "23")</f>
        <v>0</v>
      </c>
      <c r="DY4" s="19">
        <f t="shared" ref="DY4:DY34" si="75">DX4*15</f>
        <v>0</v>
      </c>
      <c r="DZ4" s="19">
        <f t="shared" ref="DZ4:DZ34" si="76">COUNTIF(F4:AI4, "23.5")</f>
        <v>0</v>
      </c>
      <c r="EA4" s="19">
        <f t="shared" ref="EA4:EA34" si="77">DZ4*15.5</f>
        <v>0</v>
      </c>
      <c r="EB4" s="19">
        <f t="shared" ref="EB4:EB34" si="78">COUNTIF(F4:AI4, "24")</f>
        <v>0</v>
      </c>
      <c r="EC4" s="19">
        <f t="shared" ref="EC4:EC34" si="79">EB4*16</f>
        <v>0</v>
      </c>
    </row>
    <row r="5" spans="1:134" s="78" customFormat="1" ht="18" customHeight="1" x14ac:dyDescent="0.25">
      <c r="A5" s="15">
        <v>2</v>
      </c>
      <c r="B5" s="123" t="s">
        <v>64</v>
      </c>
      <c r="C5" s="104" t="s">
        <v>65</v>
      </c>
      <c r="D5" s="103" t="s">
        <v>61</v>
      </c>
      <c r="E5" s="18">
        <v>44904</v>
      </c>
      <c r="F5" s="19">
        <v>9.5</v>
      </c>
      <c r="G5" s="19">
        <v>9.5</v>
      </c>
      <c r="H5" s="19">
        <v>9.5</v>
      </c>
      <c r="I5" s="19">
        <v>9.5</v>
      </c>
      <c r="J5" s="19" t="s">
        <v>603</v>
      </c>
      <c r="K5" s="19">
        <v>9.5</v>
      </c>
      <c r="L5" s="19" t="s">
        <v>15</v>
      </c>
      <c r="M5" s="19">
        <v>9.5</v>
      </c>
      <c r="N5" s="19">
        <v>9.5</v>
      </c>
      <c r="O5" s="19">
        <v>9.5</v>
      </c>
      <c r="P5" s="19">
        <v>9.5</v>
      </c>
      <c r="Q5" s="19">
        <v>9.5</v>
      </c>
      <c r="R5" s="19">
        <v>9.5</v>
      </c>
      <c r="S5" s="19" t="s">
        <v>15</v>
      </c>
      <c r="T5" s="19">
        <v>11</v>
      </c>
      <c r="U5" s="19">
        <v>11</v>
      </c>
      <c r="V5" s="19">
        <v>11</v>
      </c>
      <c r="W5" s="19">
        <v>11</v>
      </c>
      <c r="X5" s="19">
        <v>11</v>
      </c>
      <c r="Y5" s="19">
        <v>11</v>
      </c>
      <c r="Z5" s="19" t="s">
        <v>15</v>
      </c>
      <c r="AA5" s="19">
        <v>11</v>
      </c>
      <c r="AB5" s="19">
        <v>11</v>
      </c>
      <c r="AC5" s="19">
        <v>11</v>
      </c>
      <c r="AD5" s="19">
        <v>11</v>
      </c>
      <c r="AE5" s="19">
        <v>11</v>
      </c>
      <c r="AF5" s="19">
        <v>11</v>
      </c>
      <c r="AG5" s="19" t="s">
        <v>15</v>
      </c>
      <c r="AH5" s="19">
        <v>11</v>
      </c>
      <c r="AI5" s="19">
        <v>11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9.5</v>
      </c>
      <c r="AP5" s="19"/>
      <c r="AQ5" s="19"/>
      <c r="AR5" s="19"/>
      <c r="AS5" s="19">
        <v>0</v>
      </c>
      <c r="AT5" s="19">
        <f t="shared" si="0"/>
        <v>58.5</v>
      </c>
      <c r="AU5" s="19">
        <f t="shared" si="1"/>
        <v>0</v>
      </c>
      <c r="AV5" s="19">
        <f t="shared" si="2"/>
        <v>9.5</v>
      </c>
      <c r="AW5" s="16">
        <f t="shared" si="3"/>
        <v>30</v>
      </c>
      <c r="AX5" s="16">
        <f t="shared" si="4"/>
        <v>0</v>
      </c>
      <c r="AY5" s="16">
        <f t="shared" si="5"/>
        <v>0</v>
      </c>
      <c r="AZ5" s="21">
        <v>1050</v>
      </c>
      <c r="BA5" s="21">
        <v>200</v>
      </c>
      <c r="BB5" s="21">
        <v>0</v>
      </c>
      <c r="BC5" s="19">
        <f t="shared" si="6"/>
        <v>1050</v>
      </c>
      <c r="BD5" s="19">
        <f t="shared" si="7"/>
        <v>200</v>
      </c>
      <c r="BE5" s="19">
        <f t="shared" si="8"/>
        <v>382</v>
      </c>
      <c r="BF5" s="19">
        <f t="shared" si="9"/>
        <v>0</v>
      </c>
      <c r="BG5" s="19">
        <f t="shared" si="10"/>
        <v>0</v>
      </c>
      <c r="BH5" s="19">
        <f t="shared" si="11"/>
        <v>0</v>
      </c>
      <c r="BI5" s="19">
        <v>95</v>
      </c>
      <c r="BJ5" s="19">
        <f t="shared" si="12"/>
        <v>1727</v>
      </c>
      <c r="BK5" s="19">
        <v>0</v>
      </c>
      <c r="BL5" s="19">
        <v>0</v>
      </c>
      <c r="BM5" s="19">
        <f t="shared" si="13"/>
        <v>0</v>
      </c>
      <c r="BN5" s="19">
        <f t="shared" si="14"/>
        <v>1727</v>
      </c>
      <c r="BO5" s="19">
        <v>0</v>
      </c>
      <c r="BP5" s="19">
        <v>0</v>
      </c>
      <c r="BQ5" s="22">
        <f t="shared" si="15"/>
        <v>1727</v>
      </c>
      <c r="BR5" s="82">
        <f t="shared" si="16"/>
        <v>0</v>
      </c>
      <c r="BS5" s="19">
        <f t="shared" si="17"/>
        <v>0</v>
      </c>
      <c r="BT5" s="19">
        <f t="shared" si="18"/>
        <v>0</v>
      </c>
      <c r="BU5" s="19">
        <f t="shared" si="19"/>
        <v>0</v>
      </c>
      <c r="BV5" s="19">
        <f t="shared" si="20"/>
        <v>11</v>
      </c>
      <c r="BW5" s="19">
        <f t="shared" si="21"/>
        <v>16.5</v>
      </c>
      <c r="BX5" s="19">
        <f t="shared" si="22"/>
        <v>0</v>
      </c>
      <c r="BY5" s="19">
        <f t="shared" si="23"/>
        <v>0</v>
      </c>
      <c r="BZ5" s="19">
        <f t="shared" si="24"/>
        <v>0</v>
      </c>
      <c r="CA5" s="19">
        <f t="shared" si="25"/>
        <v>0</v>
      </c>
      <c r="CB5" s="19">
        <f t="shared" si="26"/>
        <v>14</v>
      </c>
      <c r="CC5" s="19">
        <f t="shared" si="27"/>
        <v>42</v>
      </c>
      <c r="CD5" s="19">
        <f t="shared" si="28"/>
        <v>0</v>
      </c>
      <c r="CE5" s="19">
        <f t="shared" si="29"/>
        <v>0</v>
      </c>
      <c r="CF5" s="19">
        <f t="shared" si="30"/>
        <v>0</v>
      </c>
      <c r="CG5" s="19">
        <f t="shared" si="31"/>
        <v>0</v>
      </c>
      <c r="CH5" s="19">
        <f t="shared" si="32"/>
        <v>0</v>
      </c>
      <c r="CI5" s="19">
        <f t="shared" si="33"/>
        <v>0</v>
      </c>
      <c r="CJ5" s="19">
        <f t="shared" si="34"/>
        <v>0</v>
      </c>
      <c r="CK5" s="19">
        <f t="shared" si="35"/>
        <v>0</v>
      </c>
      <c r="CL5" s="19">
        <f t="shared" si="36"/>
        <v>0</v>
      </c>
      <c r="CM5" s="19">
        <f t="shared" si="37"/>
        <v>0</v>
      </c>
      <c r="CN5" s="19">
        <f t="shared" si="38"/>
        <v>0</v>
      </c>
      <c r="CO5" s="19">
        <f t="shared" si="39"/>
        <v>0</v>
      </c>
      <c r="CP5" s="19">
        <f t="shared" si="40"/>
        <v>0</v>
      </c>
      <c r="CQ5" s="19">
        <f t="shared" si="41"/>
        <v>0</v>
      </c>
      <c r="CR5" s="19">
        <f t="shared" si="42"/>
        <v>0</v>
      </c>
      <c r="CS5" s="19">
        <f t="shared" si="43"/>
        <v>0</v>
      </c>
      <c r="CT5" s="19">
        <f t="shared" si="44"/>
        <v>0</v>
      </c>
      <c r="CU5" s="19">
        <f t="shared" si="45"/>
        <v>0</v>
      </c>
      <c r="CV5" s="19">
        <f t="shared" si="46"/>
        <v>0</v>
      </c>
      <c r="CW5" s="19">
        <f t="shared" si="47"/>
        <v>0</v>
      </c>
      <c r="CX5" s="19">
        <f t="shared" si="48"/>
        <v>0</v>
      </c>
      <c r="CY5" s="19">
        <f t="shared" si="49"/>
        <v>0</v>
      </c>
      <c r="CZ5" s="19">
        <f t="shared" si="50"/>
        <v>0</v>
      </c>
      <c r="DA5" s="19">
        <f t="shared" si="51"/>
        <v>0</v>
      </c>
      <c r="DB5" s="19">
        <f t="shared" si="52"/>
        <v>0</v>
      </c>
      <c r="DC5" s="19">
        <f t="shared" si="53"/>
        <v>0</v>
      </c>
      <c r="DD5" s="19">
        <f t="shared" si="54"/>
        <v>0</v>
      </c>
      <c r="DE5" s="19">
        <f t="shared" si="55"/>
        <v>0</v>
      </c>
      <c r="DF5" s="19">
        <f t="shared" si="56"/>
        <v>0</v>
      </c>
      <c r="DG5" s="19">
        <f t="shared" si="57"/>
        <v>0</v>
      </c>
      <c r="DH5" s="19">
        <f t="shared" si="58"/>
        <v>0</v>
      </c>
      <c r="DI5" s="19">
        <f t="shared" si="59"/>
        <v>0</v>
      </c>
      <c r="DJ5" s="19">
        <f t="shared" si="60"/>
        <v>0</v>
      </c>
      <c r="DK5" s="19">
        <f t="shared" si="61"/>
        <v>0</v>
      </c>
      <c r="DL5" s="19">
        <f t="shared" si="62"/>
        <v>0</v>
      </c>
      <c r="DM5" s="19">
        <f t="shared" si="63"/>
        <v>0</v>
      </c>
      <c r="DN5" s="19">
        <f t="shared" si="64"/>
        <v>0</v>
      </c>
      <c r="DO5" s="19">
        <f t="shared" si="65"/>
        <v>0</v>
      </c>
      <c r="DP5" s="19">
        <f t="shared" si="66"/>
        <v>0</v>
      </c>
      <c r="DQ5" s="19">
        <f t="shared" si="67"/>
        <v>0</v>
      </c>
      <c r="DR5" s="19">
        <f t="shared" si="68"/>
        <v>0</v>
      </c>
      <c r="DS5" s="19">
        <f t="shared" si="69"/>
        <v>0</v>
      </c>
      <c r="DT5" s="19">
        <f t="shared" si="70"/>
        <v>0</v>
      </c>
      <c r="DU5" s="19">
        <f t="shared" si="71"/>
        <v>0</v>
      </c>
      <c r="DV5" s="19">
        <f t="shared" si="72"/>
        <v>0</v>
      </c>
      <c r="DW5" s="19">
        <f t="shared" si="73"/>
        <v>0</v>
      </c>
      <c r="DX5" s="19">
        <f t="shared" si="74"/>
        <v>0</v>
      </c>
      <c r="DY5" s="19">
        <f t="shared" si="75"/>
        <v>0</v>
      </c>
      <c r="DZ5" s="19">
        <f t="shared" si="76"/>
        <v>0</v>
      </c>
      <c r="EA5" s="19">
        <f t="shared" si="77"/>
        <v>0</v>
      </c>
      <c r="EB5" s="19">
        <f t="shared" si="78"/>
        <v>0</v>
      </c>
      <c r="EC5" s="19">
        <f t="shared" si="79"/>
        <v>0</v>
      </c>
      <c r="ED5" s="106" t="s">
        <v>474</v>
      </c>
    </row>
    <row r="6" spans="1:134" s="78" customFormat="1" ht="18" customHeight="1" x14ac:dyDescent="0.25">
      <c r="A6" s="15">
        <v>3</v>
      </c>
      <c r="B6" s="122" t="s">
        <v>66</v>
      </c>
      <c r="C6" s="17" t="s">
        <v>67</v>
      </c>
      <c r="D6" s="16" t="s">
        <v>61</v>
      </c>
      <c r="E6" s="18">
        <v>44903</v>
      </c>
      <c r="F6" s="19">
        <v>11</v>
      </c>
      <c r="G6" s="19">
        <v>11</v>
      </c>
      <c r="H6" s="19">
        <v>11</v>
      </c>
      <c r="I6" s="19">
        <v>11</v>
      </c>
      <c r="J6" s="19" t="s">
        <v>603</v>
      </c>
      <c r="K6" s="19">
        <v>11</v>
      </c>
      <c r="L6" s="19" t="s">
        <v>15</v>
      </c>
      <c r="M6" s="19">
        <v>11</v>
      </c>
      <c r="N6" s="19" t="s">
        <v>316</v>
      </c>
      <c r="O6" s="19">
        <v>11</v>
      </c>
      <c r="P6" s="19">
        <v>11</v>
      </c>
      <c r="Q6" s="19">
        <v>11</v>
      </c>
      <c r="R6" s="19">
        <v>11</v>
      </c>
      <c r="S6" s="19" t="s">
        <v>316</v>
      </c>
      <c r="T6" s="19">
        <v>11</v>
      </c>
      <c r="U6" s="19">
        <v>11</v>
      </c>
      <c r="V6" s="19">
        <v>11</v>
      </c>
      <c r="W6" s="19">
        <v>11</v>
      </c>
      <c r="X6" s="19">
        <v>11</v>
      </c>
      <c r="Y6" s="19">
        <v>11</v>
      </c>
      <c r="Z6" s="19" t="s">
        <v>15</v>
      </c>
      <c r="AA6" s="19">
        <v>11</v>
      </c>
      <c r="AB6" s="19">
        <v>11</v>
      </c>
      <c r="AC6" s="19">
        <v>11</v>
      </c>
      <c r="AD6" s="19">
        <v>11</v>
      </c>
      <c r="AE6" s="19">
        <v>11</v>
      </c>
      <c r="AF6" s="19">
        <v>11</v>
      </c>
      <c r="AG6" s="19" t="s">
        <v>15</v>
      </c>
      <c r="AH6" s="19">
        <v>11</v>
      </c>
      <c r="AI6" s="19">
        <v>11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11</v>
      </c>
      <c r="AP6" s="19"/>
      <c r="AQ6" s="19"/>
      <c r="AR6" s="19"/>
      <c r="AS6" s="19">
        <v>0</v>
      </c>
      <c r="AT6" s="19">
        <f t="shared" si="0"/>
        <v>72</v>
      </c>
      <c r="AU6" s="19">
        <f t="shared" si="1"/>
        <v>0</v>
      </c>
      <c r="AV6" s="19">
        <f t="shared" si="2"/>
        <v>11</v>
      </c>
      <c r="AW6" s="16">
        <f t="shared" si="3"/>
        <v>28</v>
      </c>
      <c r="AX6" s="16">
        <f t="shared" si="4"/>
        <v>2</v>
      </c>
      <c r="AY6" s="16">
        <f t="shared" si="5"/>
        <v>0</v>
      </c>
      <c r="AZ6" s="21">
        <v>1000</v>
      </c>
      <c r="BA6" s="21">
        <v>200</v>
      </c>
      <c r="BB6" s="21">
        <v>0</v>
      </c>
      <c r="BC6" s="19">
        <f t="shared" si="6"/>
        <v>933</v>
      </c>
      <c r="BD6" s="19">
        <f t="shared" si="7"/>
        <v>187</v>
      </c>
      <c r="BE6" s="19">
        <f t="shared" si="8"/>
        <v>444</v>
      </c>
      <c r="BF6" s="19">
        <f t="shared" si="9"/>
        <v>0</v>
      </c>
      <c r="BG6" s="19">
        <f t="shared" si="10"/>
        <v>0</v>
      </c>
      <c r="BH6" s="19">
        <f t="shared" si="11"/>
        <v>0</v>
      </c>
      <c r="BI6" s="19">
        <v>0</v>
      </c>
      <c r="BJ6" s="19">
        <f t="shared" si="12"/>
        <v>1564</v>
      </c>
      <c r="BK6" s="19">
        <v>0</v>
      </c>
      <c r="BL6" s="19">
        <v>0</v>
      </c>
      <c r="BM6" s="19">
        <f t="shared" si="13"/>
        <v>0</v>
      </c>
      <c r="BN6" s="19">
        <f t="shared" si="14"/>
        <v>1564</v>
      </c>
      <c r="BO6" s="19">
        <v>0</v>
      </c>
      <c r="BP6" s="19">
        <v>0</v>
      </c>
      <c r="BQ6" s="22">
        <f t="shared" si="15"/>
        <v>1564</v>
      </c>
      <c r="BR6" s="82">
        <f t="shared" si="16"/>
        <v>0</v>
      </c>
      <c r="BS6" s="19">
        <f t="shared" si="17"/>
        <v>0</v>
      </c>
      <c r="BT6" s="19">
        <f t="shared" si="18"/>
        <v>0</v>
      </c>
      <c r="BU6" s="19">
        <f t="shared" si="19"/>
        <v>0</v>
      </c>
      <c r="BV6" s="19">
        <f t="shared" si="20"/>
        <v>0</v>
      </c>
      <c r="BW6" s="19">
        <f t="shared" si="21"/>
        <v>0</v>
      </c>
      <c r="BX6" s="19">
        <f t="shared" si="22"/>
        <v>0</v>
      </c>
      <c r="BY6" s="19">
        <f t="shared" si="23"/>
        <v>0</v>
      </c>
      <c r="BZ6" s="19">
        <f t="shared" si="24"/>
        <v>0</v>
      </c>
      <c r="CA6" s="19">
        <f t="shared" si="25"/>
        <v>0</v>
      </c>
      <c r="CB6" s="19">
        <f t="shared" si="26"/>
        <v>24</v>
      </c>
      <c r="CC6" s="19">
        <f t="shared" si="27"/>
        <v>72</v>
      </c>
      <c r="CD6" s="19">
        <f t="shared" si="28"/>
        <v>0</v>
      </c>
      <c r="CE6" s="19">
        <f t="shared" si="29"/>
        <v>0</v>
      </c>
      <c r="CF6" s="19">
        <f t="shared" si="30"/>
        <v>0</v>
      </c>
      <c r="CG6" s="19">
        <f t="shared" si="31"/>
        <v>0</v>
      </c>
      <c r="CH6" s="19">
        <f t="shared" si="32"/>
        <v>0</v>
      </c>
      <c r="CI6" s="19">
        <f t="shared" si="33"/>
        <v>0</v>
      </c>
      <c r="CJ6" s="19">
        <f t="shared" si="34"/>
        <v>0</v>
      </c>
      <c r="CK6" s="19">
        <f t="shared" si="35"/>
        <v>0</v>
      </c>
      <c r="CL6" s="19">
        <f t="shared" si="36"/>
        <v>0</v>
      </c>
      <c r="CM6" s="19">
        <f t="shared" si="37"/>
        <v>0</v>
      </c>
      <c r="CN6" s="19">
        <f t="shared" si="38"/>
        <v>0</v>
      </c>
      <c r="CO6" s="19">
        <f t="shared" si="39"/>
        <v>0</v>
      </c>
      <c r="CP6" s="19">
        <f t="shared" si="40"/>
        <v>0</v>
      </c>
      <c r="CQ6" s="19">
        <f t="shared" si="41"/>
        <v>0</v>
      </c>
      <c r="CR6" s="19">
        <f t="shared" si="42"/>
        <v>0</v>
      </c>
      <c r="CS6" s="19">
        <f t="shared" si="43"/>
        <v>0</v>
      </c>
      <c r="CT6" s="19">
        <f t="shared" si="44"/>
        <v>0</v>
      </c>
      <c r="CU6" s="19">
        <f t="shared" si="45"/>
        <v>0</v>
      </c>
      <c r="CV6" s="19">
        <f t="shared" si="46"/>
        <v>0</v>
      </c>
      <c r="CW6" s="19">
        <f t="shared" si="47"/>
        <v>0</v>
      </c>
      <c r="CX6" s="19">
        <f t="shared" si="48"/>
        <v>0</v>
      </c>
      <c r="CY6" s="19">
        <f t="shared" si="49"/>
        <v>0</v>
      </c>
      <c r="CZ6" s="19">
        <f t="shared" si="50"/>
        <v>0</v>
      </c>
      <c r="DA6" s="19">
        <f t="shared" si="51"/>
        <v>0</v>
      </c>
      <c r="DB6" s="19">
        <f t="shared" si="52"/>
        <v>0</v>
      </c>
      <c r="DC6" s="19">
        <f t="shared" si="53"/>
        <v>0</v>
      </c>
      <c r="DD6" s="19">
        <f t="shared" si="54"/>
        <v>0</v>
      </c>
      <c r="DE6" s="19">
        <f t="shared" si="55"/>
        <v>0</v>
      </c>
      <c r="DF6" s="19">
        <f t="shared" si="56"/>
        <v>0</v>
      </c>
      <c r="DG6" s="19">
        <f t="shared" si="57"/>
        <v>0</v>
      </c>
      <c r="DH6" s="19">
        <f t="shared" si="58"/>
        <v>0</v>
      </c>
      <c r="DI6" s="19">
        <f t="shared" si="59"/>
        <v>0</v>
      </c>
      <c r="DJ6" s="19">
        <f t="shared" si="60"/>
        <v>0</v>
      </c>
      <c r="DK6" s="19">
        <f t="shared" si="61"/>
        <v>0</v>
      </c>
      <c r="DL6" s="19">
        <f t="shared" si="62"/>
        <v>0</v>
      </c>
      <c r="DM6" s="19">
        <f t="shared" si="63"/>
        <v>0</v>
      </c>
      <c r="DN6" s="19">
        <f t="shared" si="64"/>
        <v>0</v>
      </c>
      <c r="DO6" s="19">
        <f t="shared" si="65"/>
        <v>0</v>
      </c>
      <c r="DP6" s="19">
        <f t="shared" si="66"/>
        <v>0</v>
      </c>
      <c r="DQ6" s="19">
        <f t="shared" si="67"/>
        <v>0</v>
      </c>
      <c r="DR6" s="19">
        <f t="shared" si="68"/>
        <v>0</v>
      </c>
      <c r="DS6" s="19">
        <f t="shared" si="69"/>
        <v>0</v>
      </c>
      <c r="DT6" s="19">
        <f t="shared" si="70"/>
        <v>0</v>
      </c>
      <c r="DU6" s="19">
        <f t="shared" si="71"/>
        <v>0</v>
      </c>
      <c r="DV6" s="19">
        <f t="shared" si="72"/>
        <v>0</v>
      </c>
      <c r="DW6" s="19">
        <f t="shared" si="73"/>
        <v>0</v>
      </c>
      <c r="DX6" s="19">
        <f t="shared" si="74"/>
        <v>0</v>
      </c>
      <c r="DY6" s="19">
        <f t="shared" si="75"/>
        <v>0</v>
      </c>
      <c r="DZ6" s="19">
        <f t="shared" si="76"/>
        <v>0</v>
      </c>
      <c r="EA6" s="19">
        <f t="shared" si="77"/>
        <v>0</v>
      </c>
      <c r="EB6" s="19">
        <f t="shared" si="78"/>
        <v>0</v>
      </c>
      <c r="EC6" s="19">
        <f t="shared" si="79"/>
        <v>0</v>
      </c>
    </row>
    <row r="7" spans="1:134" s="78" customFormat="1" ht="18" customHeight="1" x14ac:dyDescent="0.25">
      <c r="A7" s="15">
        <v>4</v>
      </c>
      <c r="B7" s="123" t="s">
        <v>72</v>
      </c>
      <c r="C7" s="104" t="s">
        <v>73</v>
      </c>
      <c r="D7" s="103" t="s">
        <v>61</v>
      </c>
      <c r="E7" s="18">
        <v>44903</v>
      </c>
      <c r="F7" s="19">
        <v>11</v>
      </c>
      <c r="G7" s="19">
        <v>11</v>
      </c>
      <c r="H7" s="19">
        <v>11</v>
      </c>
      <c r="I7" s="19">
        <v>11</v>
      </c>
      <c r="J7" s="19" t="s">
        <v>603</v>
      </c>
      <c r="K7" s="19">
        <v>11</v>
      </c>
      <c r="L7" s="19" t="s">
        <v>15</v>
      </c>
      <c r="M7" s="19">
        <v>11</v>
      </c>
      <c r="N7" s="19">
        <v>11</v>
      </c>
      <c r="O7" s="19">
        <v>11</v>
      </c>
      <c r="P7" s="19">
        <v>11</v>
      </c>
      <c r="Q7" s="19">
        <v>11</v>
      </c>
      <c r="R7" s="19">
        <v>11</v>
      </c>
      <c r="S7" s="19" t="s">
        <v>15</v>
      </c>
      <c r="T7" s="19">
        <v>11</v>
      </c>
      <c r="U7" s="19">
        <v>11</v>
      </c>
      <c r="V7" s="19">
        <v>11</v>
      </c>
      <c r="W7" s="19">
        <v>11</v>
      </c>
      <c r="X7" s="19">
        <v>11</v>
      </c>
      <c r="Y7" s="19">
        <v>11</v>
      </c>
      <c r="Z7" s="19" t="s">
        <v>15</v>
      </c>
      <c r="AA7" s="19" t="s">
        <v>635</v>
      </c>
      <c r="AB7" s="19">
        <v>8</v>
      </c>
      <c r="AC7" s="19">
        <v>11</v>
      </c>
      <c r="AD7" s="19">
        <v>11</v>
      </c>
      <c r="AE7" s="19">
        <v>11</v>
      </c>
      <c r="AF7" s="19">
        <v>11</v>
      </c>
      <c r="AG7" s="19" t="s">
        <v>15</v>
      </c>
      <c r="AH7" s="19">
        <v>11</v>
      </c>
      <c r="AI7" s="19">
        <v>11</v>
      </c>
      <c r="AJ7" s="19">
        <v>11</v>
      </c>
      <c r="AK7" s="19">
        <v>11</v>
      </c>
      <c r="AL7" s="19">
        <v>0</v>
      </c>
      <c r="AM7" s="19">
        <v>0</v>
      </c>
      <c r="AN7" s="19">
        <v>0</v>
      </c>
      <c r="AO7" s="19">
        <v>11</v>
      </c>
      <c r="AP7" s="19"/>
      <c r="AQ7" s="19"/>
      <c r="AR7" s="19"/>
      <c r="AS7" s="19">
        <v>0</v>
      </c>
      <c r="AT7" s="19">
        <f t="shared" si="0"/>
        <v>69</v>
      </c>
      <c r="AU7" s="19">
        <f t="shared" si="1"/>
        <v>22</v>
      </c>
      <c r="AV7" s="19">
        <f t="shared" si="2"/>
        <v>11</v>
      </c>
      <c r="AW7" s="16">
        <f t="shared" si="3"/>
        <v>30</v>
      </c>
      <c r="AX7" s="16">
        <f t="shared" si="4"/>
        <v>0</v>
      </c>
      <c r="AY7" s="16">
        <f t="shared" si="5"/>
        <v>0</v>
      </c>
      <c r="AZ7" s="21">
        <v>1000</v>
      </c>
      <c r="BA7" s="21">
        <v>200</v>
      </c>
      <c r="BB7" s="21">
        <v>0</v>
      </c>
      <c r="BC7" s="19">
        <f t="shared" si="6"/>
        <v>1000</v>
      </c>
      <c r="BD7" s="19">
        <f t="shared" si="7"/>
        <v>200</v>
      </c>
      <c r="BE7" s="19">
        <f t="shared" si="8"/>
        <v>566</v>
      </c>
      <c r="BF7" s="19">
        <f t="shared" si="9"/>
        <v>0</v>
      </c>
      <c r="BG7" s="19">
        <f t="shared" si="10"/>
        <v>0</v>
      </c>
      <c r="BH7" s="19">
        <f t="shared" si="11"/>
        <v>0</v>
      </c>
      <c r="BI7" s="19">
        <v>0</v>
      </c>
      <c r="BJ7" s="19">
        <f t="shared" si="12"/>
        <v>1766</v>
      </c>
      <c r="BK7" s="19">
        <v>0</v>
      </c>
      <c r="BL7" s="19">
        <v>0</v>
      </c>
      <c r="BM7" s="19">
        <f t="shared" si="13"/>
        <v>0</v>
      </c>
      <c r="BN7" s="19">
        <f t="shared" si="14"/>
        <v>1766</v>
      </c>
      <c r="BO7" s="19">
        <v>0</v>
      </c>
      <c r="BP7" s="19">
        <v>0</v>
      </c>
      <c r="BQ7" s="22">
        <f t="shared" si="15"/>
        <v>1766</v>
      </c>
      <c r="BR7" s="82">
        <f t="shared" si="16"/>
        <v>0</v>
      </c>
      <c r="BS7" s="19">
        <f t="shared" si="17"/>
        <v>0</v>
      </c>
      <c r="BT7" s="19">
        <f t="shared" si="18"/>
        <v>0</v>
      </c>
      <c r="BU7" s="19">
        <f t="shared" si="19"/>
        <v>0</v>
      </c>
      <c r="BV7" s="19">
        <f t="shared" si="20"/>
        <v>0</v>
      </c>
      <c r="BW7" s="19">
        <f t="shared" si="21"/>
        <v>0</v>
      </c>
      <c r="BX7" s="19">
        <f t="shared" si="22"/>
        <v>0</v>
      </c>
      <c r="BY7" s="19">
        <f t="shared" si="23"/>
        <v>0</v>
      </c>
      <c r="BZ7" s="19">
        <f t="shared" si="24"/>
        <v>0</v>
      </c>
      <c r="CA7" s="19">
        <f t="shared" si="25"/>
        <v>0</v>
      </c>
      <c r="CB7" s="19">
        <f t="shared" si="26"/>
        <v>23</v>
      </c>
      <c r="CC7" s="19">
        <f t="shared" si="27"/>
        <v>69</v>
      </c>
      <c r="CD7" s="19">
        <f t="shared" si="28"/>
        <v>0</v>
      </c>
      <c r="CE7" s="19">
        <f t="shared" si="29"/>
        <v>0</v>
      </c>
      <c r="CF7" s="19">
        <f t="shared" si="30"/>
        <v>0</v>
      </c>
      <c r="CG7" s="19">
        <f t="shared" si="31"/>
        <v>0</v>
      </c>
      <c r="CH7" s="19">
        <f t="shared" si="32"/>
        <v>0</v>
      </c>
      <c r="CI7" s="19">
        <f t="shared" si="33"/>
        <v>0</v>
      </c>
      <c r="CJ7" s="19">
        <f t="shared" si="34"/>
        <v>0</v>
      </c>
      <c r="CK7" s="19">
        <f t="shared" si="35"/>
        <v>0</v>
      </c>
      <c r="CL7" s="19">
        <f t="shared" si="36"/>
        <v>0</v>
      </c>
      <c r="CM7" s="19">
        <f t="shared" si="37"/>
        <v>0</v>
      </c>
      <c r="CN7" s="19">
        <f t="shared" si="38"/>
        <v>0</v>
      </c>
      <c r="CO7" s="19">
        <f t="shared" si="39"/>
        <v>0</v>
      </c>
      <c r="CP7" s="19">
        <f t="shared" si="40"/>
        <v>0</v>
      </c>
      <c r="CQ7" s="19">
        <f t="shared" si="41"/>
        <v>0</v>
      </c>
      <c r="CR7" s="19">
        <f t="shared" si="42"/>
        <v>0</v>
      </c>
      <c r="CS7" s="19">
        <f t="shared" si="43"/>
        <v>0</v>
      </c>
      <c r="CT7" s="19">
        <f t="shared" si="44"/>
        <v>0</v>
      </c>
      <c r="CU7" s="19">
        <f t="shared" si="45"/>
        <v>0</v>
      </c>
      <c r="CV7" s="19">
        <f t="shared" si="46"/>
        <v>0</v>
      </c>
      <c r="CW7" s="19">
        <f t="shared" si="47"/>
        <v>0</v>
      </c>
      <c r="CX7" s="19">
        <f t="shared" si="48"/>
        <v>0</v>
      </c>
      <c r="CY7" s="19">
        <f t="shared" si="49"/>
        <v>0</v>
      </c>
      <c r="CZ7" s="19">
        <f t="shared" si="50"/>
        <v>0</v>
      </c>
      <c r="DA7" s="19">
        <f t="shared" si="51"/>
        <v>0</v>
      </c>
      <c r="DB7" s="19">
        <f t="shared" si="52"/>
        <v>0</v>
      </c>
      <c r="DC7" s="19">
        <f t="shared" si="53"/>
        <v>0</v>
      </c>
      <c r="DD7" s="19">
        <f t="shared" si="54"/>
        <v>0</v>
      </c>
      <c r="DE7" s="19">
        <f t="shared" si="55"/>
        <v>0</v>
      </c>
      <c r="DF7" s="19">
        <f t="shared" si="56"/>
        <v>0</v>
      </c>
      <c r="DG7" s="19">
        <f t="shared" si="57"/>
        <v>0</v>
      </c>
      <c r="DH7" s="19">
        <f t="shared" si="58"/>
        <v>0</v>
      </c>
      <c r="DI7" s="19">
        <f t="shared" si="59"/>
        <v>0</v>
      </c>
      <c r="DJ7" s="19">
        <f t="shared" si="60"/>
        <v>0</v>
      </c>
      <c r="DK7" s="19">
        <f t="shared" si="61"/>
        <v>0</v>
      </c>
      <c r="DL7" s="19">
        <f t="shared" si="62"/>
        <v>0</v>
      </c>
      <c r="DM7" s="19">
        <f t="shared" si="63"/>
        <v>0</v>
      </c>
      <c r="DN7" s="19">
        <f t="shared" si="64"/>
        <v>0</v>
      </c>
      <c r="DO7" s="19">
        <f t="shared" si="65"/>
        <v>0</v>
      </c>
      <c r="DP7" s="19">
        <f t="shared" si="66"/>
        <v>0</v>
      </c>
      <c r="DQ7" s="19">
        <f t="shared" si="67"/>
        <v>0</v>
      </c>
      <c r="DR7" s="19">
        <f t="shared" si="68"/>
        <v>0</v>
      </c>
      <c r="DS7" s="19">
        <f t="shared" si="69"/>
        <v>0</v>
      </c>
      <c r="DT7" s="19">
        <f t="shared" si="70"/>
        <v>0</v>
      </c>
      <c r="DU7" s="19">
        <f t="shared" si="71"/>
        <v>0</v>
      </c>
      <c r="DV7" s="19">
        <f t="shared" si="72"/>
        <v>0</v>
      </c>
      <c r="DW7" s="19">
        <f t="shared" si="73"/>
        <v>0</v>
      </c>
      <c r="DX7" s="19">
        <f t="shared" si="74"/>
        <v>0</v>
      </c>
      <c r="DY7" s="19">
        <f t="shared" si="75"/>
        <v>0</v>
      </c>
      <c r="DZ7" s="19">
        <f t="shared" si="76"/>
        <v>0</v>
      </c>
      <c r="EA7" s="19">
        <f t="shared" si="77"/>
        <v>0</v>
      </c>
      <c r="EB7" s="19">
        <f t="shared" si="78"/>
        <v>0</v>
      </c>
      <c r="EC7" s="19">
        <f t="shared" si="79"/>
        <v>0</v>
      </c>
      <c r="ED7" s="106" t="s">
        <v>474</v>
      </c>
    </row>
    <row r="8" spans="1:134" s="78" customFormat="1" ht="18" customHeight="1" x14ac:dyDescent="0.25">
      <c r="A8" s="15">
        <v>5</v>
      </c>
      <c r="B8" s="122" t="s">
        <v>74</v>
      </c>
      <c r="C8" s="17" t="s">
        <v>75</v>
      </c>
      <c r="D8" s="16" t="s">
        <v>61</v>
      </c>
      <c r="E8" s="18">
        <v>44916</v>
      </c>
      <c r="F8" s="19">
        <v>10</v>
      </c>
      <c r="G8" s="19">
        <v>10</v>
      </c>
      <c r="H8" s="19">
        <v>10</v>
      </c>
      <c r="I8" s="19">
        <v>10</v>
      </c>
      <c r="J8" s="19" t="s">
        <v>603</v>
      </c>
      <c r="K8" s="19">
        <v>10</v>
      </c>
      <c r="L8" s="19" t="s">
        <v>15</v>
      </c>
      <c r="M8" s="19">
        <v>10</v>
      </c>
      <c r="N8" s="19">
        <v>10</v>
      </c>
      <c r="O8" s="19">
        <v>10</v>
      </c>
      <c r="P8" s="19">
        <v>10</v>
      </c>
      <c r="Q8" s="19">
        <v>10</v>
      </c>
      <c r="R8" s="19">
        <v>10</v>
      </c>
      <c r="S8" s="19" t="s">
        <v>15</v>
      </c>
      <c r="T8" s="19">
        <v>12.5</v>
      </c>
      <c r="U8" s="19">
        <v>14</v>
      </c>
      <c r="V8" s="19">
        <v>11</v>
      </c>
      <c r="W8" s="19">
        <v>11</v>
      </c>
      <c r="X8" s="19">
        <v>11</v>
      </c>
      <c r="Y8" s="19">
        <v>10</v>
      </c>
      <c r="Z8" s="19" t="s">
        <v>15</v>
      </c>
      <c r="AA8" s="19">
        <v>10</v>
      </c>
      <c r="AB8" s="19">
        <v>10</v>
      </c>
      <c r="AC8" s="19">
        <v>10</v>
      </c>
      <c r="AD8" s="19">
        <v>10</v>
      </c>
      <c r="AE8" s="19">
        <v>11</v>
      </c>
      <c r="AF8" s="19">
        <v>10</v>
      </c>
      <c r="AG8" s="19" t="s">
        <v>15</v>
      </c>
      <c r="AH8" s="19">
        <v>10</v>
      </c>
      <c r="AI8" s="19">
        <v>10</v>
      </c>
      <c r="AJ8" s="19">
        <v>0</v>
      </c>
      <c r="AK8" s="19">
        <v>11</v>
      </c>
      <c r="AL8" s="19">
        <v>0</v>
      </c>
      <c r="AM8" s="19">
        <v>11</v>
      </c>
      <c r="AN8" s="19">
        <v>0</v>
      </c>
      <c r="AO8" s="19">
        <v>10</v>
      </c>
      <c r="AP8" s="19"/>
      <c r="AQ8" s="19"/>
      <c r="AR8" s="19"/>
      <c r="AS8" s="19">
        <v>0</v>
      </c>
      <c r="AT8" s="19">
        <f t="shared" si="0"/>
        <v>60.5</v>
      </c>
      <c r="AU8" s="19">
        <f t="shared" si="1"/>
        <v>22</v>
      </c>
      <c r="AV8" s="19">
        <f t="shared" si="2"/>
        <v>10</v>
      </c>
      <c r="AW8" s="16">
        <f t="shared" si="3"/>
        <v>30</v>
      </c>
      <c r="AX8" s="16">
        <f t="shared" si="4"/>
        <v>0</v>
      </c>
      <c r="AY8" s="16">
        <f t="shared" si="5"/>
        <v>0</v>
      </c>
      <c r="AZ8" s="21">
        <v>1100</v>
      </c>
      <c r="BA8" s="21">
        <v>200</v>
      </c>
      <c r="BB8" s="21">
        <v>0</v>
      </c>
      <c r="BC8" s="19">
        <f t="shared" si="6"/>
        <v>1100</v>
      </c>
      <c r="BD8" s="19">
        <f t="shared" si="7"/>
        <v>200</v>
      </c>
      <c r="BE8" s="19">
        <f t="shared" si="8"/>
        <v>567</v>
      </c>
      <c r="BF8" s="19">
        <f t="shared" si="9"/>
        <v>0</v>
      </c>
      <c r="BG8" s="19">
        <f t="shared" si="10"/>
        <v>0</v>
      </c>
      <c r="BH8" s="19">
        <f t="shared" si="11"/>
        <v>0</v>
      </c>
      <c r="BI8" s="19">
        <v>95</v>
      </c>
      <c r="BJ8" s="19">
        <f t="shared" si="12"/>
        <v>1962</v>
      </c>
      <c r="BK8" s="19">
        <v>0</v>
      </c>
      <c r="BL8" s="19">
        <v>0</v>
      </c>
      <c r="BM8" s="19">
        <f t="shared" si="13"/>
        <v>0</v>
      </c>
      <c r="BN8" s="19">
        <f t="shared" si="14"/>
        <v>1962</v>
      </c>
      <c r="BO8" s="19">
        <v>0</v>
      </c>
      <c r="BP8" s="19">
        <v>0</v>
      </c>
      <c r="BQ8" s="22">
        <f t="shared" si="15"/>
        <v>1962</v>
      </c>
      <c r="BR8" s="82">
        <f t="shared" si="16"/>
        <v>0</v>
      </c>
      <c r="BS8" s="19">
        <f t="shared" si="17"/>
        <v>0</v>
      </c>
      <c r="BT8" s="19">
        <f t="shared" si="18"/>
        <v>0</v>
      </c>
      <c r="BU8" s="19">
        <f t="shared" si="19"/>
        <v>0</v>
      </c>
      <c r="BV8" s="19">
        <f t="shared" si="20"/>
        <v>0</v>
      </c>
      <c r="BW8" s="19">
        <f t="shared" si="21"/>
        <v>0</v>
      </c>
      <c r="BX8" s="19">
        <f t="shared" si="22"/>
        <v>19</v>
      </c>
      <c r="BY8" s="19">
        <f t="shared" si="23"/>
        <v>38</v>
      </c>
      <c r="BZ8" s="19">
        <f t="shared" si="24"/>
        <v>0</v>
      </c>
      <c r="CA8" s="19">
        <f t="shared" si="25"/>
        <v>0</v>
      </c>
      <c r="CB8" s="19">
        <f t="shared" si="26"/>
        <v>4</v>
      </c>
      <c r="CC8" s="19">
        <f t="shared" si="27"/>
        <v>12</v>
      </c>
      <c r="CD8" s="19">
        <f t="shared" si="28"/>
        <v>0</v>
      </c>
      <c r="CE8" s="19">
        <f t="shared" si="29"/>
        <v>0</v>
      </c>
      <c r="CF8" s="19">
        <f t="shared" si="30"/>
        <v>0</v>
      </c>
      <c r="CG8" s="19">
        <f t="shared" si="31"/>
        <v>0</v>
      </c>
      <c r="CH8" s="19">
        <f t="shared" si="32"/>
        <v>1</v>
      </c>
      <c r="CI8" s="19">
        <f t="shared" si="33"/>
        <v>4.5</v>
      </c>
      <c r="CJ8" s="19">
        <f t="shared" si="34"/>
        <v>0</v>
      </c>
      <c r="CK8" s="19">
        <f t="shared" si="35"/>
        <v>0</v>
      </c>
      <c r="CL8" s="19">
        <f t="shared" si="36"/>
        <v>0</v>
      </c>
      <c r="CM8" s="19">
        <f t="shared" si="37"/>
        <v>0</v>
      </c>
      <c r="CN8" s="19">
        <f t="shared" si="38"/>
        <v>1</v>
      </c>
      <c r="CO8" s="19">
        <f t="shared" si="39"/>
        <v>6</v>
      </c>
      <c r="CP8" s="19">
        <f t="shared" si="40"/>
        <v>0</v>
      </c>
      <c r="CQ8" s="19">
        <f t="shared" si="41"/>
        <v>0</v>
      </c>
      <c r="CR8" s="19">
        <f t="shared" si="42"/>
        <v>0</v>
      </c>
      <c r="CS8" s="19">
        <f t="shared" si="43"/>
        <v>0</v>
      </c>
      <c r="CT8" s="19">
        <f t="shared" si="44"/>
        <v>0</v>
      </c>
      <c r="CU8" s="19">
        <f t="shared" si="45"/>
        <v>0</v>
      </c>
      <c r="CV8" s="19">
        <f t="shared" si="46"/>
        <v>0</v>
      </c>
      <c r="CW8" s="19">
        <f t="shared" si="47"/>
        <v>0</v>
      </c>
      <c r="CX8" s="19">
        <f t="shared" si="48"/>
        <v>0</v>
      </c>
      <c r="CY8" s="19">
        <f t="shared" si="49"/>
        <v>0</v>
      </c>
      <c r="CZ8" s="19">
        <f t="shared" si="50"/>
        <v>0</v>
      </c>
      <c r="DA8" s="19">
        <f t="shared" si="51"/>
        <v>0</v>
      </c>
      <c r="DB8" s="19">
        <f t="shared" si="52"/>
        <v>0</v>
      </c>
      <c r="DC8" s="19">
        <f t="shared" si="53"/>
        <v>0</v>
      </c>
      <c r="DD8" s="19">
        <f t="shared" si="54"/>
        <v>0</v>
      </c>
      <c r="DE8" s="19">
        <f t="shared" si="55"/>
        <v>0</v>
      </c>
      <c r="DF8" s="19">
        <f t="shared" si="56"/>
        <v>0</v>
      </c>
      <c r="DG8" s="19">
        <f t="shared" si="57"/>
        <v>0</v>
      </c>
      <c r="DH8" s="19">
        <f t="shared" si="58"/>
        <v>0</v>
      </c>
      <c r="DI8" s="19">
        <f t="shared" si="59"/>
        <v>0</v>
      </c>
      <c r="DJ8" s="19">
        <f t="shared" si="60"/>
        <v>0</v>
      </c>
      <c r="DK8" s="19">
        <f t="shared" si="61"/>
        <v>0</v>
      </c>
      <c r="DL8" s="19">
        <f t="shared" si="62"/>
        <v>0</v>
      </c>
      <c r="DM8" s="19">
        <f t="shared" si="63"/>
        <v>0</v>
      </c>
      <c r="DN8" s="19">
        <f t="shared" si="64"/>
        <v>0</v>
      </c>
      <c r="DO8" s="19">
        <f t="shared" si="65"/>
        <v>0</v>
      </c>
      <c r="DP8" s="19">
        <f t="shared" si="66"/>
        <v>0</v>
      </c>
      <c r="DQ8" s="19">
        <f t="shared" si="67"/>
        <v>0</v>
      </c>
      <c r="DR8" s="19">
        <f t="shared" si="68"/>
        <v>0</v>
      </c>
      <c r="DS8" s="19">
        <f t="shared" si="69"/>
        <v>0</v>
      </c>
      <c r="DT8" s="19">
        <f t="shared" si="70"/>
        <v>0</v>
      </c>
      <c r="DU8" s="19">
        <f t="shared" si="71"/>
        <v>0</v>
      </c>
      <c r="DV8" s="19">
        <f t="shared" si="72"/>
        <v>0</v>
      </c>
      <c r="DW8" s="19">
        <f t="shared" si="73"/>
        <v>0</v>
      </c>
      <c r="DX8" s="19">
        <f t="shared" si="74"/>
        <v>0</v>
      </c>
      <c r="DY8" s="19">
        <f t="shared" si="75"/>
        <v>0</v>
      </c>
      <c r="DZ8" s="19">
        <f t="shared" si="76"/>
        <v>0</v>
      </c>
      <c r="EA8" s="19">
        <f t="shared" si="77"/>
        <v>0</v>
      </c>
      <c r="EB8" s="19">
        <f t="shared" si="78"/>
        <v>0</v>
      </c>
      <c r="EC8" s="19">
        <f t="shared" si="79"/>
        <v>0</v>
      </c>
    </row>
    <row r="9" spans="1:134" s="78" customFormat="1" ht="18" customHeight="1" x14ac:dyDescent="0.25">
      <c r="A9" s="15">
        <v>6</v>
      </c>
      <c r="B9" s="122" t="s">
        <v>76</v>
      </c>
      <c r="C9" s="17" t="s">
        <v>77</v>
      </c>
      <c r="D9" s="16" t="s">
        <v>61</v>
      </c>
      <c r="E9" s="18">
        <v>44916</v>
      </c>
      <c r="F9" s="19" t="s">
        <v>316</v>
      </c>
      <c r="G9" s="19" t="s">
        <v>316</v>
      </c>
      <c r="H9" s="19" t="s">
        <v>316</v>
      </c>
      <c r="I9" s="19" t="s">
        <v>316</v>
      </c>
      <c r="J9" s="19" t="s">
        <v>316</v>
      </c>
      <c r="K9" s="19">
        <v>10</v>
      </c>
      <c r="L9" s="19" t="s">
        <v>316</v>
      </c>
      <c r="M9" s="19">
        <v>10</v>
      </c>
      <c r="N9" s="19">
        <v>10</v>
      </c>
      <c r="O9" s="19">
        <v>10</v>
      </c>
      <c r="P9" s="19">
        <v>10</v>
      </c>
      <c r="Q9" s="19">
        <v>10</v>
      </c>
      <c r="R9" s="19">
        <v>10</v>
      </c>
      <c r="S9" s="19" t="s">
        <v>15</v>
      </c>
      <c r="T9" s="19">
        <v>10</v>
      </c>
      <c r="U9" s="19">
        <v>10</v>
      </c>
      <c r="V9" s="19">
        <v>10</v>
      </c>
      <c r="W9" s="19">
        <v>10</v>
      </c>
      <c r="X9" s="19">
        <v>12</v>
      </c>
      <c r="Y9" s="19">
        <v>11</v>
      </c>
      <c r="Z9" s="19" t="s">
        <v>15</v>
      </c>
      <c r="AA9" s="19">
        <v>10</v>
      </c>
      <c r="AB9" s="19">
        <v>10</v>
      </c>
      <c r="AC9" s="19">
        <v>10</v>
      </c>
      <c r="AD9" s="19">
        <v>11</v>
      </c>
      <c r="AE9" s="19">
        <v>11</v>
      </c>
      <c r="AF9" s="19">
        <v>10</v>
      </c>
      <c r="AG9" s="19" t="s">
        <v>15</v>
      </c>
      <c r="AH9" s="19">
        <v>10</v>
      </c>
      <c r="AI9" s="19">
        <v>10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/>
      <c r="AQ9" s="19"/>
      <c r="AR9" s="19"/>
      <c r="AS9" s="19">
        <v>0</v>
      </c>
      <c r="AT9" s="19">
        <f t="shared" si="0"/>
        <v>47</v>
      </c>
      <c r="AU9" s="19">
        <f t="shared" si="1"/>
        <v>0</v>
      </c>
      <c r="AV9" s="19">
        <f t="shared" si="2"/>
        <v>0</v>
      </c>
      <c r="AW9" s="16">
        <f t="shared" si="3"/>
        <v>24</v>
      </c>
      <c r="AX9" s="16">
        <f t="shared" si="4"/>
        <v>6</v>
      </c>
      <c r="AY9" s="16">
        <f t="shared" si="5"/>
        <v>0</v>
      </c>
      <c r="AZ9" s="21">
        <v>1000</v>
      </c>
      <c r="BA9" s="21">
        <v>200</v>
      </c>
      <c r="BB9" s="21">
        <v>0</v>
      </c>
      <c r="BC9" s="19">
        <f t="shared" si="6"/>
        <v>800</v>
      </c>
      <c r="BD9" s="19">
        <f t="shared" si="7"/>
        <v>160</v>
      </c>
      <c r="BE9" s="19">
        <f t="shared" si="8"/>
        <v>245</v>
      </c>
      <c r="BF9" s="19">
        <f t="shared" si="9"/>
        <v>0</v>
      </c>
      <c r="BG9" s="19">
        <f t="shared" si="10"/>
        <v>0</v>
      </c>
      <c r="BH9" s="19">
        <f t="shared" si="11"/>
        <v>0</v>
      </c>
      <c r="BI9" s="19">
        <v>0</v>
      </c>
      <c r="BJ9" s="19">
        <f t="shared" si="12"/>
        <v>1205</v>
      </c>
      <c r="BK9" s="19">
        <v>0</v>
      </c>
      <c r="BL9" s="19">
        <v>0</v>
      </c>
      <c r="BM9" s="19">
        <f t="shared" si="13"/>
        <v>0</v>
      </c>
      <c r="BN9" s="19">
        <f t="shared" si="14"/>
        <v>1205</v>
      </c>
      <c r="BO9" s="19">
        <v>0</v>
      </c>
      <c r="BP9" s="19">
        <v>0</v>
      </c>
      <c r="BQ9" s="22">
        <f t="shared" si="15"/>
        <v>1205</v>
      </c>
      <c r="BR9" s="82">
        <f t="shared" si="16"/>
        <v>0</v>
      </c>
      <c r="BS9" s="19">
        <f t="shared" si="17"/>
        <v>0</v>
      </c>
      <c r="BT9" s="19">
        <f t="shared" si="18"/>
        <v>0</v>
      </c>
      <c r="BU9" s="19">
        <f t="shared" si="19"/>
        <v>0</v>
      </c>
      <c r="BV9" s="19">
        <f t="shared" si="20"/>
        <v>0</v>
      </c>
      <c r="BW9" s="19">
        <f t="shared" si="21"/>
        <v>0</v>
      </c>
      <c r="BX9" s="19">
        <f t="shared" si="22"/>
        <v>17</v>
      </c>
      <c r="BY9" s="19">
        <f t="shared" si="23"/>
        <v>34</v>
      </c>
      <c r="BZ9" s="19">
        <f t="shared" si="24"/>
        <v>0</v>
      </c>
      <c r="CA9" s="19">
        <f t="shared" si="25"/>
        <v>0</v>
      </c>
      <c r="CB9" s="19">
        <f t="shared" si="26"/>
        <v>3</v>
      </c>
      <c r="CC9" s="19">
        <f t="shared" si="27"/>
        <v>9</v>
      </c>
      <c r="CD9" s="19">
        <f t="shared" si="28"/>
        <v>0</v>
      </c>
      <c r="CE9" s="19">
        <f t="shared" si="29"/>
        <v>0</v>
      </c>
      <c r="CF9" s="19">
        <f t="shared" si="30"/>
        <v>1</v>
      </c>
      <c r="CG9" s="19">
        <f t="shared" si="31"/>
        <v>4</v>
      </c>
      <c r="CH9" s="19">
        <f t="shared" si="32"/>
        <v>0</v>
      </c>
      <c r="CI9" s="19">
        <f t="shared" si="33"/>
        <v>0</v>
      </c>
      <c r="CJ9" s="19">
        <f t="shared" si="34"/>
        <v>0</v>
      </c>
      <c r="CK9" s="19">
        <f t="shared" si="35"/>
        <v>0</v>
      </c>
      <c r="CL9" s="19">
        <f t="shared" si="36"/>
        <v>0</v>
      </c>
      <c r="CM9" s="19">
        <f t="shared" si="37"/>
        <v>0</v>
      </c>
      <c r="CN9" s="19">
        <f t="shared" si="38"/>
        <v>0</v>
      </c>
      <c r="CO9" s="19">
        <f t="shared" si="39"/>
        <v>0</v>
      </c>
      <c r="CP9" s="19">
        <f t="shared" si="40"/>
        <v>0</v>
      </c>
      <c r="CQ9" s="19">
        <f t="shared" si="41"/>
        <v>0</v>
      </c>
      <c r="CR9" s="19">
        <f t="shared" si="42"/>
        <v>0</v>
      </c>
      <c r="CS9" s="19">
        <f t="shared" si="43"/>
        <v>0</v>
      </c>
      <c r="CT9" s="19">
        <f t="shared" si="44"/>
        <v>0</v>
      </c>
      <c r="CU9" s="19">
        <f t="shared" si="45"/>
        <v>0</v>
      </c>
      <c r="CV9" s="19">
        <f t="shared" si="46"/>
        <v>0</v>
      </c>
      <c r="CW9" s="19">
        <f t="shared" si="47"/>
        <v>0</v>
      </c>
      <c r="CX9" s="19">
        <f t="shared" si="48"/>
        <v>0</v>
      </c>
      <c r="CY9" s="19">
        <f t="shared" si="49"/>
        <v>0</v>
      </c>
      <c r="CZ9" s="19">
        <f t="shared" si="50"/>
        <v>0</v>
      </c>
      <c r="DA9" s="19">
        <f t="shared" si="51"/>
        <v>0</v>
      </c>
      <c r="DB9" s="19">
        <f t="shared" si="52"/>
        <v>0</v>
      </c>
      <c r="DC9" s="19">
        <f t="shared" si="53"/>
        <v>0</v>
      </c>
      <c r="DD9" s="19">
        <f t="shared" si="54"/>
        <v>0</v>
      </c>
      <c r="DE9" s="19">
        <f t="shared" si="55"/>
        <v>0</v>
      </c>
      <c r="DF9" s="19">
        <f t="shared" si="56"/>
        <v>0</v>
      </c>
      <c r="DG9" s="19">
        <f t="shared" si="57"/>
        <v>0</v>
      </c>
      <c r="DH9" s="19">
        <f t="shared" si="58"/>
        <v>0</v>
      </c>
      <c r="DI9" s="19">
        <f t="shared" si="59"/>
        <v>0</v>
      </c>
      <c r="DJ9" s="19">
        <f t="shared" si="60"/>
        <v>0</v>
      </c>
      <c r="DK9" s="19">
        <f t="shared" si="61"/>
        <v>0</v>
      </c>
      <c r="DL9" s="19">
        <f t="shared" si="62"/>
        <v>0</v>
      </c>
      <c r="DM9" s="19">
        <f t="shared" si="63"/>
        <v>0</v>
      </c>
      <c r="DN9" s="19">
        <f t="shared" si="64"/>
        <v>0</v>
      </c>
      <c r="DO9" s="19">
        <f t="shared" si="65"/>
        <v>0</v>
      </c>
      <c r="DP9" s="19">
        <f t="shared" si="66"/>
        <v>0</v>
      </c>
      <c r="DQ9" s="19">
        <f t="shared" si="67"/>
        <v>0</v>
      </c>
      <c r="DR9" s="19">
        <f t="shared" si="68"/>
        <v>0</v>
      </c>
      <c r="DS9" s="19">
        <f t="shared" si="69"/>
        <v>0</v>
      </c>
      <c r="DT9" s="19">
        <f t="shared" si="70"/>
        <v>0</v>
      </c>
      <c r="DU9" s="19">
        <f t="shared" si="71"/>
        <v>0</v>
      </c>
      <c r="DV9" s="19">
        <f t="shared" si="72"/>
        <v>0</v>
      </c>
      <c r="DW9" s="19">
        <f t="shared" si="73"/>
        <v>0</v>
      </c>
      <c r="DX9" s="19">
        <f t="shared" si="74"/>
        <v>0</v>
      </c>
      <c r="DY9" s="19">
        <f t="shared" si="75"/>
        <v>0</v>
      </c>
      <c r="DZ9" s="19">
        <f t="shared" si="76"/>
        <v>0</v>
      </c>
      <c r="EA9" s="19">
        <f t="shared" si="77"/>
        <v>0</v>
      </c>
      <c r="EB9" s="19">
        <f t="shared" si="78"/>
        <v>0</v>
      </c>
      <c r="EC9" s="19">
        <f t="shared" si="79"/>
        <v>0</v>
      </c>
    </row>
    <row r="10" spans="1:134" s="78" customFormat="1" ht="18" customHeight="1" x14ac:dyDescent="0.25">
      <c r="A10" s="15">
        <v>7</v>
      </c>
      <c r="B10" s="122" t="s">
        <v>82</v>
      </c>
      <c r="C10" s="17" t="s">
        <v>83</v>
      </c>
      <c r="D10" s="16" t="s">
        <v>61</v>
      </c>
      <c r="E10" s="18">
        <v>44946</v>
      </c>
      <c r="F10" s="19">
        <v>10</v>
      </c>
      <c r="G10" s="19">
        <v>10</v>
      </c>
      <c r="H10" s="19">
        <v>10</v>
      </c>
      <c r="I10" s="19">
        <v>10</v>
      </c>
      <c r="J10" s="19" t="s">
        <v>603</v>
      </c>
      <c r="K10" s="19">
        <v>10</v>
      </c>
      <c r="L10" s="19" t="s">
        <v>15</v>
      </c>
      <c r="M10" s="19">
        <v>10</v>
      </c>
      <c r="N10" s="19">
        <v>10</v>
      </c>
      <c r="O10" s="19">
        <v>10</v>
      </c>
      <c r="P10" s="19">
        <v>10</v>
      </c>
      <c r="Q10" s="19">
        <v>10</v>
      </c>
      <c r="R10" s="19">
        <v>10</v>
      </c>
      <c r="S10" s="19" t="s">
        <v>15</v>
      </c>
      <c r="T10" s="19">
        <v>12.5</v>
      </c>
      <c r="U10" s="19">
        <v>14</v>
      </c>
      <c r="V10" s="19">
        <v>11</v>
      </c>
      <c r="W10" s="19">
        <v>11</v>
      </c>
      <c r="X10" s="19">
        <v>11</v>
      </c>
      <c r="Y10" s="19">
        <v>10</v>
      </c>
      <c r="Z10" s="19" t="s">
        <v>15</v>
      </c>
      <c r="AA10" s="19">
        <v>10</v>
      </c>
      <c r="AB10" s="19">
        <v>10</v>
      </c>
      <c r="AC10" s="19">
        <v>10</v>
      </c>
      <c r="AD10" s="19">
        <v>10</v>
      </c>
      <c r="AE10" s="19">
        <v>11</v>
      </c>
      <c r="AF10" s="19">
        <v>10</v>
      </c>
      <c r="AG10" s="19" t="s">
        <v>15</v>
      </c>
      <c r="AH10" s="19">
        <v>10</v>
      </c>
      <c r="AI10" s="19">
        <v>10</v>
      </c>
      <c r="AJ10" s="19">
        <v>0</v>
      </c>
      <c r="AK10" s="19">
        <v>11</v>
      </c>
      <c r="AL10" s="19">
        <v>0</v>
      </c>
      <c r="AM10" s="19">
        <v>11</v>
      </c>
      <c r="AN10" s="19">
        <v>0</v>
      </c>
      <c r="AO10" s="19">
        <v>10</v>
      </c>
      <c r="AP10" s="19"/>
      <c r="AQ10" s="19"/>
      <c r="AR10" s="19"/>
      <c r="AS10" s="19">
        <v>0</v>
      </c>
      <c r="AT10" s="19">
        <f t="shared" si="0"/>
        <v>60.5</v>
      </c>
      <c r="AU10" s="19">
        <f t="shared" si="1"/>
        <v>22</v>
      </c>
      <c r="AV10" s="19">
        <f t="shared" si="2"/>
        <v>10</v>
      </c>
      <c r="AW10" s="16">
        <f t="shared" si="3"/>
        <v>30</v>
      </c>
      <c r="AX10" s="16">
        <f t="shared" si="4"/>
        <v>0</v>
      </c>
      <c r="AY10" s="16">
        <f t="shared" si="5"/>
        <v>0</v>
      </c>
      <c r="AZ10" s="21">
        <v>1050</v>
      </c>
      <c r="BA10" s="21">
        <v>200</v>
      </c>
      <c r="BB10" s="21">
        <v>0</v>
      </c>
      <c r="BC10" s="19">
        <f t="shared" si="6"/>
        <v>1050</v>
      </c>
      <c r="BD10" s="19">
        <f t="shared" si="7"/>
        <v>200</v>
      </c>
      <c r="BE10" s="19">
        <f t="shared" si="8"/>
        <v>541</v>
      </c>
      <c r="BF10" s="19">
        <f t="shared" si="9"/>
        <v>0</v>
      </c>
      <c r="BG10" s="19">
        <f t="shared" si="10"/>
        <v>0</v>
      </c>
      <c r="BH10" s="19">
        <f t="shared" si="11"/>
        <v>0</v>
      </c>
      <c r="BI10" s="19">
        <v>95</v>
      </c>
      <c r="BJ10" s="19">
        <f t="shared" si="12"/>
        <v>1886</v>
      </c>
      <c r="BK10" s="19">
        <v>0</v>
      </c>
      <c r="BL10" s="19">
        <v>0</v>
      </c>
      <c r="BM10" s="19">
        <f t="shared" si="13"/>
        <v>0</v>
      </c>
      <c r="BN10" s="19">
        <f t="shared" si="14"/>
        <v>1886</v>
      </c>
      <c r="BO10" s="19">
        <v>0</v>
      </c>
      <c r="BP10" s="19">
        <v>0</v>
      </c>
      <c r="BQ10" s="22">
        <f t="shared" si="15"/>
        <v>1886</v>
      </c>
      <c r="BR10" s="82">
        <f t="shared" si="16"/>
        <v>0</v>
      </c>
      <c r="BS10" s="19">
        <f t="shared" si="17"/>
        <v>0</v>
      </c>
      <c r="BT10" s="19">
        <f t="shared" si="18"/>
        <v>0</v>
      </c>
      <c r="BU10" s="19">
        <f t="shared" si="19"/>
        <v>0</v>
      </c>
      <c r="BV10" s="19">
        <f t="shared" si="20"/>
        <v>0</v>
      </c>
      <c r="BW10" s="19">
        <f t="shared" si="21"/>
        <v>0</v>
      </c>
      <c r="BX10" s="19">
        <f t="shared" si="22"/>
        <v>19</v>
      </c>
      <c r="BY10" s="19">
        <f t="shared" si="23"/>
        <v>38</v>
      </c>
      <c r="BZ10" s="19">
        <f t="shared" si="24"/>
        <v>0</v>
      </c>
      <c r="CA10" s="19">
        <f t="shared" si="25"/>
        <v>0</v>
      </c>
      <c r="CB10" s="19">
        <f t="shared" si="26"/>
        <v>4</v>
      </c>
      <c r="CC10" s="19">
        <f t="shared" si="27"/>
        <v>12</v>
      </c>
      <c r="CD10" s="19">
        <f t="shared" si="28"/>
        <v>0</v>
      </c>
      <c r="CE10" s="19">
        <f t="shared" si="29"/>
        <v>0</v>
      </c>
      <c r="CF10" s="19">
        <f t="shared" si="30"/>
        <v>0</v>
      </c>
      <c r="CG10" s="19">
        <f t="shared" si="31"/>
        <v>0</v>
      </c>
      <c r="CH10" s="19">
        <f t="shared" si="32"/>
        <v>1</v>
      </c>
      <c r="CI10" s="19">
        <f t="shared" si="33"/>
        <v>4.5</v>
      </c>
      <c r="CJ10" s="19">
        <f t="shared" si="34"/>
        <v>0</v>
      </c>
      <c r="CK10" s="19">
        <f t="shared" si="35"/>
        <v>0</v>
      </c>
      <c r="CL10" s="19">
        <f t="shared" si="36"/>
        <v>0</v>
      </c>
      <c r="CM10" s="19">
        <f t="shared" si="37"/>
        <v>0</v>
      </c>
      <c r="CN10" s="19">
        <f t="shared" si="38"/>
        <v>1</v>
      </c>
      <c r="CO10" s="19">
        <f t="shared" si="39"/>
        <v>6</v>
      </c>
      <c r="CP10" s="19">
        <f t="shared" si="40"/>
        <v>0</v>
      </c>
      <c r="CQ10" s="19">
        <f t="shared" si="41"/>
        <v>0</v>
      </c>
      <c r="CR10" s="19">
        <f t="shared" si="42"/>
        <v>0</v>
      </c>
      <c r="CS10" s="19">
        <f t="shared" si="43"/>
        <v>0</v>
      </c>
      <c r="CT10" s="19">
        <f t="shared" si="44"/>
        <v>0</v>
      </c>
      <c r="CU10" s="19">
        <f t="shared" si="45"/>
        <v>0</v>
      </c>
      <c r="CV10" s="19">
        <f t="shared" si="46"/>
        <v>0</v>
      </c>
      <c r="CW10" s="19">
        <f t="shared" si="47"/>
        <v>0</v>
      </c>
      <c r="CX10" s="19">
        <f t="shared" si="48"/>
        <v>0</v>
      </c>
      <c r="CY10" s="19">
        <f t="shared" si="49"/>
        <v>0</v>
      </c>
      <c r="CZ10" s="19">
        <f t="shared" si="50"/>
        <v>0</v>
      </c>
      <c r="DA10" s="19">
        <f t="shared" si="51"/>
        <v>0</v>
      </c>
      <c r="DB10" s="19">
        <f t="shared" si="52"/>
        <v>0</v>
      </c>
      <c r="DC10" s="19">
        <f t="shared" si="53"/>
        <v>0</v>
      </c>
      <c r="DD10" s="19">
        <f t="shared" si="54"/>
        <v>0</v>
      </c>
      <c r="DE10" s="19">
        <f t="shared" si="55"/>
        <v>0</v>
      </c>
      <c r="DF10" s="19">
        <f t="shared" si="56"/>
        <v>0</v>
      </c>
      <c r="DG10" s="19">
        <f t="shared" si="57"/>
        <v>0</v>
      </c>
      <c r="DH10" s="19">
        <f t="shared" si="58"/>
        <v>0</v>
      </c>
      <c r="DI10" s="19">
        <f t="shared" si="59"/>
        <v>0</v>
      </c>
      <c r="DJ10" s="19">
        <f t="shared" si="60"/>
        <v>0</v>
      </c>
      <c r="DK10" s="19">
        <f t="shared" si="61"/>
        <v>0</v>
      </c>
      <c r="DL10" s="19">
        <f t="shared" si="62"/>
        <v>0</v>
      </c>
      <c r="DM10" s="19">
        <f t="shared" si="63"/>
        <v>0</v>
      </c>
      <c r="DN10" s="19">
        <f t="shared" si="64"/>
        <v>0</v>
      </c>
      <c r="DO10" s="19">
        <f t="shared" si="65"/>
        <v>0</v>
      </c>
      <c r="DP10" s="19">
        <f t="shared" si="66"/>
        <v>0</v>
      </c>
      <c r="DQ10" s="19">
        <f t="shared" si="67"/>
        <v>0</v>
      </c>
      <c r="DR10" s="19">
        <f t="shared" si="68"/>
        <v>0</v>
      </c>
      <c r="DS10" s="19">
        <f t="shared" si="69"/>
        <v>0</v>
      </c>
      <c r="DT10" s="19">
        <f t="shared" si="70"/>
        <v>0</v>
      </c>
      <c r="DU10" s="19">
        <f t="shared" si="71"/>
        <v>0</v>
      </c>
      <c r="DV10" s="19">
        <f t="shared" si="72"/>
        <v>0</v>
      </c>
      <c r="DW10" s="19">
        <f t="shared" si="73"/>
        <v>0</v>
      </c>
      <c r="DX10" s="19">
        <f t="shared" si="74"/>
        <v>0</v>
      </c>
      <c r="DY10" s="19">
        <f t="shared" si="75"/>
        <v>0</v>
      </c>
      <c r="DZ10" s="19">
        <f t="shared" si="76"/>
        <v>0</v>
      </c>
      <c r="EA10" s="19">
        <f t="shared" si="77"/>
        <v>0</v>
      </c>
      <c r="EB10" s="19">
        <f t="shared" si="78"/>
        <v>0</v>
      </c>
      <c r="EC10" s="19">
        <f t="shared" si="79"/>
        <v>0</v>
      </c>
    </row>
    <row r="11" spans="1:134" s="78" customFormat="1" ht="18" customHeight="1" x14ac:dyDescent="0.25">
      <c r="A11" s="15">
        <v>8</v>
      </c>
      <c r="B11" s="122" t="s">
        <v>78</v>
      </c>
      <c r="C11" s="17" t="s">
        <v>79</v>
      </c>
      <c r="D11" s="16" t="s">
        <v>157</v>
      </c>
      <c r="E11" s="18">
        <v>44921</v>
      </c>
      <c r="F11" s="19">
        <v>12</v>
      </c>
      <c r="G11" s="19">
        <v>11</v>
      </c>
      <c r="H11" s="19">
        <v>12</v>
      </c>
      <c r="I11" s="19">
        <v>11</v>
      </c>
      <c r="J11" s="19" t="s">
        <v>603</v>
      </c>
      <c r="K11" s="19">
        <v>11</v>
      </c>
      <c r="L11" s="19" t="s">
        <v>15</v>
      </c>
      <c r="M11" s="19">
        <v>12</v>
      </c>
      <c r="N11" s="19">
        <v>11</v>
      </c>
      <c r="O11" s="19">
        <v>11</v>
      </c>
      <c r="P11" s="19">
        <v>12</v>
      </c>
      <c r="Q11" s="19">
        <v>11</v>
      </c>
      <c r="R11" s="19">
        <v>12</v>
      </c>
      <c r="S11" s="19" t="s">
        <v>15</v>
      </c>
      <c r="T11" s="19">
        <v>11</v>
      </c>
      <c r="U11" s="19">
        <v>12</v>
      </c>
      <c r="V11" s="19">
        <v>11</v>
      </c>
      <c r="W11" s="19" t="s">
        <v>316</v>
      </c>
      <c r="X11" s="19">
        <v>11</v>
      </c>
      <c r="Y11" s="19">
        <v>11</v>
      </c>
      <c r="Z11" s="19" t="s">
        <v>316</v>
      </c>
      <c r="AA11" s="19">
        <v>11</v>
      </c>
      <c r="AB11" s="19">
        <v>11</v>
      </c>
      <c r="AC11" s="19">
        <v>11</v>
      </c>
      <c r="AD11" s="19">
        <v>12</v>
      </c>
      <c r="AE11" s="19">
        <v>11</v>
      </c>
      <c r="AF11" s="19">
        <v>11</v>
      </c>
      <c r="AG11" s="19" t="s">
        <v>15</v>
      </c>
      <c r="AH11" s="19">
        <v>11</v>
      </c>
      <c r="AI11" s="19">
        <v>11</v>
      </c>
      <c r="AJ11" s="19">
        <v>11</v>
      </c>
      <c r="AK11" s="19">
        <v>11</v>
      </c>
      <c r="AL11" s="19">
        <v>0</v>
      </c>
      <c r="AM11" s="19">
        <v>0</v>
      </c>
      <c r="AN11" s="19">
        <v>0</v>
      </c>
      <c r="AO11" s="19">
        <v>11</v>
      </c>
      <c r="AP11" s="19"/>
      <c r="AQ11" s="19"/>
      <c r="AR11" s="19"/>
      <c r="AS11" s="19">
        <v>0</v>
      </c>
      <c r="AT11" s="19">
        <f t="shared" si="0"/>
        <v>79</v>
      </c>
      <c r="AU11" s="19">
        <f t="shared" si="1"/>
        <v>22</v>
      </c>
      <c r="AV11" s="19">
        <f t="shared" si="2"/>
        <v>11</v>
      </c>
      <c r="AW11" s="16">
        <f t="shared" si="3"/>
        <v>28</v>
      </c>
      <c r="AX11" s="16">
        <f t="shared" si="4"/>
        <v>2</v>
      </c>
      <c r="AY11" s="16">
        <f t="shared" si="5"/>
        <v>0</v>
      </c>
      <c r="AZ11" s="21">
        <v>1500</v>
      </c>
      <c r="BA11" s="21">
        <v>100</v>
      </c>
      <c r="BB11" s="21">
        <v>300</v>
      </c>
      <c r="BC11" s="19">
        <f t="shared" si="6"/>
        <v>1400</v>
      </c>
      <c r="BD11" s="19">
        <f t="shared" si="7"/>
        <v>93</v>
      </c>
      <c r="BE11" s="19">
        <f t="shared" si="8"/>
        <v>927</v>
      </c>
      <c r="BF11" s="19">
        <f t="shared" si="9"/>
        <v>280</v>
      </c>
      <c r="BG11" s="19">
        <f t="shared" si="10"/>
        <v>0</v>
      </c>
      <c r="BH11" s="19">
        <f t="shared" si="11"/>
        <v>0</v>
      </c>
      <c r="BI11" s="19">
        <v>0</v>
      </c>
      <c r="BJ11" s="19">
        <f t="shared" si="12"/>
        <v>2700</v>
      </c>
      <c r="BK11" s="19">
        <v>0</v>
      </c>
      <c r="BL11" s="19">
        <v>0</v>
      </c>
      <c r="BM11" s="19">
        <f t="shared" si="13"/>
        <v>0</v>
      </c>
      <c r="BN11" s="19">
        <f t="shared" si="14"/>
        <v>2700</v>
      </c>
      <c r="BO11" s="19">
        <v>0</v>
      </c>
      <c r="BP11" s="19">
        <v>0</v>
      </c>
      <c r="BQ11" s="22">
        <f t="shared" si="15"/>
        <v>2700</v>
      </c>
      <c r="BR11" s="82">
        <f t="shared" si="16"/>
        <v>0</v>
      </c>
      <c r="BS11" s="19">
        <f t="shared" si="17"/>
        <v>0</v>
      </c>
      <c r="BT11" s="19">
        <f t="shared" si="18"/>
        <v>0</v>
      </c>
      <c r="BU11" s="19">
        <f t="shared" si="19"/>
        <v>0</v>
      </c>
      <c r="BV11" s="19">
        <f t="shared" si="20"/>
        <v>0</v>
      </c>
      <c r="BW11" s="19">
        <f t="shared" si="21"/>
        <v>0</v>
      </c>
      <c r="BX11" s="19">
        <f t="shared" si="22"/>
        <v>0</v>
      </c>
      <c r="BY11" s="19">
        <f t="shared" si="23"/>
        <v>0</v>
      </c>
      <c r="BZ11" s="19">
        <f t="shared" si="24"/>
        <v>0</v>
      </c>
      <c r="CA11" s="19">
        <f t="shared" si="25"/>
        <v>0</v>
      </c>
      <c r="CB11" s="19">
        <f t="shared" si="26"/>
        <v>17</v>
      </c>
      <c r="CC11" s="19">
        <f t="shared" si="27"/>
        <v>51</v>
      </c>
      <c r="CD11" s="19">
        <f t="shared" si="28"/>
        <v>0</v>
      </c>
      <c r="CE11" s="19">
        <f t="shared" si="29"/>
        <v>0</v>
      </c>
      <c r="CF11" s="19">
        <f t="shared" si="30"/>
        <v>7</v>
      </c>
      <c r="CG11" s="19">
        <f t="shared" si="31"/>
        <v>28</v>
      </c>
      <c r="CH11" s="19">
        <f t="shared" si="32"/>
        <v>0</v>
      </c>
      <c r="CI11" s="19">
        <f t="shared" si="33"/>
        <v>0</v>
      </c>
      <c r="CJ11" s="19">
        <f t="shared" si="34"/>
        <v>0</v>
      </c>
      <c r="CK11" s="19">
        <f t="shared" si="35"/>
        <v>0</v>
      </c>
      <c r="CL11" s="19">
        <f t="shared" si="36"/>
        <v>0</v>
      </c>
      <c r="CM11" s="19">
        <f t="shared" si="37"/>
        <v>0</v>
      </c>
      <c r="CN11" s="19">
        <f t="shared" si="38"/>
        <v>0</v>
      </c>
      <c r="CO11" s="19">
        <f t="shared" si="39"/>
        <v>0</v>
      </c>
      <c r="CP11" s="19">
        <f t="shared" si="40"/>
        <v>0</v>
      </c>
      <c r="CQ11" s="19">
        <f t="shared" si="41"/>
        <v>0</v>
      </c>
      <c r="CR11" s="19">
        <f t="shared" si="42"/>
        <v>0</v>
      </c>
      <c r="CS11" s="19">
        <f t="shared" si="43"/>
        <v>0</v>
      </c>
      <c r="CT11" s="19">
        <f t="shared" si="44"/>
        <v>0</v>
      </c>
      <c r="CU11" s="19">
        <f t="shared" si="45"/>
        <v>0</v>
      </c>
      <c r="CV11" s="19">
        <f t="shared" si="46"/>
        <v>0</v>
      </c>
      <c r="CW11" s="19">
        <f t="shared" si="47"/>
        <v>0</v>
      </c>
      <c r="CX11" s="19">
        <f t="shared" si="48"/>
        <v>0</v>
      </c>
      <c r="CY11" s="19">
        <f t="shared" si="49"/>
        <v>0</v>
      </c>
      <c r="CZ11" s="19">
        <f t="shared" si="50"/>
        <v>0</v>
      </c>
      <c r="DA11" s="19">
        <f t="shared" si="51"/>
        <v>0</v>
      </c>
      <c r="DB11" s="19">
        <f t="shared" si="52"/>
        <v>0</v>
      </c>
      <c r="DC11" s="19">
        <f t="shared" si="53"/>
        <v>0</v>
      </c>
      <c r="DD11" s="19">
        <f t="shared" si="54"/>
        <v>0</v>
      </c>
      <c r="DE11" s="19">
        <f t="shared" si="55"/>
        <v>0</v>
      </c>
      <c r="DF11" s="19">
        <f t="shared" si="56"/>
        <v>0</v>
      </c>
      <c r="DG11" s="19">
        <f t="shared" si="57"/>
        <v>0</v>
      </c>
      <c r="DH11" s="19">
        <f t="shared" si="58"/>
        <v>0</v>
      </c>
      <c r="DI11" s="19">
        <f t="shared" si="59"/>
        <v>0</v>
      </c>
      <c r="DJ11" s="19">
        <f t="shared" si="60"/>
        <v>0</v>
      </c>
      <c r="DK11" s="19">
        <f t="shared" si="61"/>
        <v>0</v>
      </c>
      <c r="DL11" s="19">
        <f t="shared" si="62"/>
        <v>0</v>
      </c>
      <c r="DM11" s="19">
        <f t="shared" si="63"/>
        <v>0</v>
      </c>
      <c r="DN11" s="19">
        <f t="shared" si="64"/>
        <v>0</v>
      </c>
      <c r="DO11" s="19">
        <f t="shared" si="65"/>
        <v>0</v>
      </c>
      <c r="DP11" s="19">
        <f t="shared" si="66"/>
        <v>0</v>
      </c>
      <c r="DQ11" s="19">
        <f t="shared" si="67"/>
        <v>0</v>
      </c>
      <c r="DR11" s="19">
        <f t="shared" si="68"/>
        <v>0</v>
      </c>
      <c r="DS11" s="19">
        <f t="shared" si="69"/>
        <v>0</v>
      </c>
      <c r="DT11" s="19">
        <f t="shared" si="70"/>
        <v>0</v>
      </c>
      <c r="DU11" s="19">
        <f t="shared" si="71"/>
        <v>0</v>
      </c>
      <c r="DV11" s="19">
        <f t="shared" si="72"/>
        <v>0</v>
      </c>
      <c r="DW11" s="19">
        <f t="shared" si="73"/>
        <v>0</v>
      </c>
      <c r="DX11" s="19">
        <f t="shared" si="74"/>
        <v>0</v>
      </c>
      <c r="DY11" s="19">
        <f t="shared" si="75"/>
        <v>0</v>
      </c>
      <c r="DZ11" s="19">
        <f t="shared" si="76"/>
        <v>0</v>
      </c>
      <c r="EA11" s="19">
        <f t="shared" si="77"/>
        <v>0</v>
      </c>
      <c r="EB11" s="19">
        <f t="shared" si="78"/>
        <v>0</v>
      </c>
      <c r="EC11" s="19">
        <f t="shared" si="79"/>
        <v>0</v>
      </c>
    </row>
    <row r="12" spans="1:134" s="78" customFormat="1" ht="18" customHeight="1" x14ac:dyDescent="0.25">
      <c r="A12" s="15">
        <v>9</v>
      </c>
      <c r="B12" s="122" t="s">
        <v>84</v>
      </c>
      <c r="C12" s="17" t="s">
        <v>85</v>
      </c>
      <c r="D12" s="16" t="s">
        <v>157</v>
      </c>
      <c r="E12" s="18">
        <v>44946</v>
      </c>
      <c r="F12" s="19">
        <v>10</v>
      </c>
      <c r="G12" s="19">
        <v>10</v>
      </c>
      <c r="H12" s="19">
        <v>10</v>
      </c>
      <c r="I12" s="19">
        <v>10</v>
      </c>
      <c r="J12" s="19" t="s">
        <v>603</v>
      </c>
      <c r="K12" s="19">
        <v>10</v>
      </c>
      <c r="L12" s="19" t="s">
        <v>15</v>
      </c>
      <c r="M12" s="19">
        <v>10</v>
      </c>
      <c r="N12" s="19">
        <v>10</v>
      </c>
      <c r="O12" s="19" t="s">
        <v>316</v>
      </c>
      <c r="P12" s="19" t="s">
        <v>316</v>
      </c>
      <c r="Q12" s="19">
        <v>10</v>
      </c>
      <c r="R12" s="19">
        <v>10</v>
      </c>
      <c r="S12" s="19" t="s">
        <v>316</v>
      </c>
      <c r="T12" s="19">
        <v>10</v>
      </c>
      <c r="U12" s="19">
        <v>10</v>
      </c>
      <c r="V12" s="19">
        <v>10</v>
      </c>
      <c r="W12" s="19">
        <v>10</v>
      </c>
      <c r="X12" s="19">
        <v>10</v>
      </c>
      <c r="Y12" s="19">
        <v>10</v>
      </c>
      <c r="Z12" s="19" t="s">
        <v>15</v>
      </c>
      <c r="AA12" s="19">
        <v>10</v>
      </c>
      <c r="AB12" s="19">
        <v>10</v>
      </c>
      <c r="AC12" s="19">
        <v>10</v>
      </c>
      <c r="AD12" s="19">
        <v>10</v>
      </c>
      <c r="AE12" s="19">
        <v>10</v>
      </c>
      <c r="AF12" s="19">
        <v>10</v>
      </c>
      <c r="AG12" s="19" t="s">
        <v>15</v>
      </c>
      <c r="AH12" s="19">
        <v>10</v>
      </c>
      <c r="AI12" s="19">
        <v>10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/>
      <c r="AQ12" s="19"/>
      <c r="AR12" s="19"/>
      <c r="AS12" s="19">
        <v>0</v>
      </c>
      <c r="AT12" s="19">
        <f t="shared" si="0"/>
        <v>46</v>
      </c>
      <c r="AU12" s="19">
        <f t="shared" si="1"/>
        <v>0</v>
      </c>
      <c r="AV12" s="19">
        <f t="shared" si="2"/>
        <v>0</v>
      </c>
      <c r="AW12" s="16">
        <f t="shared" si="3"/>
        <v>27</v>
      </c>
      <c r="AX12" s="16">
        <f t="shared" si="4"/>
        <v>3</v>
      </c>
      <c r="AY12" s="16">
        <f t="shared" si="5"/>
        <v>0</v>
      </c>
      <c r="AZ12" s="21">
        <v>1300</v>
      </c>
      <c r="BA12" s="21">
        <v>100</v>
      </c>
      <c r="BB12" s="21">
        <v>200</v>
      </c>
      <c r="BC12" s="19">
        <f t="shared" si="6"/>
        <v>1170</v>
      </c>
      <c r="BD12" s="19">
        <f t="shared" si="7"/>
        <v>90</v>
      </c>
      <c r="BE12" s="19">
        <f t="shared" si="8"/>
        <v>311</v>
      </c>
      <c r="BF12" s="19">
        <f t="shared" si="9"/>
        <v>180</v>
      </c>
      <c r="BG12" s="19">
        <f t="shared" si="10"/>
        <v>0</v>
      </c>
      <c r="BH12" s="19">
        <f t="shared" si="11"/>
        <v>0</v>
      </c>
      <c r="BI12" s="19">
        <v>0</v>
      </c>
      <c r="BJ12" s="19">
        <f t="shared" si="12"/>
        <v>1751</v>
      </c>
      <c r="BK12" s="19">
        <v>0</v>
      </c>
      <c r="BL12" s="19">
        <v>0</v>
      </c>
      <c r="BM12" s="19">
        <f t="shared" si="13"/>
        <v>0</v>
      </c>
      <c r="BN12" s="19">
        <f t="shared" si="14"/>
        <v>1751</v>
      </c>
      <c r="BO12" s="19">
        <v>0</v>
      </c>
      <c r="BP12" s="19">
        <v>0</v>
      </c>
      <c r="BQ12" s="22">
        <f t="shared" si="15"/>
        <v>1751</v>
      </c>
      <c r="BR12" s="82">
        <f t="shared" si="16"/>
        <v>0</v>
      </c>
      <c r="BS12" s="19">
        <f t="shared" si="17"/>
        <v>0</v>
      </c>
      <c r="BT12" s="19">
        <f t="shared" si="18"/>
        <v>0</v>
      </c>
      <c r="BU12" s="19">
        <f t="shared" si="19"/>
        <v>0</v>
      </c>
      <c r="BV12" s="19">
        <f t="shared" si="20"/>
        <v>0</v>
      </c>
      <c r="BW12" s="19">
        <f t="shared" si="21"/>
        <v>0</v>
      </c>
      <c r="BX12" s="19">
        <f t="shared" si="22"/>
        <v>23</v>
      </c>
      <c r="BY12" s="19">
        <f t="shared" si="23"/>
        <v>46</v>
      </c>
      <c r="BZ12" s="19">
        <f t="shared" si="24"/>
        <v>0</v>
      </c>
      <c r="CA12" s="19">
        <f t="shared" si="25"/>
        <v>0</v>
      </c>
      <c r="CB12" s="19">
        <f t="shared" si="26"/>
        <v>0</v>
      </c>
      <c r="CC12" s="19">
        <f t="shared" si="27"/>
        <v>0</v>
      </c>
      <c r="CD12" s="19">
        <f t="shared" si="28"/>
        <v>0</v>
      </c>
      <c r="CE12" s="19">
        <f t="shared" si="29"/>
        <v>0</v>
      </c>
      <c r="CF12" s="19">
        <f t="shared" si="30"/>
        <v>0</v>
      </c>
      <c r="CG12" s="19">
        <f t="shared" si="31"/>
        <v>0</v>
      </c>
      <c r="CH12" s="19">
        <f t="shared" si="32"/>
        <v>0</v>
      </c>
      <c r="CI12" s="19">
        <f t="shared" si="33"/>
        <v>0</v>
      </c>
      <c r="CJ12" s="19">
        <f t="shared" si="34"/>
        <v>0</v>
      </c>
      <c r="CK12" s="19">
        <f t="shared" si="35"/>
        <v>0</v>
      </c>
      <c r="CL12" s="19">
        <f t="shared" si="36"/>
        <v>0</v>
      </c>
      <c r="CM12" s="19">
        <f t="shared" si="37"/>
        <v>0</v>
      </c>
      <c r="CN12" s="19">
        <f t="shared" si="38"/>
        <v>0</v>
      </c>
      <c r="CO12" s="19">
        <f t="shared" si="39"/>
        <v>0</v>
      </c>
      <c r="CP12" s="19">
        <f t="shared" si="40"/>
        <v>0</v>
      </c>
      <c r="CQ12" s="19">
        <f t="shared" si="41"/>
        <v>0</v>
      </c>
      <c r="CR12" s="19">
        <f t="shared" si="42"/>
        <v>0</v>
      </c>
      <c r="CS12" s="19">
        <f t="shared" si="43"/>
        <v>0</v>
      </c>
      <c r="CT12" s="19">
        <f t="shared" si="44"/>
        <v>0</v>
      </c>
      <c r="CU12" s="19">
        <f t="shared" si="45"/>
        <v>0</v>
      </c>
      <c r="CV12" s="19">
        <f t="shared" si="46"/>
        <v>0</v>
      </c>
      <c r="CW12" s="19">
        <f t="shared" si="47"/>
        <v>0</v>
      </c>
      <c r="CX12" s="19">
        <f t="shared" si="48"/>
        <v>0</v>
      </c>
      <c r="CY12" s="19">
        <f t="shared" si="49"/>
        <v>0</v>
      </c>
      <c r="CZ12" s="19">
        <f t="shared" si="50"/>
        <v>0</v>
      </c>
      <c r="DA12" s="19">
        <f t="shared" si="51"/>
        <v>0</v>
      </c>
      <c r="DB12" s="19">
        <f t="shared" si="52"/>
        <v>0</v>
      </c>
      <c r="DC12" s="19">
        <f t="shared" si="53"/>
        <v>0</v>
      </c>
      <c r="DD12" s="19">
        <f t="shared" si="54"/>
        <v>0</v>
      </c>
      <c r="DE12" s="19">
        <f t="shared" si="55"/>
        <v>0</v>
      </c>
      <c r="DF12" s="19">
        <f t="shared" si="56"/>
        <v>0</v>
      </c>
      <c r="DG12" s="19">
        <f t="shared" si="57"/>
        <v>0</v>
      </c>
      <c r="DH12" s="19">
        <f t="shared" si="58"/>
        <v>0</v>
      </c>
      <c r="DI12" s="19">
        <f t="shared" si="59"/>
        <v>0</v>
      </c>
      <c r="DJ12" s="19">
        <f t="shared" si="60"/>
        <v>0</v>
      </c>
      <c r="DK12" s="19">
        <f t="shared" si="61"/>
        <v>0</v>
      </c>
      <c r="DL12" s="19">
        <f t="shared" si="62"/>
        <v>0</v>
      </c>
      <c r="DM12" s="19">
        <f t="shared" si="63"/>
        <v>0</v>
      </c>
      <c r="DN12" s="19">
        <f t="shared" si="64"/>
        <v>0</v>
      </c>
      <c r="DO12" s="19">
        <f t="shared" si="65"/>
        <v>0</v>
      </c>
      <c r="DP12" s="19">
        <f t="shared" si="66"/>
        <v>0</v>
      </c>
      <c r="DQ12" s="19">
        <f t="shared" si="67"/>
        <v>0</v>
      </c>
      <c r="DR12" s="19">
        <f t="shared" si="68"/>
        <v>0</v>
      </c>
      <c r="DS12" s="19">
        <f t="shared" si="69"/>
        <v>0</v>
      </c>
      <c r="DT12" s="19">
        <f t="shared" si="70"/>
        <v>0</v>
      </c>
      <c r="DU12" s="19">
        <f t="shared" si="71"/>
        <v>0</v>
      </c>
      <c r="DV12" s="19">
        <f t="shared" si="72"/>
        <v>0</v>
      </c>
      <c r="DW12" s="19">
        <f t="shared" si="73"/>
        <v>0</v>
      </c>
      <c r="DX12" s="19">
        <f t="shared" si="74"/>
        <v>0</v>
      </c>
      <c r="DY12" s="19">
        <f t="shared" si="75"/>
        <v>0</v>
      </c>
      <c r="DZ12" s="19">
        <f t="shared" si="76"/>
        <v>0</v>
      </c>
      <c r="EA12" s="19">
        <f t="shared" si="77"/>
        <v>0</v>
      </c>
      <c r="EB12" s="19">
        <f t="shared" si="78"/>
        <v>0</v>
      </c>
      <c r="EC12" s="19">
        <f t="shared" si="79"/>
        <v>0</v>
      </c>
    </row>
    <row r="13" spans="1:134" s="78" customFormat="1" ht="18" customHeight="1" x14ac:dyDescent="0.25">
      <c r="A13" s="15">
        <v>10</v>
      </c>
      <c r="B13" s="122" t="s">
        <v>86</v>
      </c>
      <c r="C13" s="17" t="s">
        <v>87</v>
      </c>
      <c r="D13" s="16" t="s">
        <v>61</v>
      </c>
      <c r="E13" s="18">
        <v>44946</v>
      </c>
      <c r="F13" s="19">
        <v>10</v>
      </c>
      <c r="G13" s="19">
        <v>10</v>
      </c>
      <c r="H13" s="19">
        <v>10</v>
      </c>
      <c r="I13" s="19">
        <v>10</v>
      </c>
      <c r="J13" s="19" t="s">
        <v>603</v>
      </c>
      <c r="K13" s="19">
        <v>10</v>
      </c>
      <c r="L13" s="19" t="s">
        <v>15</v>
      </c>
      <c r="M13" s="19">
        <v>10</v>
      </c>
      <c r="N13" s="19">
        <v>10</v>
      </c>
      <c r="O13" s="19">
        <v>10</v>
      </c>
      <c r="P13" s="19">
        <v>10</v>
      </c>
      <c r="Q13" s="19">
        <v>10</v>
      </c>
      <c r="R13" s="19">
        <v>10</v>
      </c>
      <c r="S13" s="19" t="s">
        <v>15</v>
      </c>
      <c r="T13" s="19">
        <v>10</v>
      </c>
      <c r="U13" s="19">
        <v>10</v>
      </c>
      <c r="V13" s="19">
        <v>10</v>
      </c>
      <c r="W13" s="19">
        <v>10</v>
      </c>
      <c r="X13" s="19">
        <v>10</v>
      </c>
      <c r="Y13" s="19">
        <v>10</v>
      </c>
      <c r="Z13" s="19" t="s">
        <v>15</v>
      </c>
      <c r="AA13" s="19">
        <v>10</v>
      </c>
      <c r="AB13" s="19">
        <v>10</v>
      </c>
      <c r="AC13" s="19">
        <v>10</v>
      </c>
      <c r="AD13" s="19" t="s">
        <v>316</v>
      </c>
      <c r="AE13" s="19">
        <v>10</v>
      </c>
      <c r="AF13" s="19">
        <v>10</v>
      </c>
      <c r="AG13" s="19" t="s">
        <v>316</v>
      </c>
      <c r="AH13" s="19">
        <v>10</v>
      </c>
      <c r="AI13" s="19">
        <v>10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/>
      <c r="AQ13" s="19"/>
      <c r="AR13" s="19"/>
      <c r="AS13" s="19">
        <v>0</v>
      </c>
      <c r="AT13" s="19">
        <f t="shared" si="0"/>
        <v>48</v>
      </c>
      <c r="AU13" s="19">
        <f t="shared" si="1"/>
        <v>0</v>
      </c>
      <c r="AV13" s="19">
        <f t="shared" si="2"/>
        <v>0</v>
      </c>
      <c r="AW13" s="16">
        <f t="shared" si="3"/>
        <v>28</v>
      </c>
      <c r="AX13" s="16">
        <f t="shared" si="4"/>
        <v>2</v>
      </c>
      <c r="AY13" s="16">
        <f t="shared" si="5"/>
        <v>0</v>
      </c>
      <c r="AZ13" s="21">
        <v>1050</v>
      </c>
      <c r="BA13" s="21">
        <v>200</v>
      </c>
      <c r="BB13" s="21">
        <v>0</v>
      </c>
      <c r="BC13" s="19">
        <f t="shared" si="6"/>
        <v>980</v>
      </c>
      <c r="BD13" s="19">
        <f t="shared" si="7"/>
        <v>187</v>
      </c>
      <c r="BE13" s="19">
        <f t="shared" si="8"/>
        <v>263</v>
      </c>
      <c r="BF13" s="19">
        <f t="shared" si="9"/>
        <v>0</v>
      </c>
      <c r="BG13" s="19">
        <f t="shared" si="10"/>
        <v>0</v>
      </c>
      <c r="BH13" s="19">
        <f t="shared" si="11"/>
        <v>0</v>
      </c>
      <c r="BI13" s="19">
        <v>0</v>
      </c>
      <c r="BJ13" s="19">
        <f t="shared" si="12"/>
        <v>1430</v>
      </c>
      <c r="BK13" s="19">
        <v>0</v>
      </c>
      <c r="BL13" s="19">
        <v>0</v>
      </c>
      <c r="BM13" s="19">
        <f t="shared" si="13"/>
        <v>0</v>
      </c>
      <c r="BN13" s="19">
        <f t="shared" si="14"/>
        <v>1430</v>
      </c>
      <c r="BO13" s="19">
        <v>0</v>
      </c>
      <c r="BP13" s="19">
        <v>0</v>
      </c>
      <c r="BQ13" s="22">
        <f t="shared" si="15"/>
        <v>1430</v>
      </c>
      <c r="BR13" s="82">
        <f t="shared" si="16"/>
        <v>0</v>
      </c>
      <c r="BS13" s="19">
        <f t="shared" si="17"/>
        <v>0</v>
      </c>
      <c r="BT13" s="19">
        <f t="shared" si="18"/>
        <v>0</v>
      </c>
      <c r="BU13" s="19">
        <f t="shared" si="19"/>
        <v>0</v>
      </c>
      <c r="BV13" s="19">
        <f t="shared" si="20"/>
        <v>0</v>
      </c>
      <c r="BW13" s="19">
        <f t="shared" si="21"/>
        <v>0</v>
      </c>
      <c r="BX13" s="19">
        <f t="shared" si="22"/>
        <v>24</v>
      </c>
      <c r="BY13" s="19">
        <f t="shared" si="23"/>
        <v>48</v>
      </c>
      <c r="BZ13" s="19">
        <f t="shared" si="24"/>
        <v>0</v>
      </c>
      <c r="CA13" s="19">
        <f t="shared" si="25"/>
        <v>0</v>
      </c>
      <c r="CB13" s="19">
        <f t="shared" si="26"/>
        <v>0</v>
      </c>
      <c r="CC13" s="19">
        <f t="shared" si="27"/>
        <v>0</v>
      </c>
      <c r="CD13" s="19">
        <f t="shared" si="28"/>
        <v>0</v>
      </c>
      <c r="CE13" s="19">
        <f t="shared" si="29"/>
        <v>0</v>
      </c>
      <c r="CF13" s="19">
        <f t="shared" si="30"/>
        <v>0</v>
      </c>
      <c r="CG13" s="19">
        <f t="shared" si="31"/>
        <v>0</v>
      </c>
      <c r="CH13" s="19">
        <f t="shared" si="32"/>
        <v>0</v>
      </c>
      <c r="CI13" s="19">
        <f t="shared" si="33"/>
        <v>0</v>
      </c>
      <c r="CJ13" s="19">
        <f t="shared" si="34"/>
        <v>0</v>
      </c>
      <c r="CK13" s="19">
        <f t="shared" si="35"/>
        <v>0</v>
      </c>
      <c r="CL13" s="19">
        <f t="shared" si="36"/>
        <v>0</v>
      </c>
      <c r="CM13" s="19">
        <f t="shared" si="37"/>
        <v>0</v>
      </c>
      <c r="CN13" s="19">
        <f t="shared" si="38"/>
        <v>0</v>
      </c>
      <c r="CO13" s="19">
        <f t="shared" si="39"/>
        <v>0</v>
      </c>
      <c r="CP13" s="19">
        <f t="shared" si="40"/>
        <v>0</v>
      </c>
      <c r="CQ13" s="19">
        <f t="shared" si="41"/>
        <v>0</v>
      </c>
      <c r="CR13" s="19">
        <f t="shared" si="42"/>
        <v>0</v>
      </c>
      <c r="CS13" s="19">
        <f t="shared" si="43"/>
        <v>0</v>
      </c>
      <c r="CT13" s="19">
        <f t="shared" si="44"/>
        <v>0</v>
      </c>
      <c r="CU13" s="19">
        <f t="shared" si="45"/>
        <v>0</v>
      </c>
      <c r="CV13" s="19">
        <f t="shared" si="46"/>
        <v>0</v>
      </c>
      <c r="CW13" s="19">
        <f t="shared" si="47"/>
        <v>0</v>
      </c>
      <c r="CX13" s="19">
        <f t="shared" si="48"/>
        <v>0</v>
      </c>
      <c r="CY13" s="19">
        <f t="shared" si="49"/>
        <v>0</v>
      </c>
      <c r="CZ13" s="19">
        <f t="shared" si="50"/>
        <v>0</v>
      </c>
      <c r="DA13" s="19">
        <f t="shared" si="51"/>
        <v>0</v>
      </c>
      <c r="DB13" s="19">
        <f t="shared" si="52"/>
        <v>0</v>
      </c>
      <c r="DC13" s="19">
        <f t="shared" si="53"/>
        <v>0</v>
      </c>
      <c r="DD13" s="19">
        <f t="shared" si="54"/>
        <v>0</v>
      </c>
      <c r="DE13" s="19">
        <f t="shared" si="55"/>
        <v>0</v>
      </c>
      <c r="DF13" s="19">
        <f t="shared" si="56"/>
        <v>0</v>
      </c>
      <c r="DG13" s="19">
        <f t="shared" si="57"/>
        <v>0</v>
      </c>
      <c r="DH13" s="19">
        <f t="shared" si="58"/>
        <v>0</v>
      </c>
      <c r="DI13" s="19">
        <f t="shared" si="59"/>
        <v>0</v>
      </c>
      <c r="DJ13" s="19">
        <f t="shared" si="60"/>
        <v>0</v>
      </c>
      <c r="DK13" s="19">
        <f t="shared" si="61"/>
        <v>0</v>
      </c>
      <c r="DL13" s="19">
        <f t="shared" si="62"/>
        <v>0</v>
      </c>
      <c r="DM13" s="19">
        <f t="shared" si="63"/>
        <v>0</v>
      </c>
      <c r="DN13" s="19">
        <f t="shared" si="64"/>
        <v>0</v>
      </c>
      <c r="DO13" s="19">
        <f t="shared" si="65"/>
        <v>0</v>
      </c>
      <c r="DP13" s="19">
        <f t="shared" si="66"/>
        <v>0</v>
      </c>
      <c r="DQ13" s="19">
        <f t="shared" si="67"/>
        <v>0</v>
      </c>
      <c r="DR13" s="19">
        <f t="shared" si="68"/>
        <v>0</v>
      </c>
      <c r="DS13" s="19">
        <f t="shared" si="69"/>
        <v>0</v>
      </c>
      <c r="DT13" s="19">
        <f t="shared" si="70"/>
        <v>0</v>
      </c>
      <c r="DU13" s="19">
        <f t="shared" si="71"/>
        <v>0</v>
      </c>
      <c r="DV13" s="19">
        <f t="shared" si="72"/>
        <v>0</v>
      </c>
      <c r="DW13" s="19">
        <f t="shared" si="73"/>
        <v>0</v>
      </c>
      <c r="DX13" s="19">
        <f t="shared" si="74"/>
        <v>0</v>
      </c>
      <c r="DY13" s="19">
        <f t="shared" si="75"/>
        <v>0</v>
      </c>
      <c r="DZ13" s="19">
        <f t="shared" si="76"/>
        <v>0</v>
      </c>
      <c r="EA13" s="19">
        <f t="shared" si="77"/>
        <v>0</v>
      </c>
      <c r="EB13" s="19">
        <f t="shared" si="78"/>
        <v>0</v>
      </c>
      <c r="EC13" s="19">
        <f t="shared" si="79"/>
        <v>0</v>
      </c>
    </row>
    <row r="14" spans="1:134" s="78" customFormat="1" ht="18" customHeight="1" x14ac:dyDescent="0.25">
      <c r="A14" s="15">
        <v>11</v>
      </c>
      <c r="B14" s="136" t="s">
        <v>88</v>
      </c>
      <c r="C14" s="17" t="s">
        <v>89</v>
      </c>
      <c r="D14" s="16" t="s">
        <v>157</v>
      </c>
      <c r="E14" s="18">
        <v>44946</v>
      </c>
      <c r="F14" s="19">
        <v>10</v>
      </c>
      <c r="G14" s="19">
        <v>10</v>
      </c>
      <c r="H14" s="19">
        <v>10</v>
      </c>
      <c r="I14" s="19">
        <v>10</v>
      </c>
      <c r="J14" s="19" t="s">
        <v>603</v>
      </c>
      <c r="K14" s="19">
        <v>10</v>
      </c>
      <c r="L14" s="19" t="s">
        <v>15</v>
      </c>
      <c r="M14" s="19">
        <v>10</v>
      </c>
      <c r="N14" s="19">
        <v>10</v>
      </c>
      <c r="O14" s="19">
        <v>10</v>
      </c>
      <c r="P14" s="19">
        <v>10</v>
      </c>
      <c r="Q14" s="19">
        <v>10</v>
      </c>
      <c r="R14" s="19">
        <v>10</v>
      </c>
      <c r="S14" s="19" t="s">
        <v>15</v>
      </c>
      <c r="T14" s="19">
        <v>12.5</v>
      </c>
      <c r="U14" s="19">
        <v>14</v>
      </c>
      <c r="V14" s="19">
        <v>11</v>
      </c>
      <c r="W14" s="19">
        <v>11</v>
      </c>
      <c r="X14" s="19">
        <v>11</v>
      </c>
      <c r="Y14" s="19">
        <v>10</v>
      </c>
      <c r="Z14" s="19" t="s">
        <v>15</v>
      </c>
      <c r="AA14" s="19">
        <v>10</v>
      </c>
      <c r="AB14" s="19">
        <v>10</v>
      </c>
      <c r="AC14" s="19">
        <v>10</v>
      </c>
      <c r="AD14" s="19">
        <v>10</v>
      </c>
      <c r="AE14" s="19">
        <v>12</v>
      </c>
      <c r="AF14" s="19">
        <v>10</v>
      </c>
      <c r="AG14" s="19" t="s">
        <v>15</v>
      </c>
      <c r="AH14" s="19">
        <v>10</v>
      </c>
      <c r="AI14" s="19">
        <v>11</v>
      </c>
      <c r="AJ14" s="19">
        <v>0</v>
      </c>
      <c r="AK14" s="19">
        <v>11</v>
      </c>
      <c r="AL14" s="19">
        <v>0</v>
      </c>
      <c r="AM14" s="19">
        <v>0</v>
      </c>
      <c r="AN14" s="19">
        <v>0</v>
      </c>
      <c r="AO14" s="19">
        <v>10</v>
      </c>
      <c r="AP14" s="19"/>
      <c r="AQ14" s="19"/>
      <c r="AR14" s="19"/>
      <c r="AS14" s="19">
        <v>0</v>
      </c>
      <c r="AT14" s="19">
        <f t="shared" si="0"/>
        <v>62.5</v>
      </c>
      <c r="AU14" s="19">
        <f t="shared" si="1"/>
        <v>11</v>
      </c>
      <c r="AV14" s="19">
        <f t="shared" si="2"/>
        <v>10</v>
      </c>
      <c r="AW14" s="16">
        <f t="shared" si="3"/>
        <v>30</v>
      </c>
      <c r="AX14" s="16">
        <f t="shared" si="4"/>
        <v>0</v>
      </c>
      <c r="AY14" s="16">
        <f t="shared" si="5"/>
        <v>0</v>
      </c>
      <c r="AZ14" s="21">
        <v>1500</v>
      </c>
      <c r="BA14" s="21">
        <v>100</v>
      </c>
      <c r="BB14" s="21">
        <v>300</v>
      </c>
      <c r="BC14" s="19">
        <f t="shared" si="6"/>
        <v>1500</v>
      </c>
      <c r="BD14" s="19">
        <f t="shared" si="7"/>
        <v>100</v>
      </c>
      <c r="BE14" s="19">
        <f t="shared" si="8"/>
        <v>685</v>
      </c>
      <c r="BF14" s="19">
        <f t="shared" si="9"/>
        <v>300</v>
      </c>
      <c r="BG14" s="19">
        <f t="shared" si="10"/>
        <v>0</v>
      </c>
      <c r="BH14" s="19">
        <f t="shared" si="11"/>
        <v>0</v>
      </c>
      <c r="BI14" s="19">
        <v>95</v>
      </c>
      <c r="BJ14" s="19">
        <f t="shared" si="12"/>
        <v>2680</v>
      </c>
      <c r="BK14" s="19">
        <v>0</v>
      </c>
      <c r="BL14" s="19">
        <v>0</v>
      </c>
      <c r="BM14" s="19">
        <f t="shared" si="13"/>
        <v>0</v>
      </c>
      <c r="BN14" s="19">
        <f t="shared" si="14"/>
        <v>2680</v>
      </c>
      <c r="BO14" s="19">
        <v>0</v>
      </c>
      <c r="BP14" s="19">
        <v>0</v>
      </c>
      <c r="BQ14" s="22">
        <f t="shared" si="15"/>
        <v>2680</v>
      </c>
      <c r="BR14" s="83">
        <f t="shared" si="16"/>
        <v>0</v>
      </c>
      <c r="BS14" s="84">
        <f t="shared" si="17"/>
        <v>0</v>
      </c>
      <c r="BT14" s="84">
        <f t="shared" si="18"/>
        <v>0</v>
      </c>
      <c r="BU14" s="84">
        <f t="shared" si="19"/>
        <v>0</v>
      </c>
      <c r="BV14" s="84">
        <f t="shared" si="20"/>
        <v>0</v>
      </c>
      <c r="BW14" s="84">
        <f t="shared" si="21"/>
        <v>0</v>
      </c>
      <c r="BX14" s="84">
        <f t="shared" si="22"/>
        <v>18</v>
      </c>
      <c r="BY14" s="84">
        <f t="shared" si="23"/>
        <v>36</v>
      </c>
      <c r="BZ14" s="84">
        <f t="shared" si="24"/>
        <v>0</v>
      </c>
      <c r="CA14" s="84">
        <f t="shared" si="25"/>
        <v>0</v>
      </c>
      <c r="CB14" s="84">
        <f t="shared" si="26"/>
        <v>4</v>
      </c>
      <c r="CC14" s="84">
        <f t="shared" si="27"/>
        <v>12</v>
      </c>
      <c r="CD14" s="84">
        <f t="shared" si="28"/>
        <v>0</v>
      </c>
      <c r="CE14" s="84">
        <f t="shared" si="29"/>
        <v>0</v>
      </c>
      <c r="CF14" s="84">
        <f t="shared" si="30"/>
        <v>1</v>
      </c>
      <c r="CG14" s="84">
        <f t="shared" si="31"/>
        <v>4</v>
      </c>
      <c r="CH14" s="84">
        <f t="shared" si="32"/>
        <v>1</v>
      </c>
      <c r="CI14" s="84">
        <f t="shared" si="33"/>
        <v>4.5</v>
      </c>
      <c r="CJ14" s="84">
        <f t="shared" si="34"/>
        <v>0</v>
      </c>
      <c r="CK14" s="84">
        <f t="shared" si="35"/>
        <v>0</v>
      </c>
      <c r="CL14" s="84">
        <f t="shared" si="36"/>
        <v>0</v>
      </c>
      <c r="CM14" s="84">
        <f t="shared" si="37"/>
        <v>0</v>
      </c>
      <c r="CN14" s="84">
        <f t="shared" si="38"/>
        <v>1</v>
      </c>
      <c r="CO14" s="84">
        <f t="shared" si="39"/>
        <v>6</v>
      </c>
      <c r="CP14" s="84">
        <f t="shared" si="40"/>
        <v>0</v>
      </c>
      <c r="CQ14" s="84">
        <f t="shared" si="41"/>
        <v>0</v>
      </c>
      <c r="CR14" s="84">
        <f t="shared" si="42"/>
        <v>0</v>
      </c>
      <c r="CS14" s="84">
        <f t="shared" si="43"/>
        <v>0</v>
      </c>
      <c r="CT14" s="84">
        <f t="shared" si="44"/>
        <v>0</v>
      </c>
      <c r="CU14" s="84">
        <f t="shared" si="45"/>
        <v>0</v>
      </c>
      <c r="CV14" s="84">
        <f t="shared" si="46"/>
        <v>0</v>
      </c>
      <c r="CW14" s="84">
        <f t="shared" si="47"/>
        <v>0</v>
      </c>
      <c r="CX14" s="84">
        <f t="shared" si="48"/>
        <v>0</v>
      </c>
      <c r="CY14" s="84">
        <f t="shared" si="49"/>
        <v>0</v>
      </c>
      <c r="CZ14" s="84">
        <f t="shared" si="50"/>
        <v>0</v>
      </c>
      <c r="DA14" s="84">
        <f t="shared" si="51"/>
        <v>0</v>
      </c>
      <c r="DB14" s="84">
        <f t="shared" si="52"/>
        <v>0</v>
      </c>
      <c r="DC14" s="84">
        <f t="shared" si="53"/>
        <v>0</v>
      </c>
      <c r="DD14" s="84">
        <f t="shared" si="54"/>
        <v>0</v>
      </c>
      <c r="DE14" s="84">
        <f t="shared" si="55"/>
        <v>0</v>
      </c>
      <c r="DF14" s="84">
        <f t="shared" si="56"/>
        <v>0</v>
      </c>
      <c r="DG14" s="84">
        <f t="shared" si="57"/>
        <v>0</v>
      </c>
      <c r="DH14" s="84">
        <f t="shared" si="58"/>
        <v>0</v>
      </c>
      <c r="DI14" s="84">
        <f t="shared" si="59"/>
        <v>0</v>
      </c>
      <c r="DJ14" s="84">
        <f t="shared" si="60"/>
        <v>0</v>
      </c>
      <c r="DK14" s="84">
        <f t="shared" si="61"/>
        <v>0</v>
      </c>
      <c r="DL14" s="84">
        <f t="shared" si="62"/>
        <v>0</v>
      </c>
      <c r="DM14" s="84">
        <f t="shared" si="63"/>
        <v>0</v>
      </c>
      <c r="DN14" s="84">
        <f t="shared" si="64"/>
        <v>0</v>
      </c>
      <c r="DO14" s="84">
        <f t="shared" si="65"/>
        <v>0</v>
      </c>
      <c r="DP14" s="84">
        <f t="shared" si="66"/>
        <v>0</v>
      </c>
      <c r="DQ14" s="84">
        <f t="shared" si="67"/>
        <v>0</v>
      </c>
      <c r="DR14" s="84">
        <f t="shared" si="68"/>
        <v>0</v>
      </c>
      <c r="DS14" s="84">
        <f t="shared" si="69"/>
        <v>0</v>
      </c>
      <c r="DT14" s="84">
        <f t="shared" si="70"/>
        <v>0</v>
      </c>
      <c r="DU14" s="84">
        <f t="shared" si="71"/>
        <v>0</v>
      </c>
      <c r="DV14" s="84">
        <f t="shared" si="72"/>
        <v>0</v>
      </c>
      <c r="DW14" s="84">
        <f t="shared" si="73"/>
        <v>0</v>
      </c>
      <c r="DX14" s="84">
        <f t="shared" si="74"/>
        <v>0</v>
      </c>
      <c r="DY14" s="84">
        <f t="shared" si="75"/>
        <v>0</v>
      </c>
      <c r="DZ14" s="84">
        <f t="shared" si="76"/>
        <v>0</v>
      </c>
      <c r="EA14" s="84">
        <f t="shared" si="77"/>
        <v>0</v>
      </c>
      <c r="EB14" s="84">
        <f t="shared" si="78"/>
        <v>0</v>
      </c>
      <c r="EC14" s="84">
        <f t="shared" si="79"/>
        <v>0</v>
      </c>
    </row>
    <row r="15" spans="1:134" s="78" customFormat="1" ht="18" customHeight="1" x14ac:dyDescent="0.25">
      <c r="A15" s="15">
        <v>12</v>
      </c>
      <c r="B15" s="122" t="s">
        <v>80</v>
      </c>
      <c r="C15" s="17" t="s">
        <v>81</v>
      </c>
      <c r="D15" s="16" t="s">
        <v>61</v>
      </c>
      <c r="E15" s="18">
        <v>44940</v>
      </c>
      <c r="F15" s="19">
        <v>13</v>
      </c>
      <c r="G15" s="19">
        <v>12</v>
      </c>
      <c r="H15" s="19">
        <v>12</v>
      </c>
      <c r="I15" s="19">
        <v>12</v>
      </c>
      <c r="J15" s="19" t="s">
        <v>603</v>
      </c>
      <c r="K15" s="19">
        <v>12</v>
      </c>
      <c r="L15" s="19" t="s">
        <v>15</v>
      </c>
      <c r="M15" s="19">
        <v>10</v>
      </c>
      <c r="N15" s="19">
        <v>12</v>
      </c>
      <c r="O15" s="19">
        <v>10</v>
      </c>
      <c r="P15" s="19">
        <v>10</v>
      </c>
      <c r="Q15" s="19">
        <v>10</v>
      </c>
      <c r="R15" s="19">
        <v>10</v>
      </c>
      <c r="S15" s="19" t="s">
        <v>15</v>
      </c>
      <c r="T15" s="19">
        <v>10</v>
      </c>
      <c r="U15" s="19">
        <v>10</v>
      </c>
      <c r="V15" s="19">
        <v>10</v>
      </c>
      <c r="W15" s="19">
        <v>10</v>
      </c>
      <c r="X15" s="19">
        <v>10</v>
      </c>
      <c r="Y15" s="19">
        <v>10</v>
      </c>
      <c r="Z15" s="19" t="s">
        <v>15</v>
      </c>
      <c r="AA15" s="19">
        <v>10</v>
      </c>
      <c r="AB15" s="19">
        <v>10</v>
      </c>
      <c r="AC15" s="19">
        <v>10</v>
      </c>
      <c r="AD15" s="19">
        <v>10</v>
      </c>
      <c r="AE15" s="19">
        <v>12</v>
      </c>
      <c r="AF15" s="19">
        <v>11</v>
      </c>
      <c r="AG15" s="19" t="s">
        <v>15</v>
      </c>
      <c r="AH15" s="19">
        <v>11</v>
      </c>
      <c r="AI15" s="19">
        <v>11</v>
      </c>
      <c r="AJ15" s="19">
        <v>0</v>
      </c>
      <c r="AK15" s="19">
        <v>0</v>
      </c>
      <c r="AL15" s="19">
        <v>10</v>
      </c>
      <c r="AM15" s="19">
        <v>10</v>
      </c>
      <c r="AN15" s="19">
        <v>0</v>
      </c>
      <c r="AO15" s="19">
        <v>12</v>
      </c>
      <c r="AP15" s="19"/>
      <c r="AQ15" s="19"/>
      <c r="AR15" s="19"/>
      <c r="AS15" s="19">
        <v>0</v>
      </c>
      <c r="AT15" s="19">
        <f t="shared" si="0"/>
        <v>68</v>
      </c>
      <c r="AU15" s="19">
        <f t="shared" si="1"/>
        <v>20</v>
      </c>
      <c r="AV15" s="19">
        <f t="shared" si="2"/>
        <v>12</v>
      </c>
      <c r="AW15" s="16">
        <f t="shared" si="3"/>
        <v>30</v>
      </c>
      <c r="AX15" s="16">
        <f t="shared" si="4"/>
        <v>0</v>
      </c>
      <c r="AY15" s="16">
        <f t="shared" si="5"/>
        <v>0</v>
      </c>
      <c r="AZ15" s="21">
        <v>1100</v>
      </c>
      <c r="BA15" s="21">
        <v>200</v>
      </c>
      <c r="BB15" s="21">
        <v>0</v>
      </c>
      <c r="BC15" s="19">
        <f t="shared" si="6"/>
        <v>1100</v>
      </c>
      <c r="BD15" s="19">
        <f t="shared" si="7"/>
        <v>200</v>
      </c>
      <c r="BE15" s="19">
        <f t="shared" si="8"/>
        <v>610</v>
      </c>
      <c r="BF15" s="19">
        <f t="shared" si="9"/>
        <v>0</v>
      </c>
      <c r="BG15" s="19">
        <f t="shared" si="10"/>
        <v>0</v>
      </c>
      <c r="BH15" s="19">
        <f t="shared" si="11"/>
        <v>0</v>
      </c>
      <c r="BI15" s="19">
        <v>95</v>
      </c>
      <c r="BJ15" s="19">
        <f t="shared" si="12"/>
        <v>2005</v>
      </c>
      <c r="BK15" s="19">
        <v>0</v>
      </c>
      <c r="BL15" s="19">
        <v>0</v>
      </c>
      <c r="BM15" s="19">
        <f t="shared" si="13"/>
        <v>0</v>
      </c>
      <c r="BN15" s="19">
        <f t="shared" si="14"/>
        <v>2005</v>
      </c>
      <c r="BO15" s="19">
        <v>0</v>
      </c>
      <c r="BP15" s="19">
        <v>0</v>
      </c>
      <c r="BQ15" s="22">
        <f t="shared" si="15"/>
        <v>2005</v>
      </c>
      <c r="BR15" s="82">
        <f t="shared" si="16"/>
        <v>0</v>
      </c>
      <c r="BS15" s="19">
        <f t="shared" si="17"/>
        <v>0</v>
      </c>
      <c r="BT15" s="19">
        <f t="shared" si="18"/>
        <v>0</v>
      </c>
      <c r="BU15" s="19">
        <f t="shared" si="19"/>
        <v>0</v>
      </c>
      <c r="BV15" s="19">
        <f t="shared" si="20"/>
        <v>0</v>
      </c>
      <c r="BW15" s="19">
        <f t="shared" si="21"/>
        <v>0</v>
      </c>
      <c r="BX15" s="19">
        <f t="shared" si="22"/>
        <v>15</v>
      </c>
      <c r="BY15" s="19">
        <f t="shared" si="23"/>
        <v>30</v>
      </c>
      <c r="BZ15" s="19">
        <f t="shared" si="24"/>
        <v>0</v>
      </c>
      <c r="CA15" s="19">
        <f t="shared" si="25"/>
        <v>0</v>
      </c>
      <c r="CB15" s="19">
        <f t="shared" si="26"/>
        <v>3</v>
      </c>
      <c r="CC15" s="19">
        <f t="shared" si="27"/>
        <v>9</v>
      </c>
      <c r="CD15" s="19">
        <f t="shared" si="28"/>
        <v>0</v>
      </c>
      <c r="CE15" s="19">
        <f t="shared" si="29"/>
        <v>0</v>
      </c>
      <c r="CF15" s="19">
        <f t="shared" si="30"/>
        <v>6</v>
      </c>
      <c r="CG15" s="19">
        <f t="shared" si="31"/>
        <v>24</v>
      </c>
      <c r="CH15" s="19">
        <f t="shared" si="32"/>
        <v>0</v>
      </c>
      <c r="CI15" s="19">
        <f t="shared" si="33"/>
        <v>0</v>
      </c>
      <c r="CJ15" s="19">
        <f t="shared" si="34"/>
        <v>1</v>
      </c>
      <c r="CK15" s="19">
        <f t="shared" si="35"/>
        <v>5</v>
      </c>
      <c r="CL15" s="19">
        <f t="shared" si="36"/>
        <v>0</v>
      </c>
      <c r="CM15" s="19">
        <f t="shared" si="37"/>
        <v>0</v>
      </c>
      <c r="CN15" s="19">
        <f t="shared" si="38"/>
        <v>0</v>
      </c>
      <c r="CO15" s="19">
        <f t="shared" si="39"/>
        <v>0</v>
      </c>
      <c r="CP15" s="19">
        <f t="shared" si="40"/>
        <v>0</v>
      </c>
      <c r="CQ15" s="19">
        <f t="shared" si="41"/>
        <v>0</v>
      </c>
      <c r="CR15" s="19">
        <f t="shared" si="42"/>
        <v>0</v>
      </c>
      <c r="CS15" s="19">
        <f t="shared" si="43"/>
        <v>0</v>
      </c>
      <c r="CT15" s="19">
        <f t="shared" si="44"/>
        <v>0</v>
      </c>
      <c r="CU15" s="19">
        <f t="shared" si="45"/>
        <v>0</v>
      </c>
      <c r="CV15" s="19">
        <f t="shared" si="46"/>
        <v>0</v>
      </c>
      <c r="CW15" s="19">
        <f t="shared" si="47"/>
        <v>0</v>
      </c>
      <c r="CX15" s="19">
        <f t="shared" si="48"/>
        <v>0</v>
      </c>
      <c r="CY15" s="19">
        <f t="shared" si="49"/>
        <v>0</v>
      </c>
      <c r="CZ15" s="19">
        <f t="shared" si="50"/>
        <v>0</v>
      </c>
      <c r="DA15" s="19">
        <f t="shared" si="51"/>
        <v>0</v>
      </c>
      <c r="DB15" s="19">
        <f t="shared" si="52"/>
        <v>0</v>
      </c>
      <c r="DC15" s="19">
        <f t="shared" si="53"/>
        <v>0</v>
      </c>
      <c r="DD15" s="19">
        <f t="shared" si="54"/>
        <v>0</v>
      </c>
      <c r="DE15" s="19">
        <f t="shared" si="55"/>
        <v>0</v>
      </c>
      <c r="DF15" s="19">
        <f t="shared" si="56"/>
        <v>0</v>
      </c>
      <c r="DG15" s="19">
        <f t="shared" si="57"/>
        <v>0</v>
      </c>
      <c r="DH15" s="19">
        <f t="shared" si="58"/>
        <v>0</v>
      </c>
      <c r="DI15" s="19">
        <f t="shared" si="59"/>
        <v>0</v>
      </c>
      <c r="DJ15" s="19">
        <f t="shared" si="60"/>
        <v>0</v>
      </c>
      <c r="DK15" s="19">
        <f t="shared" si="61"/>
        <v>0</v>
      </c>
      <c r="DL15" s="19">
        <f t="shared" si="62"/>
        <v>0</v>
      </c>
      <c r="DM15" s="19">
        <f t="shared" si="63"/>
        <v>0</v>
      </c>
      <c r="DN15" s="19">
        <f t="shared" si="64"/>
        <v>0</v>
      </c>
      <c r="DO15" s="19">
        <f t="shared" si="65"/>
        <v>0</v>
      </c>
      <c r="DP15" s="19">
        <f t="shared" si="66"/>
        <v>0</v>
      </c>
      <c r="DQ15" s="19">
        <f t="shared" si="67"/>
        <v>0</v>
      </c>
      <c r="DR15" s="19">
        <f t="shared" si="68"/>
        <v>0</v>
      </c>
      <c r="DS15" s="19">
        <f t="shared" si="69"/>
        <v>0</v>
      </c>
      <c r="DT15" s="19">
        <f t="shared" si="70"/>
        <v>0</v>
      </c>
      <c r="DU15" s="19">
        <f t="shared" si="71"/>
        <v>0</v>
      </c>
      <c r="DV15" s="19">
        <f t="shared" si="72"/>
        <v>0</v>
      </c>
      <c r="DW15" s="19">
        <f t="shared" si="73"/>
        <v>0</v>
      </c>
      <c r="DX15" s="19">
        <f t="shared" si="74"/>
        <v>0</v>
      </c>
      <c r="DY15" s="19">
        <f t="shared" si="75"/>
        <v>0</v>
      </c>
      <c r="DZ15" s="19">
        <f t="shared" si="76"/>
        <v>0</v>
      </c>
      <c r="EA15" s="19">
        <f t="shared" si="77"/>
        <v>0</v>
      </c>
      <c r="EB15" s="19">
        <f t="shared" si="78"/>
        <v>0</v>
      </c>
      <c r="EC15" s="19">
        <f t="shared" si="79"/>
        <v>0</v>
      </c>
    </row>
    <row r="16" spans="1:134" s="78" customFormat="1" ht="18" customHeight="1" x14ac:dyDescent="0.25">
      <c r="A16" s="15">
        <v>13</v>
      </c>
      <c r="B16" s="122" t="s">
        <v>90</v>
      </c>
      <c r="C16" s="17" t="s">
        <v>91</v>
      </c>
      <c r="D16" s="16" t="s">
        <v>61</v>
      </c>
      <c r="E16" s="18">
        <v>44946</v>
      </c>
      <c r="F16" s="19">
        <v>11</v>
      </c>
      <c r="G16" s="19">
        <v>11</v>
      </c>
      <c r="H16" s="19">
        <v>11</v>
      </c>
      <c r="I16" s="19">
        <v>11</v>
      </c>
      <c r="J16" s="19" t="s">
        <v>603</v>
      </c>
      <c r="K16" s="19">
        <v>11</v>
      </c>
      <c r="L16" s="19" t="s">
        <v>15</v>
      </c>
      <c r="M16" s="19">
        <v>11</v>
      </c>
      <c r="N16" s="19">
        <v>11</v>
      </c>
      <c r="O16" s="19">
        <v>11</v>
      </c>
      <c r="P16" s="19">
        <v>11</v>
      </c>
      <c r="Q16" s="19">
        <v>11</v>
      </c>
      <c r="R16" s="19">
        <v>11</v>
      </c>
      <c r="S16" s="19" t="s">
        <v>15</v>
      </c>
      <c r="T16" s="19">
        <v>11</v>
      </c>
      <c r="U16" s="19">
        <v>11</v>
      </c>
      <c r="V16" s="19">
        <v>11</v>
      </c>
      <c r="W16" s="19">
        <v>11</v>
      </c>
      <c r="X16" s="19">
        <v>11</v>
      </c>
      <c r="Y16" s="19">
        <v>11</v>
      </c>
      <c r="Z16" s="19" t="s">
        <v>15</v>
      </c>
      <c r="AA16" s="19">
        <v>11</v>
      </c>
      <c r="AB16" s="19">
        <v>11</v>
      </c>
      <c r="AC16" s="19">
        <v>11</v>
      </c>
      <c r="AD16" s="19">
        <v>11</v>
      </c>
      <c r="AE16" s="19">
        <v>11</v>
      </c>
      <c r="AF16" s="19">
        <v>11</v>
      </c>
      <c r="AG16" s="19" t="s">
        <v>15</v>
      </c>
      <c r="AH16" s="19">
        <v>11</v>
      </c>
      <c r="AI16" s="19">
        <v>11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11</v>
      </c>
      <c r="AP16" s="19"/>
      <c r="AQ16" s="19"/>
      <c r="AR16" s="19"/>
      <c r="AS16" s="19">
        <v>0</v>
      </c>
      <c r="AT16" s="19">
        <f t="shared" si="0"/>
        <v>75</v>
      </c>
      <c r="AU16" s="19">
        <f t="shared" si="1"/>
        <v>0</v>
      </c>
      <c r="AV16" s="19">
        <f t="shared" si="2"/>
        <v>11</v>
      </c>
      <c r="AW16" s="16">
        <f t="shared" si="3"/>
        <v>30</v>
      </c>
      <c r="AX16" s="16">
        <f t="shared" si="4"/>
        <v>0</v>
      </c>
      <c r="AY16" s="16">
        <f t="shared" si="5"/>
        <v>0</v>
      </c>
      <c r="AZ16" s="21">
        <v>1100</v>
      </c>
      <c r="BA16" s="21">
        <v>200</v>
      </c>
      <c r="BB16" s="21">
        <v>0</v>
      </c>
      <c r="BC16" s="19">
        <f t="shared" si="6"/>
        <v>1100</v>
      </c>
      <c r="BD16" s="19">
        <f t="shared" si="7"/>
        <v>200</v>
      </c>
      <c r="BE16" s="19">
        <f t="shared" si="8"/>
        <v>505</v>
      </c>
      <c r="BF16" s="19">
        <f t="shared" si="9"/>
        <v>0</v>
      </c>
      <c r="BG16" s="19">
        <f t="shared" si="10"/>
        <v>0</v>
      </c>
      <c r="BH16" s="19">
        <f t="shared" si="11"/>
        <v>0</v>
      </c>
      <c r="BI16" s="19">
        <v>95</v>
      </c>
      <c r="BJ16" s="19">
        <f t="shared" si="12"/>
        <v>1900</v>
      </c>
      <c r="BK16" s="19">
        <v>0</v>
      </c>
      <c r="BL16" s="19">
        <v>0</v>
      </c>
      <c r="BM16" s="19">
        <f t="shared" si="13"/>
        <v>0</v>
      </c>
      <c r="BN16" s="19">
        <f t="shared" si="14"/>
        <v>1900</v>
      </c>
      <c r="BO16" s="19">
        <v>0</v>
      </c>
      <c r="BP16" s="19">
        <v>0</v>
      </c>
      <c r="BQ16" s="22">
        <f t="shared" si="15"/>
        <v>1900</v>
      </c>
      <c r="BR16" s="82">
        <f t="shared" si="16"/>
        <v>0</v>
      </c>
      <c r="BS16" s="19">
        <f t="shared" si="17"/>
        <v>0</v>
      </c>
      <c r="BT16" s="19">
        <f t="shared" si="18"/>
        <v>0</v>
      </c>
      <c r="BU16" s="19">
        <f t="shared" si="19"/>
        <v>0</v>
      </c>
      <c r="BV16" s="19">
        <f t="shared" si="20"/>
        <v>0</v>
      </c>
      <c r="BW16" s="19">
        <f t="shared" si="21"/>
        <v>0</v>
      </c>
      <c r="BX16" s="19">
        <f t="shared" si="22"/>
        <v>0</v>
      </c>
      <c r="BY16" s="19">
        <f t="shared" si="23"/>
        <v>0</v>
      </c>
      <c r="BZ16" s="19">
        <f t="shared" si="24"/>
        <v>0</v>
      </c>
      <c r="CA16" s="19">
        <f t="shared" si="25"/>
        <v>0</v>
      </c>
      <c r="CB16" s="19">
        <f t="shared" si="26"/>
        <v>25</v>
      </c>
      <c r="CC16" s="19">
        <f t="shared" si="27"/>
        <v>75</v>
      </c>
      <c r="CD16" s="19">
        <f t="shared" si="28"/>
        <v>0</v>
      </c>
      <c r="CE16" s="19">
        <f t="shared" si="29"/>
        <v>0</v>
      </c>
      <c r="CF16" s="19">
        <f t="shared" si="30"/>
        <v>0</v>
      </c>
      <c r="CG16" s="19">
        <f t="shared" si="31"/>
        <v>0</v>
      </c>
      <c r="CH16" s="19">
        <f t="shared" si="32"/>
        <v>0</v>
      </c>
      <c r="CI16" s="19">
        <f t="shared" si="33"/>
        <v>0</v>
      </c>
      <c r="CJ16" s="19">
        <f t="shared" si="34"/>
        <v>0</v>
      </c>
      <c r="CK16" s="19">
        <f t="shared" si="35"/>
        <v>0</v>
      </c>
      <c r="CL16" s="19">
        <f t="shared" si="36"/>
        <v>0</v>
      </c>
      <c r="CM16" s="19">
        <f t="shared" si="37"/>
        <v>0</v>
      </c>
      <c r="CN16" s="19">
        <f t="shared" si="38"/>
        <v>0</v>
      </c>
      <c r="CO16" s="19">
        <f t="shared" si="39"/>
        <v>0</v>
      </c>
      <c r="CP16" s="19">
        <f t="shared" si="40"/>
        <v>0</v>
      </c>
      <c r="CQ16" s="19">
        <f t="shared" si="41"/>
        <v>0</v>
      </c>
      <c r="CR16" s="19">
        <f t="shared" si="42"/>
        <v>0</v>
      </c>
      <c r="CS16" s="19">
        <f t="shared" si="43"/>
        <v>0</v>
      </c>
      <c r="CT16" s="19">
        <f t="shared" si="44"/>
        <v>0</v>
      </c>
      <c r="CU16" s="19">
        <f t="shared" si="45"/>
        <v>0</v>
      </c>
      <c r="CV16" s="19">
        <f t="shared" si="46"/>
        <v>0</v>
      </c>
      <c r="CW16" s="19">
        <f t="shared" si="47"/>
        <v>0</v>
      </c>
      <c r="CX16" s="19">
        <f t="shared" si="48"/>
        <v>0</v>
      </c>
      <c r="CY16" s="19">
        <f t="shared" si="49"/>
        <v>0</v>
      </c>
      <c r="CZ16" s="19">
        <f t="shared" si="50"/>
        <v>0</v>
      </c>
      <c r="DA16" s="19">
        <f t="shared" si="51"/>
        <v>0</v>
      </c>
      <c r="DB16" s="19">
        <f t="shared" si="52"/>
        <v>0</v>
      </c>
      <c r="DC16" s="19">
        <f t="shared" si="53"/>
        <v>0</v>
      </c>
      <c r="DD16" s="19">
        <f t="shared" si="54"/>
        <v>0</v>
      </c>
      <c r="DE16" s="19">
        <f t="shared" si="55"/>
        <v>0</v>
      </c>
      <c r="DF16" s="19">
        <f t="shared" si="56"/>
        <v>0</v>
      </c>
      <c r="DG16" s="19">
        <f t="shared" si="57"/>
        <v>0</v>
      </c>
      <c r="DH16" s="19">
        <f t="shared" si="58"/>
        <v>0</v>
      </c>
      <c r="DI16" s="19">
        <f t="shared" si="59"/>
        <v>0</v>
      </c>
      <c r="DJ16" s="19">
        <f t="shared" si="60"/>
        <v>0</v>
      </c>
      <c r="DK16" s="19">
        <f t="shared" si="61"/>
        <v>0</v>
      </c>
      <c r="DL16" s="19">
        <f t="shared" si="62"/>
        <v>0</v>
      </c>
      <c r="DM16" s="19">
        <f t="shared" si="63"/>
        <v>0</v>
      </c>
      <c r="DN16" s="19">
        <f t="shared" si="64"/>
        <v>0</v>
      </c>
      <c r="DO16" s="19">
        <f t="shared" si="65"/>
        <v>0</v>
      </c>
      <c r="DP16" s="19">
        <f t="shared" si="66"/>
        <v>0</v>
      </c>
      <c r="DQ16" s="19">
        <f t="shared" si="67"/>
        <v>0</v>
      </c>
      <c r="DR16" s="19">
        <f t="shared" si="68"/>
        <v>0</v>
      </c>
      <c r="DS16" s="19">
        <f t="shared" si="69"/>
        <v>0</v>
      </c>
      <c r="DT16" s="19">
        <f t="shared" si="70"/>
        <v>0</v>
      </c>
      <c r="DU16" s="19">
        <f t="shared" si="71"/>
        <v>0</v>
      </c>
      <c r="DV16" s="19">
        <f t="shared" si="72"/>
        <v>0</v>
      </c>
      <c r="DW16" s="19">
        <f t="shared" si="73"/>
        <v>0</v>
      </c>
      <c r="DX16" s="19">
        <f t="shared" si="74"/>
        <v>0</v>
      </c>
      <c r="DY16" s="19">
        <f t="shared" si="75"/>
        <v>0</v>
      </c>
      <c r="DZ16" s="19">
        <f t="shared" si="76"/>
        <v>0</v>
      </c>
      <c r="EA16" s="19">
        <f t="shared" si="77"/>
        <v>0</v>
      </c>
      <c r="EB16" s="19">
        <f t="shared" si="78"/>
        <v>0</v>
      </c>
      <c r="EC16" s="19">
        <f t="shared" si="79"/>
        <v>0</v>
      </c>
    </row>
    <row r="17" spans="1:134" s="78" customFormat="1" ht="18" customHeight="1" x14ac:dyDescent="0.25">
      <c r="A17" s="15">
        <v>14</v>
      </c>
      <c r="B17" s="136" t="s">
        <v>92</v>
      </c>
      <c r="C17" s="17" t="s">
        <v>93</v>
      </c>
      <c r="D17" s="16" t="s">
        <v>61</v>
      </c>
      <c r="E17" s="18">
        <v>44970</v>
      </c>
      <c r="F17" s="19">
        <v>11</v>
      </c>
      <c r="G17" s="19">
        <v>11</v>
      </c>
      <c r="H17" s="19">
        <v>11</v>
      </c>
      <c r="I17" s="19">
        <v>11</v>
      </c>
      <c r="J17" s="19" t="s">
        <v>603</v>
      </c>
      <c r="K17" s="19">
        <v>11</v>
      </c>
      <c r="L17" s="19" t="s">
        <v>15</v>
      </c>
      <c r="M17" s="19">
        <v>11</v>
      </c>
      <c r="N17" s="19">
        <v>11</v>
      </c>
      <c r="O17" s="19">
        <v>11</v>
      </c>
      <c r="P17" s="19">
        <v>11</v>
      </c>
      <c r="Q17" s="19">
        <v>11</v>
      </c>
      <c r="R17" s="19">
        <v>11</v>
      </c>
      <c r="S17" s="19" t="s">
        <v>15</v>
      </c>
      <c r="T17" s="19">
        <v>11</v>
      </c>
      <c r="U17" s="19">
        <v>11</v>
      </c>
      <c r="V17" s="19">
        <v>11</v>
      </c>
      <c r="W17" s="19">
        <v>11</v>
      </c>
      <c r="X17" s="19">
        <v>11</v>
      </c>
      <c r="Y17" s="19">
        <v>11</v>
      </c>
      <c r="Z17" s="19" t="s">
        <v>15</v>
      </c>
      <c r="AA17" s="19">
        <v>11</v>
      </c>
      <c r="AB17" s="19">
        <v>11</v>
      </c>
      <c r="AC17" s="19">
        <v>11</v>
      </c>
      <c r="AD17" s="19">
        <v>11</v>
      </c>
      <c r="AE17" s="19">
        <v>11</v>
      </c>
      <c r="AF17" s="19" t="s">
        <v>316</v>
      </c>
      <c r="AG17" s="19" t="s">
        <v>316</v>
      </c>
      <c r="AH17" s="19">
        <v>11</v>
      </c>
      <c r="AI17" s="19">
        <v>11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11</v>
      </c>
      <c r="AP17" s="19"/>
      <c r="AQ17" s="19"/>
      <c r="AR17" s="19"/>
      <c r="AS17" s="19">
        <v>0</v>
      </c>
      <c r="AT17" s="19">
        <f t="shared" si="0"/>
        <v>72</v>
      </c>
      <c r="AU17" s="19">
        <f t="shared" si="1"/>
        <v>0</v>
      </c>
      <c r="AV17" s="19">
        <f t="shared" si="2"/>
        <v>11</v>
      </c>
      <c r="AW17" s="16">
        <f t="shared" si="3"/>
        <v>28</v>
      </c>
      <c r="AX17" s="16">
        <f t="shared" si="4"/>
        <v>2</v>
      </c>
      <c r="AY17" s="16">
        <f t="shared" si="5"/>
        <v>0</v>
      </c>
      <c r="AZ17" s="21">
        <v>1000</v>
      </c>
      <c r="BA17" s="21">
        <v>200</v>
      </c>
      <c r="BB17" s="21">
        <v>0</v>
      </c>
      <c r="BC17" s="19">
        <f t="shared" si="6"/>
        <v>933</v>
      </c>
      <c r="BD17" s="19">
        <f t="shared" si="7"/>
        <v>187</v>
      </c>
      <c r="BE17" s="19">
        <f t="shared" si="8"/>
        <v>444</v>
      </c>
      <c r="BF17" s="19">
        <f t="shared" si="9"/>
        <v>0</v>
      </c>
      <c r="BG17" s="19">
        <f t="shared" si="10"/>
        <v>0</v>
      </c>
      <c r="BH17" s="19">
        <f t="shared" si="11"/>
        <v>0</v>
      </c>
      <c r="BI17" s="19">
        <v>0</v>
      </c>
      <c r="BJ17" s="19">
        <f t="shared" si="12"/>
        <v>1564</v>
      </c>
      <c r="BK17" s="19">
        <v>0</v>
      </c>
      <c r="BL17" s="19">
        <v>0</v>
      </c>
      <c r="BM17" s="19">
        <f t="shared" si="13"/>
        <v>0</v>
      </c>
      <c r="BN17" s="19">
        <f t="shared" si="14"/>
        <v>1564</v>
      </c>
      <c r="BO17" s="19">
        <v>0</v>
      </c>
      <c r="BP17" s="19">
        <v>0</v>
      </c>
      <c r="BQ17" s="22">
        <f t="shared" si="15"/>
        <v>1564</v>
      </c>
      <c r="BR17" s="82">
        <f t="shared" si="16"/>
        <v>0</v>
      </c>
      <c r="BS17" s="19">
        <f t="shared" si="17"/>
        <v>0</v>
      </c>
      <c r="BT17" s="19">
        <f t="shared" si="18"/>
        <v>0</v>
      </c>
      <c r="BU17" s="19">
        <f t="shared" si="19"/>
        <v>0</v>
      </c>
      <c r="BV17" s="19">
        <f t="shared" si="20"/>
        <v>0</v>
      </c>
      <c r="BW17" s="19">
        <f t="shared" si="21"/>
        <v>0</v>
      </c>
      <c r="BX17" s="19">
        <f t="shared" si="22"/>
        <v>0</v>
      </c>
      <c r="BY17" s="19">
        <f t="shared" si="23"/>
        <v>0</v>
      </c>
      <c r="BZ17" s="19">
        <f t="shared" si="24"/>
        <v>0</v>
      </c>
      <c r="CA17" s="19">
        <f t="shared" si="25"/>
        <v>0</v>
      </c>
      <c r="CB17" s="19">
        <f t="shared" si="26"/>
        <v>24</v>
      </c>
      <c r="CC17" s="19">
        <f t="shared" si="27"/>
        <v>72</v>
      </c>
      <c r="CD17" s="19">
        <f t="shared" si="28"/>
        <v>0</v>
      </c>
      <c r="CE17" s="19">
        <f t="shared" si="29"/>
        <v>0</v>
      </c>
      <c r="CF17" s="19">
        <f t="shared" si="30"/>
        <v>0</v>
      </c>
      <c r="CG17" s="19">
        <f t="shared" si="31"/>
        <v>0</v>
      </c>
      <c r="CH17" s="19">
        <f t="shared" si="32"/>
        <v>0</v>
      </c>
      <c r="CI17" s="19">
        <f t="shared" si="33"/>
        <v>0</v>
      </c>
      <c r="CJ17" s="19">
        <f t="shared" si="34"/>
        <v>0</v>
      </c>
      <c r="CK17" s="19">
        <f t="shared" si="35"/>
        <v>0</v>
      </c>
      <c r="CL17" s="19">
        <f t="shared" si="36"/>
        <v>0</v>
      </c>
      <c r="CM17" s="19">
        <f t="shared" si="37"/>
        <v>0</v>
      </c>
      <c r="CN17" s="19">
        <f t="shared" si="38"/>
        <v>0</v>
      </c>
      <c r="CO17" s="19">
        <f t="shared" si="39"/>
        <v>0</v>
      </c>
      <c r="CP17" s="19">
        <f t="shared" si="40"/>
        <v>0</v>
      </c>
      <c r="CQ17" s="19">
        <f t="shared" si="41"/>
        <v>0</v>
      </c>
      <c r="CR17" s="19">
        <f t="shared" si="42"/>
        <v>0</v>
      </c>
      <c r="CS17" s="19">
        <f t="shared" si="43"/>
        <v>0</v>
      </c>
      <c r="CT17" s="19">
        <f t="shared" si="44"/>
        <v>0</v>
      </c>
      <c r="CU17" s="19">
        <f t="shared" si="45"/>
        <v>0</v>
      </c>
      <c r="CV17" s="19">
        <f t="shared" si="46"/>
        <v>0</v>
      </c>
      <c r="CW17" s="19">
        <f t="shared" si="47"/>
        <v>0</v>
      </c>
      <c r="CX17" s="19">
        <f t="shared" si="48"/>
        <v>0</v>
      </c>
      <c r="CY17" s="19">
        <f t="shared" si="49"/>
        <v>0</v>
      </c>
      <c r="CZ17" s="19">
        <f t="shared" si="50"/>
        <v>0</v>
      </c>
      <c r="DA17" s="19">
        <f t="shared" si="51"/>
        <v>0</v>
      </c>
      <c r="DB17" s="19">
        <f t="shared" si="52"/>
        <v>0</v>
      </c>
      <c r="DC17" s="19">
        <f t="shared" si="53"/>
        <v>0</v>
      </c>
      <c r="DD17" s="19">
        <f t="shared" si="54"/>
        <v>0</v>
      </c>
      <c r="DE17" s="19">
        <f t="shared" si="55"/>
        <v>0</v>
      </c>
      <c r="DF17" s="19">
        <f t="shared" si="56"/>
        <v>0</v>
      </c>
      <c r="DG17" s="19">
        <f t="shared" si="57"/>
        <v>0</v>
      </c>
      <c r="DH17" s="19">
        <f t="shared" si="58"/>
        <v>0</v>
      </c>
      <c r="DI17" s="19">
        <f t="shared" si="59"/>
        <v>0</v>
      </c>
      <c r="DJ17" s="19">
        <f t="shared" si="60"/>
        <v>0</v>
      </c>
      <c r="DK17" s="19">
        <f t="shared" si="61"/>
        <v>0</v>
      </c>
      <c r="DL17" s="19">
        <f t="shared" si="62"/>
        <v>0</v>
      </c>
      <c r="DM17" s="19">
        <f t="shared" si="63"/>
        <v>0</v>
      </c>
      <c r="DN17" s="19">
        <f t="shared" si="64"/>
        <v>0</v>
      </c>
      <c r="DO17" s="19">
        <f t="shared" si="65"/>
        <v>0</v>
      </c>
      <c r="DP17" s="19">
        <f t="shared" si="66"/>
        <v>0</v>
      </c>
      <c r="DQ17" s="19">
        <f t="shared" si="67"/>
        <v>0</v>
      </c>
      <c r="DR17" s="19">
        <f t="shared" si="68"/>
        <v>0</v>
      </c>
      <c r="DS17" s="19">
        <f t="shared" si="69"/>
        <v>0</v>
      </c>
      <c r="DT17" s="19">
        <f t="shared" si="70"/>
        <v>0</v>
      </c>
      <c r="DU17" s="19">
        <f t="shared" si="71"/>
        <v>0</v>
      </c>
      <c r="DV17" s="19">
        <f t="shared" si="72"/>
        <v>0</v>
      </c>
      <c r="DW17" s="19">
        <f t="shared" si="73"/>
        <v>0</v>
      </c>
      <c r="DX17" s="19">
        <f t="shared" si="74"/>
        <v>0</v>
      </c>
      <c r="DY17" s="19">
        <f t="shared" si="75"/>
        <v>0</v>
      </c>
      <c r="DZ17" s="19">
        <f t="shared" si="76"/>
        <v>0</v>
      </c>
      <c r="EA17" s="19">
        <f t="shared" si="77"/>
        <v>0</v>
      </c>
      <c r="EB17" s="19">
        <f t="shared" si="78"/>
        <v>0</v>
      </c>
      <c r="EC17" s="19">
        <f t="shared" si="79"/>
        <v>0</v>
      </c>
    </row>
    <row r="18" spans="1:134" s="78" customFormat="1" ht="18" customHeight="1" x14ac:dyDescent="0.25">
      <c r="A18" s="15">
        <v>15</v>
      </c>
      <c r="B18" s="122" t="s">
        <v>96</v>
      </c>
      <c r="C18" s="17" t="s">
        <v>97</v>
      </c>
      <c r="D18" s="16" t="s">
        <v>61</v>
      </c>
      <c r="E18" s="18">
        <v>44970</v>
      </c>
      <c r="F18" s="19">
        <v>9.5</v>
      </c>
      <c r="G18" s="19">
        <v>9.5</v>
      </c>
      <c r="H18" s="19">
        <v>9.5</v>
      </c>
      <c r="I18" s="19" t="s">
        <v>316</v>
      </c>
      <c r="J18" s="19" t="s">
        <v>316</v>
      </c>
      <c r="K18" s="19">
        <v>9.5</v>
      </c>
      <c r="L18" s="19" t="s">
        <v>316</v>
      </c>
      <c r="M18" s="19">
        <v>9.5</v>
      </c>
      <c r="N18" s="19">
        <v>9.5</v>
      </c>
      <c r="O18" s="19">
        <v>9.5</v>
      </c>
      <c r="P18" s="19">
        <v>9.5</v>
      </c>
      <c r="Q18" s="19">
        <v>9.5</v>
      </c>
      <c r="R18" s="19">
        <v>9.5</v>
      </c>
      <c r="S18" s="19" t="s">
        <v>15</v>
      </c>
      <c r="T18" s="19">
        <v>11</v>
      </c>
      <c r="U18" s="19">
        <v>11</v>
      </c>
      <c r="V18" s="19">
        <v>11</v>
      </c>
      <c r="W18" s="19">
        <v>11</v>
      </c>
      <c r="X18" s="19">
        <v>11</v>
      </c>
      <c r="Y18" s="19">
        <v>11</v>
      </c>
      <c r="Z18" s="19" t="s">
        <v>15</v>
      </c>
      <c r="AA18" s="19">
        <v>11</v>
      </c>
      <c r="AB18" s="19">
        <v>11</v>
      </c>
      <c r="AC18" s="19">
        <v>11</v>
      </c>
      <c r="AD18" s="19">
        <v>11</v>
      </c>
      <c r="AE18" s="19">
        <v>11</v>
      </c>
      <c r="AF18" s="19">
        <v>11</v>
      </c>
      <c r="AG18" s="19" t="s">
        <v>15</v>
      </c>
      <c r="AH18" s="19">
        <v>11</v>
      </c>
      <c r="AI18" s="19">
        <v>11</v>
      </c>
      <c r="AJ18" s="19">
        <v>10</v>
      </c>
      <c r="AK18" s="19">
        <v>10</v>
      </c>
      <c r="AL18" s="19">
        <v>11</v>
      </c>
      <c r="AM18" s="19">
        <v>11</v>
      </c>
      <c r="AN18" s="19">
        <v>0</v>
      </c>
      <c r="AO18" s="19">
        <v>9.5</v>
      </c>
      <c r="AP18" s="19"/>
      <c r="AQ18" s="19"/>
      <c r="AR18" s="19"/>
      <c r="AS18" s="19">
        <v>0</v>
      </c>
      <c r="AT18" s="19">
        <f t="shared" si="0"/>
        <v>57</v>
      </c>
      <c r="AU18" s="19">
        <f t="shared" si="1"/>
        <v>42</v>
      </c>
      <c r="AV18" s="19">
        <f t="shared" si="2"/>
        <v>9.5</v>
      </c>
      <c r="AW18" s="16">
        <f t="shared" si="3"/>
        <v>27</v>
      </c>
      <c r="AX18" s="16">
        <f t="shared" si="4"/>
        <v>3</v>
      </c>
      <c r="AY18" s="16">
        <f t="shared" si="5"/>
        <v>0</v>
      </c>
      <c r="AZ18" s="21">
        <v>1100</v>
      </c>
      <c r="BA18" s="21">
        <v>200</v>
      </c>
      <c r="BB18" s="21">
        <v>0</v>
      </c>
      <c r="BC18" s="19">
        <f t="shared" si="6"/>
        <v>990</v>
      </c>
      <c r="BD18" s="19">
        <f t="shared" si="7"/>
        <v>180</v>
      </c>
      <c r="BE18" s="19">
        <f t="shared" si="8"/>
        <v>681</v>
      </c>
      <c r="BF18" s="19">
        <f t="shared" si="9"/>
        <v>0</v>
      </c>
      <c r="BG18" s="19">
        <f t="shared" si="10"/>
        <v>0</v>
      </c>
      <c r="BH18" s="19">
        <f t="shared" si="11"/>
        <v>0</v>
      </c>
      <c r="BI18" s="19">
        <v>0</v>
      </c>
      <c r="BJ18" s="19">
        <f t="shared" si="12"/>
        <v>1851</v>
      </c>
      <c r="BK18" s="19">
        <v>0</v>
      </c>
      <c r="BL18" s="19">
        <v>0</v>
      </c>
      <c r="BM18" s="19">
        <f t="shared" si="13"/>
        <v>0</v>
      </c>
      <c r="BN18" s="19">
        <f t="shared" si="14"/>
        <v>1851</v>
      </c>
      <c r="BO18" s="19">
        <v>0</v>
      </c>
      <c r="BP18" s="19">
        <v>0</v>
      </c>
      <c r="BQ18" s="22">
        <f t="shared" si="15"/>
        <v>1851</v>
      </c>
      <c r="BR18" s="82">
        <f t="shared" si="16"/>
        <v>0</v>
      </c>
      <c r="BS18" s="19">
        <f t="shared" si="17"/>
        <v>0</v>
      </c>
      <c r="BT18" s="19">
        <f t="shared" si="18"/>
        <v>0</v>
      </c>
      <c r="BU18" s="19">
        <f t="shared" si="19"/>
        <v>0</v>
      </c>
      <c r="BV18" s="19">
        <f t="shared" si="20"/>
        <v>10</v>
      </c>
      <c r="BW18" s="19">
        <f t="shared" si="21"/>
        <v>15</v>
      </c>
      <c r="BX18" s="19">
        <f t="shared" si="22"/>
        <v>0</v>
      </c>
      <c r="BY18" s="19">
        <f t="shared" si="23"/>
        <v>0</v>
      </c>
      <c r="BZ18" s="19">
        <f t="shared" si="24"/>
        <v>0</v>
      </c>
      <c r="CA18" s="19">
        <f t="shared" si="25"/>
        <v>0</v>
      </c>
      <c r="CB18" s="19">
        <f t="shared" si="26"/>
        <v>14</v>
      </c>
      <c r="CC18" s="19">
        <f t="shared" si="27"/>
        <v>42</v>
      </c>
      <c r="CD18" s="19">
        <f t="shared" si="28"/>
        <v>0</v>
      </c>
      <c r="CE18" s="19">
        <f t="shared" si="29"/>
        <v>0</v>
      </c>
      <c r="CF18" s="19">
        <f t="shared" si="30"/>
        <v>0</v>
      </c>
      <c r="CG18" s="19">
        <f t="shared" si="31"/>
        <v>0</v>
      </c>
      <c r="CH18" s="19">
        <f t="shared" si="32"/>
        <v>0</v>
      </c>
      <c r="CI18" s="19">
        <f t="shared" si="33"/>
        <v>0</v>
      </c>
      <c r="CJ18" s="19">
        <f t="shared" si="34"/>
        <v>0</v>
      </c>
      <c r="CK18" s="19">
        <f t="shared" si="35"/>
        <v>0</v>
      </c>
      <c r="CL18" s="19">
        <f t="shared" si="36"/>
        <v>0</v>
      </c>
      <c r="CM18" s="19">
        <f t="shared" si="37"/>
        <v>0</v>
      </c>
      <c r="CN18" s="19">
        <f t="shared" si="38"/>
        <v>0</v>
      </c>
      <c r="CO18" s="19">
        <f t="shared" si="39"/>
        <v>0</v>
      </c>
      <c r="CP18" s="19">
        <f t="shared" si="40"/>
        <v>0</v>
      </c>
      <c r="CQ18" s="19">
        <f t="shared" si="41"/>
        <v>0</v>
      </c>
      <c r="CR18" s="19">
        <f t="shared" si="42"/>
        <v>0</v>
      </c>
      <c r="CS18" s="19">
        <f t="shared" si="43"/>
        <v>0</v>
      </c>
      <c r="CT18" s="19">
        <f t="shared" si="44"/>
        <v>0</v>
      </c>
      <c r="CU18" s="19">
        <f t="shared" si="45"/>
        <v>0</v>
      </c>
      <c r="CV18" s="19">
        <f t="shared" si="46"/>
        <v>0</v>
      </c>
      <c r="CW18" s="19">
        <f t="shared" si="47"/>
        <v>0</v>
      </c>
      <c r="CX18" s="19">
        <f t="shared" si="48"/>
        <v>0</v>
      </c>
      <c r="CY18" s="19">
        <f t="shared" si="49"/>
        <v>0</v>
      </c>
      <c r="CZ18" s="19">
        <f t="shared" si="50"/>
        <v>0</v>
      </c>
      <c r="DA18" s="19">
        <f t="shared" si="51"/>
        <v>0</v>
      </c>
      <c r="DB18" s="19">
        <f t="shared" si="52"/>
        <v>0</v>
      </c>
      <c r="DC18" s="19">
        <f t="shared" si="53"/>
        <v>0</v>
      </c>
      <c r="DD18" s="19">
        <f t="shared" si="54"/>
        <v>0</v>
      </c>
      <c r="DE18" s="19">
        <f t="shared" si="55"/>
        <v>0</v>
      </c>
      <c r="DF18" s="19">
        <f t="shared" si="56"/>
        <v>0</v>
      </c>
      <c r="DG18" s="19">
        <f t="shared" si="57"/>
        <v>0</v>
      </c>
      <c r="DH18" s="19">
        <f t="shared" si="58"/>
        <v>0</v>
      </c>
      <c r="DI18" s="19">
        <f t="shared" si="59"/>
        <v>0</v>
      </c>
      <c r="DJ18" s="19">
        <f t="shared" si="60"/>
        <v>0</v>
      </c>
      <c r="DK18" s="19">
        <f t="shared" si="61"/>
        <v>0</v>
      </c>
      <c r="DL18" s="19">
        <f t="shared" si="62"/>
        <v>0</v>
      </c>
      <c r="DM18" s="19">
        <f t="shared" si="63"/>
        <v>0</v>
      </c>
      <c r="DN18" s="19">
        <f t="shared" si="64"/>
        <v>0</v>
      </c>
      <c r="DO18" s="19">
        <f t="shared" si="65"/>
        <v>0</v>
      </c>
      <c r="DP18" s="19">
        <f t="shared" si="66"/>
        <v>0</v>
      </c>
      <c r="DQ18" s="19">
        <f t="shared" si="67"/>
        <v>0</v>
      </c>
      <c r="DR18" s="19">
        <f t="shared" si="68"/>
        <v>0</v>
      </c>
      <c r="DS18" s="19">
        <f t="shared" si="69"/>
        <v>0</v>
      </c>
      <c r="DT18" s="19">
        <f t="shared" si="70"/>
        <v>0</v>
      </c>
      <c r="DU18" s="19">
        <f t="shared" si="71"/>
        <v>0</v>
      </c>
      <c r="DV18" s="19">
        <f t="shared" si="72"/>
        <v>0</v>
      </c>
      <c r="DW18" s="19">
        <f t="shared" si="73"/>
        <v>0</v>
      </c>
      <c r="DX18" s="19">
        <f t="shared" si="74"/>
        <v>0</v>
      </c>
      <c r="DY18" s="19">
        <f t="shared" si="75"/>
        <v>0</v>
      </c>
      <c r="DZ18" s="19">
        <f t="shared" si="76"/>
        <v>0</v>
      </c>
      <c r="EA18" s="19">
        <f t="shared" si="77"/>
        <v>0</v>
      </c>
      <c r="EB18" s="19">
        <f t="shared" si="78"/>
        <v>0</v>
      </c>
      <c r="EC18" s="19">
        <f t="shared" si="79"/>
        <v>0</v>
      </c>
    </row>
    <row r="19" spans="1:134" s="78" customFormat="1" ht="18" customHeight="1" x14ac:dyDescent="0.25">
      <c r="A19" s="15">
        <v>16</v>
      </c>
      <c r="B19" s="122" t="s">
        <v>98</v>
      </c>
      <c r="C19" s="17" t="s">
        <v>99</v>
      </c>
      <c r="D19" s="16" t="s">
        <v>61</v>
      </c>
      <c r="E19" s="18">
        <v>45022</v>
      </c>
      <c r="F19" s="19">
        <v>10</v>
      </c>
      <c r="G19" s="19">
        <v>10</v>
      </c>
      <c r="H19" s="19">
        <v>10</v>
      </c>
      <c r="I19" s="19">
        <v>10</v>
      </c>
      <c r="J19" s="19" t="s">
        <v>603</v>
      </c>
      <c r="K19" s="19">
        <v>10</v>
      </c>
      <c r="L19" s="19" t="s">
        <v>15</v>
      </c>
      <c r="M19" s="19">
        <v>10</v>
      </c>
      <c r="N19" s="19">
        <v>10</v>
      </c>
      <c r="O19" s="19">
        <v>10</v>
      </c>
      <c r="P19" s="19">
        <v>10</v>
      </c>
      <c r="Q19" s="19">
        <v>10</v>
      </c>
      <c r="R19" s="19">
        <v>10</v>
      </c>
      <c r="S19" s="19" t="s">
        <v>15</v>
      </c>
      <c r="T19" s="19">
        <v>10</v>
      </c>
      <c r="U19" s="19">
        <v>10</v>
      </c>
      <c r="V19" s="19">
        <v>10</v>
      </c>
      <c r="W19" s="19">
        <v>10</v>
      </c>
      <c r="X19" s="19">
        <v>10</v>
      </c>
      <c r="Y19" s="19">
        <v>10</v>
      </c>
      <c r="Z19" s="19" t="s">
        <v>15</v>
      </c>
      <c r="AA19" s="19">
        <v>10</v>
      </c>
      <c r="AB19" s="19">
        <v>10.5</v>
      </c>
      <c r="AC19" s="19">
        <v>10.5</v>
      </c>
      <c r="AD19" s="19">
        <v>10</v>
      </c>
      <c r="AE19" s="19">
        <v>10</v>
      </c>
      <c r="AF19" s="19">
        <v>10</v>
      </c>
      <c r="AG19" s="19" t="s">
        <v>15</v>
      </c>
      <c r="AH19" s="19">
        <v>10</v>
      </c>
      <c r="AI19" s="19">
        <v>10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/>
      <c r="AQ19" s="19"/>
      <c r="AR19" s="19"/>
      <c r="AS19" s="19">
        <v>0</v>
      </c>
      <c r="AT19" s="19">
        <f t="shared" si="0"/>
        <v>51</v>
      </c>
      <c r="AU19" s="19">
        <f t="shared" si="1"/>
        <v>0</v>
      </c>
      <c r="AV19" s="19">
        <f t="shared" si="2"/>
        <v>0</v>
      </c>
      <c r="AW19" s="16">
        <f t="shared" si="3"/>
        <v>30</v>
      </c>
      <c r="AX19" s="16">
        <f t="shared" si="4"/>
        <v>0</v>
      </c>
      <c r="AY19" s="16">
        <f t="shared" si="5"/>
        <v>0</v>
      </c>
      <c r="AZ19" s="21">
        <v>1300</v>
      </c>
      <c r="BA19" s="21">
        <v>100</v>
      </c>
      <c r="BB19" s="21">
        <v>0</v>
      </c>
      <c r="BC19" s="19">
        <f t="shared" si="6"/>
        <v>1300</v>
      </c>
      <c r="BD19" s="19">
        <f t="shared" si="7"/>
        <v>100</v>
      </c>
      <c r="BE19" s="19">
        <f t="shared" si="8"/>
        <v>345</v>
      </c>
      <c r="BF19" s="19">
        <f t="shared" si="9"/>
        <v>0</v>
      </c>
      <c r="BG19" s="19">
        <f t="shared" si="10"/>
        <v>0</v>
      </c>
      <c r="BH19" s="19">
        <f t="shared" si="11"/>
        <v>0</v>
      </c>
      <c r="BI19" s="19">
        <v>95</v>
      </c>
      <c r="BJ19" s="19">
        <f t="shared" si="12"/>
        <v>1840</v>
      </c>
      <c r="BK19" s="19">
        <v>0</v>
      </c>
      <c r="BL19" s="19">
        <v>0</v>
      </c>
      <c r="BM19" s="19">
        <f t="shared" si="13"/>
        <v>0</v>
      </c>
      <c r="BN19" s="19">
        <f t="shared" si="14"/>
        <v>1840</v>
      </c>
      <c r="BO19" s="19">
        <v>0</v>
      </c>
      <c r="BP19" s="19">
        <v>0</v>
      </c>
      <c r="BQ19" s="22">
        <f t="shared" si="15"/>
        <v>1840</v>
      </c>
      <c r="BR19" s="82">
        <f t="shared" si="16"/>
        <v>0</v>
      </c>
      <c r="BS19" s="19">
        <f t="shared" si="17"/>
        <v>0</v>
      </c>
      <c r="BT19" s="19">
        <f t="shared" si="18"/>
        <v>0</v>
      </c>
      <c r="BU19" s="19">
        <f t="shared" si="19"/>
        <v>0</v>
      </c>
      <c r="BV19" s="19">
        <f t="shared" si="20"/>
        <v>0</v>
      </c>
      <c r="BW19" s="19">
        <f t="shared" si="21"/>
        <v>0</v>
      </c>
      <c r="BX19" s="19">
        <f t="shared" si="22"/>
        <v>23</v>
      </c>
      <c r="BY19" s="19">
        <f t="shared" si="23"/>
        <v>46</v>
      </c>
      <c r="BZ19" s="19">
        <f t="shared" si="24"/>
        <v>2</v>
      </c>
      <c r="CA19" s="19">
        <f t="shared" si="25"/>
        <v>5</v>
      </c>
      <c r="CB19" s="19">
        <f t="shared" si="26"/>
        <v>0</v>
      </c>
      <c r="CC19" s="19">
        <f t="shared" si="27"/>
        <v>0</v>
      </c>
      <c r="CD19" s="19">
        <f t="shared" si="28"/>
        <v>0</v>
      </c>
      <c r="CE19" s="19">
        <f t="shared" si="29"/>
        <v>0</v>
      </c>
      <c r="CF19" s="19">
        <f t="shared" si="30"/>
        <v>0</v>
      </c>
      <c r="CG19" s="19">
        <f t="shared" si="31"/>
        <v>0</v>
      </c>
      <c r="CH19" s="19">
        <f t="shared" si="32"/>
        <v>0</v>
      </c>
      <c r="CI19" s="19">
        <f t="shared" si="33"/>
        <v>0</v>
      </c>
      <c r="CJ19" s="19">
        <f t="shared" si="34"/>
        <v>0</v>
      </c>
      <c r="CK19" s="19">
        <f t="shared" si="35"/>
        <v>0</v>
      </c>
      <c r="CL19" s="19">
        <f t="shared" si="36"/>
        <v>0</v>
      </c>
      <c r="CM19" s="19">
        <f t="shared" si="37"/>
        <v>0</v>
      </c>
      <c r="CN19" s="19">
        <f t="shared" si="38"/>
        <v>0</v>
      </c>
      <c r="CO19" s="19">
        <f t="shared" si="39"/>
        <v>0</v>
      </c>
      <c r="CP19" s="19">
        <f t="shared" si="40"/>
        <v>0</v>
      </c>
      <c r="CQ19" s="19">
        <f t="shared" si="41"/>
        <v>0</v>
      </c>
      <c r="CR19" s="19">
        <f t="shared" si="42"/>
        <v>0</v>
      </c>
      <c r="CS19" s="19">
        <f t="shared" si="43"/>
        <v>0</v>
      </c>
      <c r="CT19" s="19">
        <f t="shared" si="44"/>
        <v>0</v>
      </c>
      <c r="CU19" s="19">
        <f t="shared" si="45"/>
        <v>0</v>
      </c>
      <c r="CV19" s="19">
        <f t="shared" si="46"/>
        <v>0</v>
      </c>
      <c r="CW19" s="19">
        <f t="shared" si="47"/>
        <v>0</v>
      </c>
      <c r="CX19" s="19">
        <f t="shared" si="48"/>
        <v>0</v>
      </c>
      <c r="CY19" s="19">
        <f t="shared" si="49"/>
        <v>0</v>
      </c>
      <c r="CZ19" s="19">
        <f t="shared" si="50"/>
        <v>0</v>
      </c>
      <c r="DA19" s="19">
        <f t="shared" si="51"/>
        <v>0</v>
      </c>
      <c r="DB19" s="19">
        <f t="shared" si="52"/>
        <v>0</v>
      </c>
      <c r="DC19" s="19">
        <f t="shared" si="53"/>
        <v>0</v>
      </c>
      <c r="DD19" s="19">
        <f t="shared" si="54"/>
        <v>0</v>
      </c>
      <c r="DE19" s="19">
        <f t="shared" si="55"/>
        <v>0</v>
      </c>
      <c r="DF19" s="19">
        <f t="shared" si="56"/>
        <v>0</v>
      </c>
      <c r="DG19" s="19">
        <f t="shared" si="57"/>
        <v>0</v>
      </c>
      <c r="DH19" s="19">
        <f t="shared" si="58"/>
        <v>0</v>
      </c>
      <c r="DI19" s="19">
        <f t="shared" si="59"/>
        <v>0</v>
      </c>
      <c r="DJ19" s="19">
        <f t="shared" si="60"/>
        <v>0</v>
      </c>
      <c r="DK19" s="19">
        <f t="shared" si="61"/>
        <v>0</v>
      </c>
      <c r="DL19" s="19">
        <f t="shared" si="62"/>
        <v>0</v>
      </c>
      <c r="DM19" s="19">
        <f t="shared" si="63"/>
        <v>0</v>
      </c>
      <c r="DN19" s="19">
        <f t="shared" si="64"/>
        <v>0</v>
      </c>
      <c r="DO19" s="19">
        <f t="shared" si="65"/>
        <v>0</v>
      </c>
      <c r="DP19" s="19">
        <f t="shared" si="66"/>
        <v>0</v>
      </c>
      <c r="DQ19" s="19">
        <f t="shared" si="67"/>
        <v>0</v>
      </c>
      <c r="DR19" s="19">
        <f t="shared" si="68"/>
        <v>0</v>
      </c>
      <c r="DS19" s="19">
        <f t="shared" si="69"/>
        <v>0</v>
      </c>
      <c r="DT19" s="19">
        <f t="shared" si="70"/>
        <v>0</v>
      </c>
      <c r="DU19" s="19">
        <f t="shared" si="71"/>
        <v>0</v>
      </c>
      <c r="DV19" s="19">
        <f t="shared" si="72"/>
        <v>0</v>
      </c>
      <c r="DW19" s="19">
        <f t="shared" si="73"/>
        <v>0</v>
      </c>
      <c r="DX19" s="19">
        <f t="shared" si="74"/>
        <v>0</v>
      </c>
      <c r="DY19" s="19">
        <f t="shared" si="75"/>
        <v>0</v>
      </c>
      <c r="DZ19" s="19">
        <f t="shared" si="76"/>
        <v>0</v>
      </c>
      <c r="EA19" s="19">
        <f t="shared" si="77"/>
        <v>0</v>
      </c>
      <c r="EB19" s="19">
        <f t="shared" si="78"/>
        <v>0</v>
      </c>
      <c r="EC19" s="19">
        <f t="shared" si="79"/>
        <v>0</v>
      </c>
    </row>
    <row r="20" spans="1:134" s="78" customFormat="1" ht="18" customHeight="1" x14ac:dyDescent="0.25">
      <c r="A20" s="15">
        <v>17</v>
      </c>
      <c r="B20" s="123" t="s">
        <v>102</v>
      </c>
      <c r="C20" s="104" t="s">
        <v>103</v>
      </c>
      <c r="D20" s="103" t="s">
        <v>61</v>
      </c>
      <c r="E20" s="18">
        <v>45031</v>
      </c>
      <c r="F20" s="19">
        <v>11</v>
      </c>
      <c r="G20" s="19">
        <v>11</v>
      </c>
      <c r="H20" s="19">
        <v>11</v>
      </c>
      <c r="I20" s="19">
        <v>11</v>
      </c>
      <c r="J20" s="19" t="s">
        <v>603</v>
      </c>
      <c r="K20" s="19">
        <v>11</v>
      </c>
      <c r="L20" s="19" t="s">
        <v>15</v>
      </c>
      <c r="M20" s="19">
        <v>11</v>
      </c>
      <c r="N20" s="19">
        <v>11</v>
      </c>
      <c r="O20" s="19">
        <v>11</v>
      </c>
      <c r="P20" s="19">
        <v>11</v>
      </c>
      <c r="Q20" s="19">
        <v>11</v>
      </c>
      <c r="R20" s="19">
        <v>11</v>
      </c>
      <c r="S20" s="19" t="s">
        <v>15</v>
      </c>
      <c r="T20" s="19">
        <v>11</v>
      </c>
      <c r="U20" s="19">
        <v>11</v>
      </c>
      <c r="V20" s="19">
        <v>11</v>
      </c>
      <c r="W20" s="19">
        <v>11</v>
      </c>
      <c r="X20" s="19">
        <v>11</v>
      </c>
      <c r="Y20" s="19">
        <v>11</v>
      </c>
      <c r="Z20" s="19" t="s">
        <v>15</v>
      </c>
      <c r="AA20" s="19">
        <v>11</v>
      </c>
      <c r="AB20" s="19">
        <v>11</v>
      </c>
      <c r="AC20" s="19">
        <v>11</v>
      </c>
      <c r="AD20" s="19">
        <v>11</v>
      </c>
      <c r="AE20" s="19">
        <v>11</v>
      </c>
      <c r="AF20" s="19">
        <v>11</v>
      </c>
      <c r="AG20" s="19" t="s">
        <v>15</v>
      </c>
      <c r="AH20" s="19">
        <v>11</v>
      </c>
      <c r="AI20" s="19">
        <v>11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11</v>
      </c>
      <c r="AP20" s="19"/>
      <c r="AQ20" s="19"/>
      <c r="AR20" s="19"/>
      <c r="AS20" s="19">
        <v>0</v>
      </c>
      <c r="AT20" s="19">
        <f t="shared" si="0"/>
        <v>75</v>
      </c>
      <c r="AU20" s="19">
        <f t="shared" si="1"/>
        <v>0</v>
      </c>
      <c r="AV20" s="19">
        <f t="shared" si="2"/>
        <v>11</v>
      </c>
      <c r="AW20" s="16">
        <f t="shared" si="3"/>
        <v>30</v>
      </c>
      <c r="AX20" s="16">
        <f t="shared" si="4"/>
        <v>0</v>
      </c>
      <c r="AY20" s="16">
        <f t="shared" si="5"/>
        <v>0</v>
      </c>
      <c r="AZ20" s="21">
        <v>1000</v>
      </c>
      <c r="BA20" s="21">
        <v>100</v>
      </c>
      <c r="BB20" s="21">
        <v>0</v>
      </c>
      <c r="BC20" s="19">
        <f t="shared" si="6"/>
        <v>1000</v>
      </c>
      <c r="BD20" s="19">
        <f t="shared" si="7"/>
        <v>100</v>
      </c>
      <c r="BE20" s="19">
        <f t="shared" si="8"/>
        <v>459</v>
      </c>
      <c r="BF20" s="19">
        <f t="shared" si="9"/>
        <v>0</v>
      </c>
      <c r="BG20" s="19">
        <f t="shared" si="10"/>
        <v>0</v>
      </c>
      <c r="BH20" s="19">
        <f t="shared" si="11"/>
        <v>0</v>
      </c>
      <c r="BI20" s="19">
        <v>95</v>
      </c>
      <c r="BJ20" s="19">
        <f t="shared" si="12"/>
        <v>1654</v>
      </c>
      <c r="BK20" s="19">
        <v>0</v>
      </c>
      <c r="BL20" s="19">
        <v>0</v>
      </c>
      <c r="BM20" s="19">
        <f t="shared" si="13"/>
        <v>0</v>
      </c>
      <c r="BN20" s="19">
        <f t="shared" si="14"/>
        <v>1654</v>
      </c>
      <c r="BO20" s="19">
        <v>0</v>
      </c>
      <c r="BP20" s="19">
        <v>0</v>
      </c>
      <c r="BQ20" s="22">
        <f t="shared" si="15"/>
        <v>1654</v>
      </c>
      <c r="BR20" s="82">
        <f t="shared" si="16"/>
        <v>0</v>
      </c>
      <c r="BS20" s="19">
        <f t="shared" si="17"/>
        <v>0</v>
      </c>
      <c r="BT20" s="19">
        <f t="shared" si="18"/>
        <v>0</v>
      </c>
      <c r="BU20" s="19">
        <f t="shared" si="19"/>
        <v>0</v>
      </c>
      <c r="BV20" s="19">
        <f t="shared" si="20"/>
        <v>0</v>
      </c>
      <c r="BW20" s="19">
        <f t="shared" si="21"/>
        <v>0</v>
      </c>
      <c r="BX20" s="19">
        <f t="shared" si="22"/>
        <v>0</v>
      </c>
      <c r="BY20" s="19">
        <f t="shared" si="23"/>
        <v>0</v>
      </c>
      <c r="BZ20" s="19">
        <f t="shared" si="24"/>
        <v>0</v>
      </c>
      <c r="CA20" s="19">
        <f t="shared" si="25"/>
        <v>0</v>
      </c>
      <c r="CB20" s="19">
        <f t="shared" si="26"/>
        <v>25</v>
      </c>
      <c r="CC20" s="19">
        <f t="shared" si="27"/>
        <v>75</v>
      </c>
      <c r="CD20" s="19">
        <f t="shared" si="28"/>
        <v>0</v>
      </c>
      <c r="CE20" s="19">
        <f t="shared" si="29"/>
        <v>0</v>
      </c>
      <c r="CF20" s="19">
        <f t="shared" si="30"/>
        <v>0</v>
      </c>
      <c r="CG20" s="19">
        <f t="shared" si="31"/>
        <v>0</v>
      </c>
      <c r="CH20" s="19">
        <f t="shared" si="32"/>
        <v>0</v>
      </c>
      <c r="CI20" s="19">
        <f t="shared" si="33"/>
        <v>0</v>
      </c>
      <c r="CJ20" s="19">
        <f t="shared" si="34"/>
        <v>0</v>
      </c>
      <c r="CK20" s="19">
        <f t="shared" si="35"/>
        <v>0</v>
      </c>
      <c r="CL20" s="19">
        <f t="shared" si="36"/>
        <v>0</v>
      </c>
      <c r="CM20" s="19">
        <f t="shared" si="37"/>
        <v>0</v>
      </c>
      <c r="CN20" s="19">
        <f t="shared" si="38"/>
        <v>0</v>
      </c>
      <c r="CO20" s="19">
        <f t="shared" si="39"/>
        <v>0</v>
      </c>
      <c r="CP20" s="19">
        <f t="shared" si="40"/>
        <v>0</v>
      </c>
      <c r="CQ20" s="19">
        <f t="shared" si="41"/>
        <v>0</v>
      </c>
      <c r="CR20" s="19">
        <f t="shared" si="42"/>
        <v>0</v>
      </c>
      <c r="CS20" s="19">
        <f t="shared" si="43"/>
        <v>0</v>
      </c>
      <c r="CT20" s="19">
        <f t="shared" si="44"/>
        <v>0</v>
      </c>
      <c r="CU20" s="19">
        <f t="shared" si="45"/>
        <v>0</v>
      </c>
      <c r="CV20" s="19">
        <f t="shared" si="46"/>
        <v>0</v>
      </c>
      <c r="CW20" s="19">
        <f t="shared" si="47"/>
        <v>0</v>
      </c>
      <c r="CX20" s="19">
        <f t="shared" si="48"/>
        <v>0</v>
      </c>
      <c r="CY20" s="19">
        <f t="shared" si="49"/>
        <v>0</v>
      </c>
      <c r="CZ20" s="19">
        <f t="shared" si="50"/>
        <v>0</v>
      </c>
      <c r="DA20" s="19">
        <f t="shared" si="51"/>
        <v>0</v>
      </c>
      <c r="DB20" s="19">
        <f t="shared" si="52"/>
        <v>0</v>
      </c>
      <c r="DC20" s="19">
        <f t="shared" si="53"/>
        <v>0</v>
      </c>
      <c r="DD20" s="19">
        <f t="shared" si="54"/>
        <v>0</v>
      </c>
      <c r="DE20" s="19">
        <f t="shared" si="55"/>
        <v>0</v>
      </c>
      <c r="DF20" s="19">
        <f t="shared" si="56"/>
        <v>0</v>
      </c>
      <c r="DG20" s="19">
        <f t="shared" si="57"/>
        <v>0</v>
      </c>
      <c r="DH20" s="19">
        <f t="shared" si="58"/>
        <v>0</v>
      </c>
      <c r="DI20" s="19">
        <f t="shared" si="59"/>
        <v>0</v>
      </c>
      <c r="DJ20" s="19">
        <f t="shared" si="60"/>
        <v>0</v>
      </c>
      <c r="DK20" s="19">
        <f t="shared" si="61"/>
        <v>0</v>
      </c>
      <c r="DL20" s="19">
        <f t="shared" si="62"/>
        <v>0</v>
      </c>
      <c r="DM20" s="19">
        <f t="shared" si="63"/>
        <v>0</v>
      </c>
      <c r="DN20" s="19">
        <f t="shared" si="64"/>
        <v>0</v>
      </c>
      <c r="DO20" s="19">
        <f t="shared" si="65"/>
        <v>0</v>
      </c>
      <c r="DP20" s="19">
        <f t="shared" si="66"/>
        <v>0</v>
      </c>
      <c r="DQ20" s="19">
        <f t="shared" si="67"/>
        <v>0</v>
      </c>
      <c r="DR20" s="19">
        <f t="shared" si="68"/>
        <v>0</v>
      </c>
      <c r="DS20" s="19">
        <f t="shared" si="69"/>
        <v>0</v>
      </c>
      <c r="DT20" s="19">
        <f t="shared" si="70"/>
        <v>0</v>
      </c>
      <c r="DU20" s="19">
        <f t="shared" si="71"/>
        <v>0</v>
      </c>
      <c r="DV20" s="19">
        <f t="shared" si="72"/>
        <v>0</v>
      </c>
      <c r="DW20" s="19">
        <f t="shared" si="73"/>
        <v>0</v>
      </c>
      <c r="DX20" s="19">
        <f t="shared" si="74"/>
        <v>0</v>
      </c>
      <c r="DY20" s="19">
        <f t="shared" si="75"/>
        <v>0</v>
      </c>
      <c r="DZ20" s="19">
        <f t="shared" si="76"/>
        <v>0</v>
      </c>
      <c r="EA20" s="19">
        <f t="shared" si="77"/>
        <v>0</v>
      </c>
      <c r="EB20" s="19">
        <f t="shared" si="78"/>
        <v>0</v>
      </c>
      <c r="EC20" s="19">
        <f t="shared" si="79"/>
        <v>0</v>
      </c>
      <c r="ED20" s="106" t="s">
        <v>474</v>
      </c>
    </row>
    <row r="21" spans="1:134" s="78" customFormat="1" ht="18" customHeight="1" x14ac:dyDescent="0.25">
      <c r="A21" s="15">
        <v>18</v>
      </c>
      <c r="B21" s="122" t="s">
        <v>155</v>
      </c>
      <c r="C21" s="17" t="s">
        <v>104</v>
      </c>
      <c r="D21" s="16" t="s">
        <v>61</v>
      </c>
      <c r="E21" s="18">
        <v>45052</v>
      </c>
      <c r="F21" s="19">
        <v>10</v>
      </c>
      <c r="G21" s="19">
        <v>10</v>
      </c>
      <c r="H21" s="19">
        <v>10</v>
      </c>
      <c r="I21" s="19">
        <v>10</v>
      </c>
      <c r="J21" s="19" t="s">
        <v>603</v>
      </c>
      <c r="K21" s="19">
        <v>10</v>
      </c>
      <c r="L21" s="19" t="s">
        <v>15</v>
      </c>
      <c r="M21" s="19">
        <v>10</v>
      </c>
      <c r="N21" s="19">
        <v>10</v>
      </c>
      <c r="O21" s="19">
        <v>10</v>
      </c>
      <c r="P21" s="19">
        <v>10</v>
      </c>
      <c r="Q21" s="19">
        <v>10</v>
      </c>
      <c r="R21" s="19">
        <v>10</v>
      </c>
      <c r="S21" s="19" t="s">
        <v>15</v>
      </c>
      <c r="T21" s="19">
        <v>10</v>
      </c>
      <c r="U21" s="19">
        <v>10</v>
      </c>
      <c r="V21" s="19">
        <v>10</v>
      </c>
      <c r="W21" s="19">
        <v>10</v>
      </c>
      <c r="X21" s="19">
        <v>10</v>
      </c>
      <c r="Y21" s="19">
        <v>10</v>
      </c>
      <c r="Z21" s="19" t="s">
        <v>15</v>
      </c>
      <c r="AA21" s="19">
        <v>10</v>
      </c>
      <c r="AB21" s="19">
        <v>10</v>
      </c>
      <c r="AC21" s="19">
        <v>10</v>
      </c>
      <c r="AD21" s="19">
        <v>10</v>
      </c>
      <c r="AE21" s="19">
        <v>10</v>
      </c>
      <c r="AF21" s="19">
        <v>10</v>
      </c>
      <c r="AG21" s="19" t="s">
        <v>15</v>
      </c>
      <c r="AH21" s="19">
        <v>10</v>
      </c>
      <c r="AI21" s="19">
        <v>10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/>
      <c r="AQ21" s="19"/>
      <c r="AR21" s="19"/>
      <c r="AS21" s="19">
        <v>0</v>
      </c>
      <c r="AT21" s="19">
        <f t="shared" si="0"/>
        <v>50</v>
      </c>
      <c r="AU21" s="19">
        <f t="shared" si="1"/>
        <v>0</v>
      </c>
      <c r="AV21" s="19">
        <f t="shared" si="2"/>
        <v>0</v>
      </c>
      <c r="AW21" s="16">
        <f t="shared" si="3"/>
        <v>30</v>
      </c>
      <c r="AX21" s="16">
        <f t="shared" si="4"/>
        <v>0</v>
      </c>
      <c r="AY21" s="16">
        <f t="shared" si="5"/>
        <v>0</v>
      </c>
      <c r="AZ21" s="21">
        <v>1100</v>
      </c>
      <c r="BA21" s="21">
        <v>100</v>
      </c>
      <c r="BB21" s="21">
        <v>0</v>
      </c>
      <c r="BC21" s="19">
        <f t="shared" si="6"/>
        <v>1100</v>
      </c>
      <c r="BD21" s="19">
        <f t="shared" si="7"/>
        <v>100</v>
      </c>
      <c r="BE21" s="19">
        <f t="shared" si="8"/>
        <v>286</v>
      </c>
      <c r="BF21" s="19">
        <f t="shared" si="9"/>
        <v>0</v>
      </c>
      <c r="BG21" s="19">
        <f t="shared" si="10"/>
        <v>0</v>
      </c>
      <c r="BH21" s="19">
        <f t="shared" si="11"/>
        <v>0</v>
      </c>
      <c r="BI21" s="19">
        <v>95</v>
      </c>
      <c r="BJ21" s="19">
        <f t="shared" si="12"/>
        <v>1581</v>
      </c>
      <c r="BK21" s="19">
        <v>0</v>
      </c>
      <c r="BL21" s="19">
        <v>0</v>
      </c>
      <c r="BM21" s="19">
        <f t="shared" si="13"/>
        <v>0</v>
      </c>
      <c r="BN21" s="19">
        <f t="shared" si="14"/>
        <v>1581</v>
      </c>
      <c r="BO21" s="19">
        <v>0</v>
      </c>
      <c r="BP21" s="19">
        <v>0</v>
      </c>
      <c r="BQ21" s="22">
        <f t="shared" si="15"/>
        <v>1581</v>
      </c>
      <c r="BR21" s="82">
        <f t="shared" si="16"/>
        <v>0</v>
      </c>
      <c r="BS21" s="19">
        <f t="shared" si="17"/>
        <v>0</v>
      </c>
      <c r="BT21" s="19">
        <f t="shared" si="18"/>
        <v>0</v>
      </c>
      <c r="BU21" s="19">
        <f t="shared" si="19"/>
        <v>0</v>
      </c>
      <c r="BV21" s="19">
        <f t="shared" si="20"/>
        <v>0</v>
      </c>
      <c r="BW21" s="19">
        <f t="shared" si="21"/>
        <v>0</v>
      </c>
      <c r="BX21" s="19">
        <f t="shared" si="22"/>
        <v>25</v>
      </c>
      <c r="BY21" s="19">
        <f t="shared" si="23"/>
        <v>50</v>
      </c>
      <c r="BZ21" s="19">
        <f t="shared" si="24"/>
        <v>0</v>
      </c>
      <c r="CA21" s="19">
        <f t="shared" si="25"/>
        <v>0</v>
      </c>
      <c r="CB21" s="19">
        <f t="shared" si="26"/>
        <v>0</v>
      </c>
      <c r="CC21" s="19">
        <f t="shared" si="27"/>
        <v>0</v>
      </c>
      <c r="CD21" s="19">
        <f t="shared" si="28"/>
        <v>0</v>
      </c>
      <c r="CE21" s="19">
        <f t="shared" si="29"/>
        <v>0</v>
      </c>
      <c r="CF21" s="19">
        <f t="shared" si="30"/>
        <v>0</v>
      </c>
      <c r="CG21" s="19">
        <f t="shared" si="31"/>
        <v>0</v>
      </c>
      <c r="CH21" s="19">
        <f t="shared" si="32"/>
        <v>0</v>
      </c>
      <c r="CI21" s="19">
        <f t="shared" si="33"/>
        <v>0</v>
      </c>
      <c r="CJ21" s="19">
        <f t="shared" si="34"/>
        <v>0</v>
      </c>
      <c r="CK21" s="19">
        <f t="shared" si="35"/>
        <v>0</v>
      </c>
      <c r="CL21" s="19">
        <f t="shared" si="36"/>
        <v>0</v>
      </c>
      <c r="CM21" s="19">
        <f t="shared" si="37"/>
        <v>0</v>
      </c>
      <c r="CN21" s="19">
        <f t="shared" si="38"/>
        <v>0</v>
      </c>
      <c r="CO21" s="19">
        <f t="shared" si="39"/>
        <v>0</v>
      </c>
      <c r="CP21" s="19">
        <f t="shared" si="40"/>
        <v>0</v>
      </c>
      <c r="CQ21" s="19">
        <f t="shared" si="41"/>
        <v>0</v>
      </c>
      <c r="CR21" s="19">
        <f t="shared" si="42"/>
        <v>0</v>
      </c>
      <c r="CS21" s="19">
        <f t="shared" si="43"/>
        <v>0</v>
      </c>
      <c r="CT21" s="19">
        <f t="shared" si="44"/>
        <v>0</v>
      </c>
      <c r="CU21" s="19">
        <f t="shared" si="45"/>
        <v>0</v>
      </c>
      <c r="CV21" s="19">
        <f t="shared" si="46"/>
        <v>0</v>
      </c>
      <c r="CW21" s="19">
        <f t="shared" si="47"/>
        <v>0</v>
      </c>
      <c r="CX21" s="19">
        <f t="shared" si="48"/>
        <v>0</v>
      </c>
      <c r="CY21" s="19">
        <f t="shared" si="49"/>
        <v>0</v>
      </c>
      <c r="CZ21" s="19">
        <f t="shared" si="50"/>
        <v>0</v>
      </c>
      <c r="DA21" s="19">
        <f t="shared" si="51"/>
        <v>0</v>
      </c>
      <c r="DB21" s="19">
        <f t="shared" si="52"/>
        <v>0</v>
      </c>
      <c r="DC21" s="19">
        <f t="shared" si="53"/>
        <v>0</v>
      </c>
      <c r="DD21" s="19">
        <f t="shared" si="54"/>
        <v>0</v>
      </c>
      <c r="DE21" s="19">
        <f t="shared" si="55"/>
        <v>0</v>
      </c>
      <c r="DF21" s="19">
        <f t="shared" si="56"/>
        <v>0</v>
      </c>
      <c r="DG21" s="19">
        <f t="shared" si="57"/>
        <v>0</v>
      </c>
      <c r="DH21" s="19">
        <f t="shared" si="58"/>
        <v>0</v>
      </c>
      <c r="DI21" s="19">
        <f t="shared" si="59"/>
        <v>0</v>
      </c>
      <c r="DJ21" s="19">
        <f t="shared" si="60"/>
        <v>0</v>
      </c>
      <c r="DK21" s="19">
        <f t="shared" si="61"/>
        <v>0</v>
      </c>
      <c r="DL21" s="19">
        <f t="shared" si="62"/>
        <v>0</v>
      </c>
      <c r="DM21" s="19">
        <f t="shared" si="63"/>
        <v>0</v>
      </c>
      <c r="DN21" s="19">
        <f t="shared" si="64"/>
        <v>0</v>
      </c>
      <c r="DO21" s="19">
        <f t="shared" si="65"/>
        <v>0</v>
      </c>
      <c r="DP21" s="19">
        <f t="shared" si="66"/>
        <v>0</v>
      </c>
      <c r="DQ21" s="19">
        <f t="shared" si="67"/>
        <v>0</v>
      </c>
      <c r="DR21" s="19">
        <f t="shared" si="68"/>
        <v>0</v>
      </c>
      <c r="DS21" s="19">
        <f t="shared" si="69"/>
        <v>0</v>
      </c>
      <c r="DT21" s="19">
        <f t="shared" si="70"/>
        <v>0</v>
      </c>
      <c r="DU21" s="19">
        <f t="shared" si="71"/>
        <v>0</v>
      </c>
      <c r="DV21" s="19">
        <f t="shared" si="72"/>
        <v>0</v>
      </c>
      <c r="DW21" s="19">
        <f t="shared" si="73"/>
        <v>0</v>
      </c>
      <c r="DX21" s="19">
        <f t="shared" si="74"/>
        <v>0</v>
      </c>
      <c r="DY21" s="19">
        <f t="shared" si="75"/>
        <v>0</v>
      </c>
      <c r="DZ21" s="19">
        <f t="shared" si="76"/>
        <v>0</v>
      </c>
      <c r="EA21" s="19">
        <f t="shared" si="77"/>
        <v>0</v>
      </c>
      <c r="EB21" s="19">
        <f t="shared" si="78"/>
        <v>0</v>
      </c>
      <c r="EC21" s="19">
        <f t="shared" si="79"/>
        <v>0</v>
      </c>
    </row>
    <row r="22" spans="1:134" s="78" customFormat="1" ht="18" customHeight="1" x14ac:dyDescent="0.25">
      <c r="A22" s="15">
        <v>19</v>
      </c>
      <c r="B22" s="108" t="s">
        <v>146</v>
      </c>
      <c r="C22" s="73" t="s">
        <v>147</v>
      </c>
      <c r="D22" s="16" t="s">
        <v>157</v>
      </c>
      <c r="E22" s="18">
        <v>45055</v>
      </c>
      <c r="F22" s="19">
        <v>10</v>
      </c>
      <c r="G22" s="19">
        <v>10</v>
      </c>
      <c r="H22" s="19">
        <v>10</v>
      </c>
      <c r="I22" s="19">
        <v>10</v>
      </c>
      <c r="J22" s="19" t="s">
        <v>603</v>
      </c>
      <c r="K22" s="19">
        <v>10</v>
      </c>
      <c r="L22" s="19" t="s">
        <v>15</v>
      </c>
      <c r="M22" s="19">
        <v>10</v>
      </c>
      <c r="N22" s="19">
        <v>10</v>
      </c>
      <c r="O22" s="19">
        <v>10</v>
      </c>
      <c r="P22" s="19">
        <v>10</v>
      </c>
      <c r="Q22" s="19">
        <v>10</v>
      </c>
      <c r="R22" s="19">
        <v>10</v>
      </c>
      <c r="S22" s="19" t="s">
        <v>15</v>
      </c>
      <c r="T22" s="19">
        <v>10</v>
      </c>
      <c r="U22" s="19">
        <v>10</v>
      </c>
      <c r="V22" s="19">
        <v>10</v>
      </c>
      <c r="W22" s="19">
        <v>10</v>
      </c>
      <c r="X22" s="19">
        <v>10</v>
      </c>
      <c r="Y22" s="19">
        <v>10</v>
      </c>
      <c r="Z22" s="19" t="s">
        <v>15</v>
      </c>
      <c r="AA22" s="19">
        <v>10</v>
      </c>
      <c r="AB22" s="19">
        <v>10</v>
      </c>
      <c r="AC22" s="19">
        <v>10</v>
      </c>
      <c r="AD22" s="19">
        <v>10</v>
      </c>
      <c r="AE22" s="19">
        <v>10</v>
      </c>
      <c r="AF22" s="19">
        <v>10</v>
      </c>
      <c r="AG22" s="19" t="s">
        <v>15</v>
      </c>
      <c r="AH22" s="19">
        <v>10</v>
      </c>
      <c r="AI22" s="19">
        <v>10</v>
      </c>
      <c r="AJ22" s="19">
        <v>6</v>
      </c>
      <c r="AK22" s="19">
        <v>0</v>
      </c>
      <c r="AL22" s="19">
        <v>0</v>
      </c>
      <c r="AM22" s="19">
        <v>0</v>
      </c>
      <c r="AN22" s="19">
        <v>0</v>
      </c>
      <c r="AO22" s="19">
        <v>10</v>
      </c>
      <c r="AP22" s="19"/>
      <c r="AQ22" s="19"/>
      <c r="AR22" s="19"/>
      <c r="AS22" s="19">
        <v>0</v>
      </c>
      <c r="AT22" s="19">
        <f t="shared" si="0"/>
        <v>50</v>
      </c>
      <c r="AU22" s="19">
        <f t="shared" si="1"/>
        <v>6</v>
      </c>
      <c r="AV22" s="19">
        <f t="shared" si="2"/>
        <v>10</v>
      </c>
      <c r="AW22" s="16">
        <f t="shared" si="3"/>
        <v>30</v>
      </c>
      <c r="AX22" s="16">
        <f t="shared" si="4"/>
        <v>0</v>
      </c>
      <c r="AY22" s="16">
        <f t="shared" si="5"/>
        <v>0</v>
      </c>
      <c r="AZ22" s="21">
        <v>1600</v>
      </c>
      <c r="BA22" s="21">
        <v>100</v>
      </c>
      <c r="BB22" s="21">
        <v>300</v>
      </c>
      <c r="BC22" s="19">
        <f t="shared" si="6"/>
        <v>1600</v>
      </c>
      <c r="BD22" s="19">
        <f t="shared" si="7"/>
        <v>100</v>
      </c>
      <c r="BE22" s="19">
        <f t="shared" si="8"/>
        <v>577</v>
      </c>
      <c r="BF22" s="19">
        <f t="shared" si="9"/>
        <v>300</v>
      </c>
      <c r="BG22" s="19">
        <f t="shared" si="10"/>
        <v>0</v>
      </c>
      <c r="BH22" s="19">
        <f t="shared" si="11"/>
        <v>0</v>
      </c>
      <c r="BI22" s="19">
        <v>95</v>
      </c>
      <c r="BJ22" s="19">
        <f t="shared" si="12"/>
        <v>2672</v>
      </c>
      <c r="BK22" s="19">
        <v>0</v>
      </c>
      <c r="BL22" s="19">
        <v>0</v>
      </c>
      <c r="BM22" s="19">
        <f t="shared" si="13"/>
        <v>0</v>
      </c>
      <c r="BN22" s="19">
        <f t="shared" si="14"/>
        <v>2672</v>
      </c>
      <c r="BO22" s="19">
        <v>0</v>
      </c>
      <c r="BP22" s="19">
        <v>0</v>
      </c>
      <c r="BQ22" s="22">
        <f t="shared" si="15"/>
        <v>2672</v>
      </c>
      <c r="BR22" s="82">
        <f t="shared" si="16"/>
        <v>0</v>
      </c>
      <c r="BS22" s="19">
        <f t="shared" si="17"/>
        <v>0</v>
      </c>
      <c r="BT22" s="19">
        <f t="shared" si="18"/>
        <v>0</v>
      </c>
      <c r="BU22" s="19">
        <f t="shared" si="19"/>
        <v>0</v>
      </c>
      <c r="BV22" s="19">
        <f t="shared" si="20"/>
        <v>0</v>
      </c>
      <c r="BW22" s="19">
        <f t="shared" si="21"/>
        <v>0</v>
      </c>
      <c r="BX22" s="19">
        <f t="shared" si="22"/>
        <v>25</v>
      </c>
      <c r="BY22" s="19">
        <f t="shared" si="23"/>
        <v>50</v>
      </c>
      <c r="BZ22" s="19">
        <f t="shared" si="24"/>
        <v>0</v>
      </c>
      <c r="CA22" s="19">
        <f t="shared" si="25"/>
        <v>0</v>
      </c>
      <c r="CB22" s="19">
        <f t="shared" si="26"/>
        <v>0</v>
      </c>
      <c r="CC22" s="19">
        <f t="shared" si="27"/>
        <v>0</v>
      </c>
      <c r="CD22" s="19">
        <f t="shared" si="28"/>
        <v>0</v>
      </c>
      <c r="CE22" s="19">
        <f t="shared" si="29"/>
        <v>0</v>
      </c>
      <c r="CF22" s="19">
        <f t="shared" si="30"/>
        <v>0</v>
      </c>
      <c r="CG22" s="19">
        <f t="shared" si="31"/>
        <v>0</v>
      </c>
      <c r="CH22" s="19">
        <f t="shared" si="32"/>
        <v>0</v>
      </c>
      <c r="CI22" s="19">
        <f t="shared" si="33"/>
        <v>0</v>
      </c>
      <c r="CJ22" s="19">
        <f t="shared" si="34"/>
        <v>0</v>
      </c>
      <c r="CK22" s="19">
        <f t="shared" si="35"/>
        <v>0</v>
      </c>
      <c r="CL22" s="19">
        <f t="shared" si="36"/>
        <v>0</v>
      </c>
      <c r="CM22" s="19">
        <f t="shared" si="37"/>
        <v>0</v>
      </c>
      <c r="CN22" s="19">
        <f t="shared" si="38"/>
        <v>0</v>
      </c>
      <c r="CO22" s="19">
        <f t="shared" si="39"/>
        <v>0</v>
      </c>
      <c r="CP22" s="19">
        <f t="shared" si="40"/>
        <v>0</v>
      </c>
      <c r="CQ22" s="19">
        <f t="shared" si="41"/>
        <v>0</v>
      </c>
      <c r="CR22" s="19">
        <f t="shared" si="42"/>
        <v>0</v>
      </c>
      <c r="CS22" s="19">
        <f t="shared" si="43"/>
        <v>0</v>
      </c>
      <c r="CT22" s="19">
        <f t="shared" si="44"/>
        <v>0</v>
      </c>
      <c r="CU22" s="19">
        <f t="shared" si="45"/>
        <v>0</v>
      </c>
      <c r="CV22" s="19">
        <f t="shared" si="46"/>
        <v>0</v>
      </c>
      <c r="CW22" s="19">
        <f t="shared" si="47"/>
        <v>0</v>
      </c>
      <c r="CX22" s="19">
        <f t="shared" si="48"/>
        <v>0</v>
      </c>
      <c r="CY22" s="19">
        <f t="shared" si="49"/>
        <v>0</v>
      </c>
      <c r="CZ22" s="19">
        <f t="shared" si="50"/>
        <v>0</v>
      </c>
      <c r="DA22" s="19">
        <f t="shared" si="51"/>
        <v>0</v>
      </c>
      <c r="DB22" s="19">
        <f t="shared" si="52"/>
        <v>0</v>
      </c>
      <c r="DC22" s="19">
        <f t="shared" si="53"/>
        <v>0</v>
      </c>
      <c r="DD22" s="19">
        <f t="shared" si="54"/>
        <v>0</v>
      </c>
      <c r="DE22" s="19">
        <f t="shared" si="55"/>
        <v>0</v>
      </c>
      <c r="DF22" s="19">
        <f t="shared" si="56"/>
        <v>0</v>
      </c>
      <c r="DG22" s="19">
        <f t="shared" si="57"/>
        <v>0</v>
      </c>
      <c r="DH22" s="19">
        <f t="shared" si="58"/>
        <v>0</v>
      </c>
      <c r="DI22" s="19">
        <f t="shared" si="59"/>
        <v>0</v>
      </c>
      <c r="DJ22" s="19">
        <f t="shared" si="60"/>
        <v>0</v>
      </c>
      <c r="DK22" s="19">
        <f t="shared" si="61"/>
        <v>0</v>
      </c>
      <c r="DL22" s="19">
        <f t="shared" si="62"/>
        <v>0</v>
      </c>
      <c r="DM22" s="19">
        <f t="shared" si="63"/>
        <v>0</v>
      </c>
      <c r="DN22" s="19">
        <f t="shared" si="64"/>
        <v>0</v>
      </c>
      <c r="DO22" s="19">
        <f t="shared" si="65"/>
        <v>0</v>
      </c>
      <c r="DP22" s="19">
        <f t="shared" si="66"/>
        <v>0</v>
      </c>
      <c r="DQ22" s="19">
        <f t="shared" si="67"/>
        <v>0</v>
      </c>
      <c r="DR22" s="19">
        <f t="shared" si="68"/>
        <v>0</v>
      </c>
      <c r="DS22" s="19">
        <f t="shared" si="69"/>
        <v>0</v>
      </c>
      <c r="DT22" s="19">
        <f t="shared" si="70"/>
        <v>0</v>
      </c>
      <c r="DU22" s="19">
        <f t="shared" si="71"/>
        <v>0</v>
      </c>
      <c r="DV22" s="19">
        <f t="shared" si="72"/>
        <v>0</v>
      </c>
      <c r="DW22" s="19">
        <f t="shared" si="73"/>
        <v>0</v>
      </c>
      <c r="DX22" s="19">
        <f t="shared" si="74"/>
        <v>0</v>
      </c>
      <c r="DY22" s="19">
        <f t="shared" si="75"/>
        <v>0</v>
      </c>
      <c r="DZ22" s="19">
        <f t="shared" si="76"/>
        <v>0</v>
      </c>
      <c r="EA22" s="19">
        <f t="shared" si="77"/>
        <v>0</v>
      </c>
      <c r="EB22" s="19">
        <f t="shared" si="78"/>
        <v>0</v>
      </c>
      <c r="EC22" s="19">
        <f t="shared" si="79"/>
        <v>0</v>
      </c>
    </row>
    <row r="23" spans="1:134" s="78" customFormat="1" ht="18" customHeight="1" x14ac:dyDescent="0.25">
      <c r="A23" s="15">
        <v>20</v>
      </c>
      <c r="B23" s="108" t="s">
        <v>160</v>
      </c>
      <c r="C23" s="74" t="s">
        <v>159</v>
      </c>
      <c r="D23" s="16" t="s">
        <v>61</v>
      </c>
      <c r="E23" s="18">
        <v>45114</v>
      </c>
      <c r="F23" s="19">
        <v>10.5</v>
      </c>
      <c r="G23" s="19">
        <v>10.5</v>
      </c>
      <c r="H23" s="19">
        <v>10.5</v>
      </c>
      <c r="I23" s="19">
        <v>10.5</v>
      </c>
      <c r="J23" s="19" t="s">
        <v>603</v>
      </c>
      <c r="K23" s="19">
        <v>10.5</v>
      </c>
      <c r="L23" s="19" t="s">
        <v>15</v>
      </c>
      <c r="M23" s="19">
        <v>10.5</v>
      </c>
      <c r="N23" s="19">
        <v>10.5</v>
      </c>
      <c r="O23" s="19">
        <v>10.5</v>
      </c>
      <c r="P23" s="19">
        <v>10.5</v>
      </c>
      <c r="Q23" s="19">
        <v>10.5</v>
      </c>
      <c r="R23" s="19">
        <v>10.5</v>
      </c>
      <c r="S23" s="19" t="s">
        <v>15</v>
      </c>
      <c r="T23" s="19">
        <v>10</v>
      </c>
      <c r="U23" s="19">
        <v>10.5</v>
      </c>
      <c r="V23" s="19">
        <v>10.5</v>
      </c>
      <c r="W23" s="19">
        <v>10.5</v>
      </c>
      <c r="X23" s="19">
        <v>10.5</v>
      </c>
      <c r="Y23" s="19">
        <v>10.5</v>
      </c>
      <c r="Z23" s="19" t="s">
        <v>15</v>
      </c>
      <c r="AA23" s="19">
        <v>10.5</v>
      </c>
      <c r="AB23" s="19">
        <v>10.5</v>
      </c>
      <c r="AC23" s="19">
        <v>10.5</v>
      </c>
      <c r="AD23" s="19">
        <v>10.5</v>
      </c>
      <c r="AE23" s="19">
        <v>10.5</v>
      </c>
      <c r="AF23" s="19">
        <v>10.5</v>
      </c>
      <c r="AG23" s="19" t="s">
        <v>15</v>
      </c>
      <c r="AH23" s="19">
        <v>10.5</v>
      </c>
      <c r="AI23" s="19">
        <v>10.5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10.5</v>
      </c>
      <c r="AP23" s="19"/>
      <c r="AQ23" s="19"/>
      <c r="AR23" s="19"/>
      <c r="AS23" s="19">
        <v>0</v>
      </c>
      <c r="AT23" s="19">
        <f t="shared" si="0"/>
        <v>62</v>
      </c>
      <c r="AU23" s="19">
        <f t="shared" si="1"/>
        <v>0</v>
      </c>
      <c r="AV23" s="19">
        <f t="shared" si="2"/>
        <v>10.5</v>
      </c>
      <c r="AW23" s="16">
        <f t="shared" si="3"/>
        <v>30</v>
      </c>
      <c r="AX23" s="16">
        <f t="shared" si="4"/>
        <v>0</v>
      </c>
      <c r="AY23" s="16">
        <f t="shared" si="5"/>
        <v>0</v>
      </c>
      <c r="AZ23" s="21">
        <v>1000</v>
      </c>
      <c r="BA23" s="21">
        <v>100</v>
      </c>
      <c r="BB23" s="21">
        <v>0</v>
      </c>
      <c r="BC23" s="19">
        <f t="shared" si="6"/>
        <v>1000</v>
      </c>
      <c r="BD23" s="19">
        <f t="shared" si="7"/>
        <v>100</v>
      </c>
      <c r="BE23" s="19">
        <f t="shared" si="8"/>
        <v>389</v>
      </c>
      <c r="BF23" s="19">
        <f t="shared" si="9"/>
        <v>0</v>
      </c>
      <c r="BG23" s="19">
        <f t="shared" si="10"/>
        <v>0</v>
      </c>
      <c r="BH23" s="19">
        <f t="shared" si="11"/>
        <v>0</v>
      </c>
      <c r="BI23" s="19">
        <v>95</v>
      </c>
      <c r="BJ23" s="19">
        <f t="shared" si="12"/>
        <v>1584</v>
      </c>
      <c r="BK23" s="19">
        <v>0</v>
      </c>
      <c r="BL23" s="19">
        <v>0</v>
      </c>
      <c r="BM23" s="19">
        <f t="shared" si="13"/>
        <v>0</v>
      </c>
      <c r="BN23" s="19">
        <f t="shared" si="14"/>
        <v>1584</v>
      </c>
      <c r="BO23" s="19">
        <v>0</v>
      </c>
      <c r="BP23" s="19">
        <v>0</v>
      </c>
      <c r="BQ23" s="22">
        <f t="shared" si="15"/>
        <v>1584</v>
      </c>
      <c r="BR23" s="82">
        <f t="shared" si="16"/>
        <v>0</v>
      </c>
      <c r="BS23" s="19">
        <f t="shared" si="17"/>
        <v>0</v>
      </c>
      <c r="BT23" s="19">
        <f t="shared" si="18"/>
        <v>0</v>
      </c>
      <c r="BU23" s="19">
        <f t="shared" si="19"/>
        <v>0</v>
      </c>
      <c r="BV23" s="19">
        <f t="shared" si="20"/>
        <v>0</v>
      </c>
      <c r="BW23" s="19">
        <f t="shared" si="21"/>
        <v>0</v>
      </c>
      <c r="BX23" s="19">
        <f t="shared" si="22"/>
        <v>1</v>
      </c>
      <c r="BY23" s="19">
        <f t="shared" si="23"/>
        <v>2</v>
      </c>
      <c r="BZ23" s="19">
        <f t="shared" si="24"/>
        <v>24</v>
      </c>
      <c r="CA23" s="19">
        <f t="shared" si="25"/>
        <v>60</v>
      </c>
      <c r="CB23" s="19">
        <f t="shared" si="26"/>
        <v>0</v>
      </c>
      <c r="CC23" s="19">
        <f t="shared" si="27"/>
        <v>0</v>
      </c>
      <c r="CD23" s="19">
        <f t="shared" si="28"/>
        <v>0</v>
      </c>
      <c r="CE23" s="19">
        <f t="shared" si="29"/>
        <v>0</v>
      </c>
      <c r="CF23" s="19">
        <f t="shared" si="30"/>
        <v>0</v>
      </c>
      <c r="CG23" s="19">
        <f t="shared" si="31"/>
        <v>0</v>
      </c>
      <c r="CH23" s="19">
        <f t="shared" si="32"/>
        <v>0</v>
      </c>
      <c r="CI23" s="19">
        <f t="shared" si="33"/>
        <v>0</v>
      </c>
      <c r="CJ23" s="19">
        <f t="shared" si="34"/>
        <v>0</v>
      </c>
      <c r="CK23" s="19">
        <f t="shared" si="35"/>
        <v>0</v>
      </c>
      <c r="CL23" s="19">
        <f t="shared" si="36"/>
        <v>0</v>
      </c>
      <c r="CM23" s="19">
        <f t="shared" si="37"/>
        <v>0</v>
      </c>
      <c r="CN23" s="19">
        <f t="shared" si="38"/>
        <v>0</v>
      </c>
      <c r="CO23" s="19">
        <f t="shared" si="39"/>
        <v>0</v>
      </c>
      <c r="CP23" s="19">
        <f t="shared" si="40"/>
        <v>0</v>
      </c>
      <c r="CQ23" s="19">
        <f t="shared" si="41"/>
        <v>0</v>
      </c>
      <c r="CR23" s="19">
        <f t="shared" si="42"/>
        <v>0</v>
      </c>
      <c r="CS23" s="19">
        <f t="shared" si="43"/>
        <v>0</v>
      </c>
      <c r="CT23" s="19">
        <f t="shared" si="44"/>
        <v>0</v>
      </c>
      <c r="CU23" s="19">
        <f t="shared" si="45"/>
        <v>0</v>
      </c>
      <c r="CV23" s="19">
        <f t="shared" si="46"/>
        <v>0</v>
      </c>
      <c r="CW23" s="19">
        <f t="shared" si="47"/>
        <v>0</v>
      </c>
      <c r="CX23" s="19">
        <f t="shared" si="48"/>
        <v>0</v>
      </c>
      <c r="CY23" s="19">
        <f t="shared" si="49"/>
        <v>0</v>
      </c>
      <c r="CZ23" s="19">
        <f t="shared" si="50"/>
        <v>0</v>
      </c>
      <c r="DA23" s="19">
        <f t="shared" si="51"/>
        <v>0</v>
      </c>
      <c r="DB23" s="19">
        <f t="shared" si="52"/>
        <v>0</v>
      </c>
      <c r="DC23" s="19">
        <f t="shared" si="53"/>
        <v>0</v>
      </c>
      <c r="DD23" s="19">
        <f t="shared" si="54"/>
        <v>0</v>
      </c>
      <c r="DE23" s="19">
        <f t="shared" si="55"/>
        <v>0</v>
      </c>
      <c r="DF23" s="19">
        <f t="shared" si="56"/>
        <v>0</v>
      </c>
      <c r="DG23" s="19">
        <f t="shared" si="57"/>
        <v>0</v>
      </c>
      <c r="DH23" s="19">
        <f t="shared" si="58"/>
        <v>0</v>
      </c>
      <c r="DI23" s="19">
        <f t="shared" si="59"/>
        <v>0</v>
      </c>
      <c r="DJ23" s="19">
        <f t="shared" si="60"/>
        <v>0</v>
      </c>
      <c r="DK23" s="19">
        <f t="shared" si="61"/>
        <v>0</v>
      </c>
      <c r="DL23" s="19">
        <f t="shared" si="62"/>
        <v>0</v>
      </c>
      <c r="DM23" s="19">
        <f t="shared" si="63"/>
        <v>0</v>
      </c>
      <c r="DN23" s="19">
        <f t="shared" si="64"/>
        <v>0</v>
      </c>
      <c r="DO23" s="19">
        <f t="shared" si="65"/>
        <v>0</v>
      </c>
      <c r="DP23" s="19">
        <f t="shared" si="66"/>
        <v>0</v>
      </c>
      <c r="DQ23" s="19">
        <f t="shared" si="67"/>
        <v>0</v>
      </c>
      <c r="DR23" s="19">
        <f t="shared" si="68"/>
        <v>0</v>
      </c>
      <c r="DS23" s="19">
        <f t="shared" si="69"/>
        <v>0</v>
      </c>
      <c r="DT23" s="19">
        <f t="shared" si="70"/>
        <v>0</v>
      </c>
      <c r="DU23" s="19">
        <f t="shared" si="71"/>
        <v>0</v>
      </c>
      <c r="DV23" s="19">
        <f t="shared" si="72"/>
        <v>0</v>
      </c>
      <c r="DW23" s="19">
        <f t="shared" si="73"/>
        <v>0</v>
      </c>
      <c r="DX23" s="19">
        <f t="shared" si="74"/>
        <v>0</v>
      </c>
      <c r="DY23" s="19">
        <f t="shared" si="75"/>
        <v>0</v>
      </c>
      <c r="DZ23" s="19">
        <f t="shared" si="76"/>
        <v>0</v>
      </c>
      <c r="EA23" s="19">
        <f t="shared" si="77"/>
        <v>0</v>
      </c>
      <c r="EB23" s="19">
        <f t="shared" si="78"/>
        <v>0</v>
      </c>
      <c r="EC23" s="19">
        <f t="shared" si="79"/>
        <v>0</v>
      </c>
    </row>
    <row r="24" spans="1:134" s="78" customFormat="1" ht="18" customHeight="1" x14ac:dyDescent="0.25">
      <c r="A24" s="15">
        <v>21</v>
      </c>
      <c r="B24" s="108" t="s">
        <v>161</v>
      </c>
      <c r="C24" s="74" t="s">
        <v>174</v>
      </c>
      <c r="D24" s="16" t="s">
        <v>61</v>
      </c>
      <c r="E24" s="18">
        <v>45196</v>
      </c>
      <c r="F24" s="19">
        <v>10</v>
      </c>
      <c r="G24" s="19">
        <v>10</v>
      </c>
      <c r="H24" s="19">
        <v>10</v>
      </c>
      <c r="I24" s="19">
        <v>10</v>
      </c>
      <c r="J24" s="19" t="s">
        <v>603</v>
      </c>
      <c r="K24" s="19">
        <v>10</v>
      </c>
      <c r="L24" s="19" t="s">
        <v>15</v>
      </c>
      <c r="M24" s="19">
        <v>10</v>
      </c>
      <c r="N24" s="19">
        <v>10</v>
      </c>
      <c r="O24" s="19">
        <v>10</v>
      </c>
      <c r="P24" s="19">
        <v>10</v>
      </c>
      <c r="Q24" s="19">
        <v>10</v>
      </c>
      <c r="R24" s="19">
        <v>10</v>
      </c>
      <c r="S24" s="19" t="s">
        <v>15</v>
      </c>
      <c r="T24" s="19">
        <v>10</v>
      </c>
      <c r="U24" s="19">
        <v>10</v>
      </c>
      <c r="V24" s="19">
        <v>10</v>
      </c>
      <c r="W24" s="19">
        <v>10</v>
      </c>
      <c r="X24" s="19">
        <v>10</v>
      </c>
      <c r="Y24" s="19">
        <v>10</v>
      </c>
      <c r="Z24" s="19" t="s">
        <v>15</v>
      </c>
      <c r="AA24" s="19">
        <v>10</v>
      </c>
      <c r="AB24" s="19">
        <v>10</v>
      </c>
      <c r="AC24" s="19">
        <v>10</v>
      </c>
      <c r="AD24" s="19">
        <v>10</v>
      </c>
      <c r="AE24" s="19">
        <v>10</v>
      </c>
      <c r="AF24" s="19">
        <v>10</v>
      </c>
      <c r="AG24" s="19" t="s">
        <v>15</v>
      </c>
      <c r="AH24" s="19">
        <v>10</v>
      </c>
      <c r="AI24" s="19">
        <v>10</v>
      </c>
      <c r="AJ24" s="19">
        <v>6</v>
      </c>
      <c r="AK24" s="19">
        <v>0</v>
      </c>
      <c r="AL24" s="19">
        <v>0</v>
      </c>
      <c r="AM24" s="19">
        <v>0</v>
      </c>
      <c r="AN24" s="19">
        <v>0</v>
      </c>
      <c r="AO24" s="19">
        <v>10</v>
      </c>
      <c r="AP24" s="19"/>
      <c r="AQ24" s="19"/>
      <c r="AR24" s="19"/>
      <c r="AS24" s="19">
        <v>0</v>
      </c>
      <c r="AT24" s="19">
        <f t="shared" si="0"/>
        <v>50</v>
      </c>
      <c r="AU24" s="19">
        <f t="shared" si="1"/>
        <v>6</v>
      </c>
      <c r="AV24" s="19">
        <f t="shared" si="2"/>
        <v>10</v>
      </c>
      <c r="AW24" s="16">
        <f t="shared" si="3"/>
        <v>30</v>
      </c>
      <c r="AX24" s="16">
        <f t="shared" si="4"/>
        <v>0</v>
      </c>
      <c r="AY24" s="16">
        <f t="shared" si="5"/>
        <v>0</v>
      </c>
      <c r="AZ24" s="21">
        <v>1050</v>
      </c>
      <c r="BA24" s="21">
        <v>100</v>
      </c>
      <c r="BB24" s="21">
        <v>0</v>
      </c>
      <c r="BC24" s="19">
        <f t="shared" si="6"/>
        <v>1050</v>
      </c>
      <c r="BD24" s="19">
        <f t="shared" si="7"/>
        <v>100</v>
      </c>
      <c r="BE24" s="19">
        <f t="shared" si="8"/>
        <v>378</v>
      </c>
      <c r="BF24" s="19">
        <f t="shared" si="9"/>
        <v>0</v>
      </c>
      <c r="BG24" s="19">
        <f t="shared" si="10"/>
        <v>0</v>
      </c>
      <c r="BH24" s="19">
        <f t="shared" si="11"/>
        <v>0</v>
      </c>
      <c r="BI24" s="19">
        <v>95</v>
      </c>
      <c r="BJ24" s="19">
        <f t="shared" si="12"/>
        <v>1623</v>
      </c>
      <c r="BK24" s="19">
        <v>0</v>
      </c>
      <c r="BL24" s="19">
        <v>0</v>
      </c>
      <c r="BM24" s="19">
        <f t="shared" si="13"/>
        <v>0</v>
      </c>
      <c r="BN24" s="19">
        <f t="shared" si="14"/>
        <v>1623</v>
      </c>
      <c r="BO24" s="19">
        <v>0</v>
      </c>
      <c r="BP24" s="19">
        <v>0</v>
      </c>
      <c r="BQ24" s="22">
        <f t="shared" si="15"/>
        <v>1623</v>
      </c>
      <c r="BR24" s="82">
        <f t="shared" si="16"/>
        <v>0</v>
      </c>
      <c r="BS24" s="19">
        <f t="shared" si="17"/>
        <v>0</v>
      </c>
      <c r="BT24" s="19">
        <f t="shared" si="18"/>
        <v>0</v>
      </c>
      <c r="BU24" s="19">
        <f t="shared" si="19"/>
        <v>0</v>
      </c>
      <c r="BV24" s="19">
        <f t="shared" si="20"/>
        <v>0</v>
      </c>
      <c r="BW24" s="19">
        <f t="shared" si="21"/>
        <v>0</v>
      </c>
      <c r="BX24" s="19">
        <f t="shared" si="22"/>
        <v>25</v>
      </c>
      <c r="BY24" s="19">
        <f t="shared" si="23"/>
        <v>50</v>
      </c>
      <c r="BZ24" s="19">
        <f t="shared" si="24"/>
        <v>0</v>
      </c>
      <c r="CA24" s="19">
        <f t="shared" si="25"/>
        <v>0</v>
      </c>
      <c r="CB24" s="19">
        <f t="shared" si="26"/>
        <v>0</v>
      </c>
      <c r="CC24" s="19">
        <f t="shared" si="27"/>
        <v>0</v>
      </c>
      <c r="CD24" s="19">
        <f t="shared" si="28"/>
        <v>0</v>
      </c>
      <c r="CE24" s="19">
        <f t="shared" si="29"/>
        <v>0</v>
      </c>
      <c r="CF24" s="19">
        <f t="shared" si="30"/>
        <v>0</v>
      </c>
      <c r="CG24" s="19">
        <f t="shared" si="31"/>
        <v>0</v>
      </c>
      <c r="CH24" s="19">
        <f t="shared" si="32"/>
        <v>0</v>
      </c>
      <c r="CI24" s="19">
        <f t="shared" si="33"/>
        <v>0</v>
      </c>
      <c r="CJ24" s="19">
        <f t="shared" si="34"/>
        <v>0</v>
      </c>
      <c r="CK24" s="19">
        <f t="shared" si="35"/>
        <v>0</v>
      </c>
      <c r="CL24" s="19">
        <f t="shared" si="36"/>
        <v>0</v>
      </c>
      <c r="CM24" s="19">
        <f t="shared" si="37"/>
        <v>0</v>
      </c>
      <c r="CN24" s="19">
        <f t="shared" si="38"/>
        <v>0</v>
      </c>
      <c r="CO24" s="19">
        <f t="shared" si="39"/>
        <v>0</v>
      </c>
      <c r="CP24" s="19">
        <f t="shared" si="40"/>
        <v>0</v>
      </c>
      <c r="CQ24" s="19">
        <f t="shared" si="41"/>
        <v>0</v>
      </c>
      <c r="CR24" s="19">
        <f t="shared" si="42"/>
        <v>0</v>
      </c>
      <c r="CS24" s="19">
        <f t="shared" si="43"/>
        <v>0</v>
      </c>
      <c r="CT24" s="19">
        <f t="shared" si="44"/>
        <v>0</v>
      </c>
      <c r="CU24" s="19">
        <f t="shared" si="45"/>
        <v>0</v>
      </c>
      <c r="CV24" s="19">
        <f t="shared" si="46"/>
        <v>0</v>
      </c>
      <c r="CW24" s="19">
        <f t="shared" si="47"/>
        <v>0</v>
      </c>
      <c r="CX24" s="19">
        <f t="shared" si="48"/>
        <v>0</v>
      </c>
      <c r="CY24" s="19">
        <f t="shared" si="49"/>
        <v>0</v>
      </c>
      <c r="CZ24" s="19">
        <f t="shared" si="50"/>
        <v>0</v>
      </c>
      <c r="DA24" s="19">
        <f t="shared" si="51"/>
        <v>0</v>
      </c>
      <c r="DB24" s="19">
        <f t="shared" si="52"/>
        <v>0</v>
      </c>
      <c r="DC24" s="19">
        <f t="shared" si="53"/>
        <v>0</v>
      </c>
      <c r="DD24" s="19">
        <f t="shared" si="54"/>
        <v>0</v>
      </c>
      <c r="DE24" s="19">
        <f t="shared" si="55"/>
        <v>0</v>
      </c>
      <c r="DF24" s="19">
        <f t="shared" si="56"/>
        <v>0</v>
      </c>
      <c r="DG24" s="19">
        <f t="shared" si="57"/>
        <v>0</v>
      </c>
      <c r="DH24" s="19">
        <f t="shared" si="58"/>
        <v>0</v>
      </c>
      <c r="DI24" s="19">
        <f t="shared" si="59"/>
        <v>0</v>
      </c>
      <c r="DJ24" s="19">
        <f t="shared" si="60"/>
        <v>0</v>
      </c>
      <c r="DK24" s="19">
        <f t="shared" si="61"/>
        <v>0</v>
      </c>
      <c r="DL24" s="19">
        <f t="shared" si="62"/>
        <v>0</v>
      </c>
      <c r="DM24" s="19">
        <f t="shared" si="63"/>
        <v>0</v>
      </c>
      <c r="DN24" s="19">
        <f t="shared" si="64"/>
        <v>0</v>
      </c>
      <c r="DO24" s="19">
        <f t="shared" si="65"/>
        <v>0</v>
      </c>
      <c r="DP24" s="19">
        <f t="shared" si="66"/>
        <v>0</v>
      </c>
      <c r="DQ24" s="19">
        <f t="shared" si="67"/>
        <v>0</v>
      </c>
      <c r="DR24" s="19">
        <f t="shared" si="68"/>
        <v>0</v>
      </c>
      <c r="DS24" s="19">
        <f t="shared" si="69"/>
        <v>0</v>
      </c>
      <c r="DT24" s="19">
        <f t="shared" si="70"/>
        <v>0</v>
      </c>
      <c r="DU24" s="19">
        <f t="shared" si="71"/>
        <v>0</v>
      </c>
      <c r="DV24" s="19">
        <f t="shared" si="72"/>
        <v>0</v>
      </c>
      <c r="DW24" s="19">
        <f t="shared" si="73"/>
        <v>0</v>
      </c>
      <c r="DX24" s="19">
        <f t="shared" si="74"/>
        <v>0</v>
      </c>
      <c r="DY24" s="19">
        <f t="shared" si="75"/>
        <v>0</v>
      </c>
      <c r="DZ24" s="19">
        <f t="shared" si="76"/>
        <v>0</v>
      </c>
      <c r="EA24" s="19">
        <f t="shared" si="77"/>
        <v>0</v>
      </c>
      <c r="EB24" s="19">
        <f t="shared" si="78"/>
        <v>0</v>
      </c>
      <c r="EC24" s="19">
        <f t="shared" si="79"/>
        <v>0</v>
      </c>
    </row>
    <row r="25" spans="1:134" s="78" customFormat="1" ht="18" customHeight="1" x14ac:dyDescent="0.25">
      <c r="A25" s="15">
        <v>22</v>
      </c>
      <c r="B25" s="108" t="s">
        <v>162</v>
      </c>
      <c r="C25" s="74" t="s">
        <v>175</v>
      </c>
      <c r="D25" s="16" t="s">
        <v>61</v>
      </c>
      <c r="E25" s="18">
        <v>45208</v>
      </c>
      <c r="F25" s="19">
        <v>10</v>
      </c>
      <c r="G25" s="19">
        <v>10</v>
      </c>
      <c r="H25" s="19">
        <v>10</v>
      </c>
      <c r="I25" s="19">
        <v>10</v>
      </c>
      <c r="J25" s="19" t="s">
        <v>603</v>
      </c>
      <c r="K25" s="19">
        <v>10</v>
      </c>
      <c r="L25" s="19" t="s">
        <v>15</v>
      </c>
      <c r="M25" s="19">
        <v>10</v>
      </c>
      <c r="N25" s="19">
        <v>10</v>
      </c>
      <c r="O25" s="19">
        <v>10</v>
      </c>
      <c r="P25" s="19">
        <v>10</v>
      </c>
      <c r="Q25" s="19">
        <v>10</v>
      </c>
      <c r="R25" s="19">
        <v>10</v>
      </c>
      <c r="S25" s="19" t="s">
        <v>15</v>
      </c>
      <c r="T25" s="19">
        <v>10</v>
      </c>
      <c r="U25" s="19">
        <v>10</v>
      </c>
      <c r="V25" s="19">
        <v>10</v>
      </c>
      <c r="W25" s="19">
        <v>10</v>
      </c>
      <c r="X25" s="19">
        <v>10</v>
      </c>
      <c r="Y25" s="19">
        <v>10</v>
      </c>
      <c r="Z25" s="19" t="s">
        <v>15</v>
      </c>
      <c r="AA25" s="19">
        <v>10</v>
      </c>
      <c r="AB25" s="19">
        <v>10</v>
      </c>
      <c r="AC25" s="19">
        <v>10</v>
      </c>
      <c r="AD25" s="19">
        <v>10</v>
      </c>
      <c r="AE25" s="19">
        <v>10</v>
      </c>
      <c r="AF25" s="19">
        <v>10</v>
      </c>
      <c r="AG25" s="19" t="s">
        <v>15</v>
      </c>
      <c r="AH25" s="19">
        <v>10</v>
      </c>
      <c r="AI25" s="19">
        <v>10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/>
      <c r="AQ25" s="19"/>
      <c r="AR25" s="19"/>
      <c r="AS25" s="19">
        <v>0</v>
      </c>
      <c r="AT25" s="19">
        <f t="shared" si="0"/>
        <v>50</v>
      </c>
      <c r="AU25" s="19">
        <f t="shared" si="1"/>
        <v>0</v>
      </c>
      <c r="AV25" s="19">
        <f t="shared" si="2"/>
        <v>0</v>
      </c>
      <c r="AW25" s="16">
        <f t="shared" si="3"/>
        <v>30</v>
      </c>
      <c r="AX25" s="16">
        <f t="shared" si="4"/>
        <v>0</v>
      </c>
      <c r="AY25" s="16">
        <f t="shared" si="5"/>
        <v>0</v>
      </c>
      <c r="AZ25" s="21">
        <v>950</v>
      </c>
      <c r="BA25" s="21">
        <v>100</v>
      </c>
      <c r="BB25" s="21">
        <v>0</v>
      </c>
      <c r="BC25" s="19">
        <f t="shared" si="6"/>
        <v>950</v>
      </c>
      <c r="BD25" s="19">
        <f t="shared" si="7"/>
        <v>100</v>
      </c>
      <c r="BE25" s="19">
        <f t="shared" si="8"/>
        <v>247</v>
      </c>
      <c r="BF25" s="19">
        <f t="shared" si="9"/>
        <v>0</v>
      </c>
      <c r="BG25" s="19">
        <f t="shared" si="10"/>
        <v>0</v>
      </c>
      <c r="BH25" s="19">
        <f t="shared" si="11"/>
        <v>0</v>
      </c>
      <c r="BI25" s="19">
        <v>95</v>
      </c>
      <c r="BJ25" s="19">
        <f t="shared" si="12"/>
        <v>1392</v>
      </c>
      <c r="BK25" s="19">
        <v>0</v>
      </c>
      <c r="BL25" s="19">
        <v>0</v>
      </c>
      <c r="BM25" s="19">
        <f t="shared" si="13"/>
        <v>0</v>
      </c>
      <c r="BN25" s="19">
        <f t="shared" si="14"/>
        <v>1392</v>
      </c>
      <c r="BO25" s="19">
        <v>0</v>
      </c>
      <c r="BP25" s="19">
        <v>0</v>
      </c>
      <c r="BQ25" s="22">
        <f t="shared" si="15"/>
        <v>1392</v>
      </c>
      <c r="BR25" s="82">
        <f t="shared" si="16"/>
        <v>0</v>
      </c>
      <c r="BS25" s="19">
        <f t="shared" si="17"/>
        <v>0</v>
      </c>
      <c r="BT25" s="19">
        <f t="shared" si="18"/>
        <v>0</v>
      </c>
      <c r="BU25" s="19">
        <f t="shared" si="19"/>
        <v>0</v>
      </c>
      <c r="BV25" s="19">
        <f t="shared" si="20"/>
        <v>0</v>
      </c>
      <c r="BW25" s="19">
        <f t="shared" si="21"/>
        <v>0</v>
      </c>
      <c r="BX25" s="19">
        <f t="shared" si="22"/>
        <v>25</v>
      </c>
      <c r="BY25" s="19">
        <f t="shared" si="23"/>
        <v>50</v>
      </c>
      <c r="BZ25" s="19">
        <f t="shared" si="24"/>
        <v>0</v>
      </c>
      <c r="CA25" s="19">
        <f t="shared" si="25"/>
        <v>0</v>
      </c>
      <c r="CB25" s="19">
        <f t="shared" si="26"/>
        <v>0</v>
      </c>
      <c r="CC25" s="19">
        <f t="shared" si="27"/>
        <v>0</v>
      </c>
      <c r="CD25" s="19">
        <f t="shared" si="28"/>
        <v>0</v>
      </c>
      <c r="CE25" s="19">
        <f t="shared" si="29"/>
        <v>0</v>
      </c>
      <c r="CF25" s="19">
        <f t="shared" si="30"/>
        <v>0</v>
      </c>
      <c r="CG25" s="19">
        <f t="shared" si="31"/>
        <v>0</v>
      </c>
      <c r="CH25" s="19">
        <f t="shared" si="32"/>
        <v>0</v>
      </c>
      <c r="CI25" s="19">
        <f t="shared" si="33"/>
        <v>0</v>
      </c>
      <c r="CJ25" s="19">
        <f t="shared" si="34"/>
        <v>0</v>
      </c>
      <c r="CK25" s="19">
        <f t="shared" si="35"/>
        <v>0</v>
      </c>
      <c r="CL25" s="19">
        <f t="shared" si="36"/>
        <v>0</v>
      </c>
      <c r="CM25" s="19">
        <f t="shared" si="37"/>
        <v>0</v>
      </c>
      <c r="CN25" s="19">
        <f t="shared" si="38"/>
        <v>0</v>
      </c>
      <c r="CO25" s="19">
        <f t="shared" si="39"/>
        <v>0</v>
      </c>
      <c r="CP25" s="19">
        <f t="shared" si="40"/>
        <v>0</v>
      </c>
      <c r="CQ25" s="19">
        <f t="shared" si="41"/>
        <v>0</v>
      </c>
      <c r="CR25" s="19">
        <f t="shared" si="42"/>
        <v>0</v>
      </c>
      <c r="CS25" s="19">
        <f t="shared" si="43"/>
        <v>0</v>
      </c>
      <c r="CT25" s="19">
        <f t="shared" si="44"/>
        <v>0</v>
      </c>
      <c r="CU25" s="19">
        <f t="shared" si="45"/>
        <v>0</v>
      </c>
      <c r="CV25" s="19">
        <f t="shared" si="46"/>
        <v>0</v>
      </c>
      <c r="CW25" s="19">
        <f t="shared" si="47"/>
        <v>0</v>
      </c>
      <c r="CX25" s="19">
        <f t="shared" si="48"/>
        <v>0</v>
      </c>
      <c r="CY25" s="19">
        <f t="shared" si="49"/>
        <v>0</v>
      </c>
      <c r="CZ25" s="19">
        <f t="shared" si="50"/>
        <v>0</v>
      </c>
      <c r="DA25" s="19">
        <f t="shared" si="51"/>
        <v>0</v>
      </c>
      <c r="DB25" s="19">
        <f t="shared" si="52"/>
        <v>0</v>
      </c>
      <c r="DC25" s="19">
        <f t="shared" si="53"/>
        <v>0</v>
      </c>
      <c r="DD25" s="19">
        <f t="shared" si="54"/>
        <v>0</v>
      </c>
      <c r="DE25" s="19">
        <f t="shared" si="55"/>
        <v>0</v>
      </c>
      <c r="DF25" s="19">
        <f t="shared" si="56"/>
        <v>0</v>
      </c>
      <c r="DG25" s="19">
        <f t="shared" si="57"/>
        <v>0</v>
      </c>
      <c r="DH25" s="19">
        <f t="shared" si="58"/>
        <v>0</v>
      </c>
      <c r="DI25" s="19">
        <f t="shared" si="59"/>
        <v>0</v>
      </c>
      <c r="DJ25" s="19">
        <f t="shared" si="60"/>
        <v>0</v>
      </c>
      <c r="DK25" s="19">
        <f t="shared" si="61"/>
        <v>0</v>
      </c>
      <c r="DL25" s="19">
        <f t="shared" si="62"/>
        <v>0</v>
      </c>
      <c r="DM25" s="19">
        <f t="shared" si="63"/>
        <v>0</v>
      </c>
      <c r="DN25" s="19">
        <f t="shared" si="64"/>
        <v>0</v>
      </c>
      <c r="DO25" s="19">
        <f t="shared" si="65"/>
        <v>0</v>
      </c>
      <c r="DP25" s="19">
        <f t="shared" si="66"/>
        <v>0</v>
      </c>
      <c r="DQ25" s="19">
        <f t="shared" si="67"/>
        <v>0</v>
      </c>
      <c r="DR25" s="19">
        <f t="shared" si="68"/>
        <v>0</v>
      </c>
      <c r="DS25" s="19">
        <f t="shared" si="69"/>
        <v>0</v>
      </c>
      <c r="DT25" s="19">
        <f t="shared" si="70"/>
        <v>0</v>
      </c>
      <c r="DU25" s="19">
        <f t="shared" si="71"/>
        <v>0</v>
      </c>
      <c r="DV25" s="19">
        <f t="shared" si="72"/>
        <v>0</v>
      </c>
      <c r="DW25" s="19">
        <f t="shared" si="73"/>
        <v>0</v>
      </c>
      <c r="DX25" s="19">
        <f t="shared" si="74"/>
        <v>0</v>
      </c>
      <c r="DY25" s="19">
        <f t="shared" si="75"/>
        <v>0</v>
      </c>
      <c r="DZ25" s="19">
        <f t="shared" si="76"/>
        <v>0</v>
      </c>
      <c r="EA25" s="19">
        <f t="shared" si="77"/>
        <v>0</v>
      </c>
      <c r="EB25" s="19">
        <f t="shared" si="78"/>
        <v>0</v>
      </c>
      <c r="EC25" s="19">
        <f t="shared" si="79"/>
        <v>0</v>
      </c>
    </row>
    <row r="26" spans="1:134" s="78" customFormat="1" ht="18" customHeight="1" x14ac:dyDescent="0.25">
      <c r="A26" s="15">
        <v>23</v>
      </c>
      <c r="B26" s="108" t="s">
        <v>164</v>
      </c>
      <c r="C26" s="74" t="s">
        <v>176</v>
      </c>
      <c r="D26" s="16" t="s">
        <v>157</v>
      </c>
      <c r="E26" s="18">
        <v>45208</v>
      </c>
      <c r="F26" s="19">
        <v>10</v>
      </c>
      <c r="G26" s="19">
        <v>10</v>
      </c>
      <c r="H26" s="19">
        <v>10</v>
      </c>
      <c r="I26" s="19">
        <v>10</v>
      </c>
      <c r="J26" s="19" t="s">
        <v>603</v>
      </c>
      <c r="K26" s="19">
        <v>10</v>
      </c>
      <c r="L26" s="19" t="s">
        <v>15</v>
      </c>
      <c r="M26" s="19">
        <v>10</v>
      </c>
      <c r="N26" s="19">
        <v>10</v>
      </c>
      <c r="O26" s="19">
        <v>10</v>
      </c>
      <c r="P26" s="19">
        <v>10</v>
      </c>
      <c r="Q26" s="19">
        <v>10</v>
      </c>
      <c r="R26" s="19">
        <v>10</v>
      </c>
      <c r="S26" s="19" t="s">
        <v>15</v>
      </c>
      <c r="T26" s="19">
        <v>10</v>
      </c>
      <c r="U26" s="19">
        <v>10</v>
      </c>
      <c r="V26" s="19">
        <v>10</v>
      </c>
      <c r="W26" s="19">
        <v>10</v>
      </c>
      <c r="X26" s="19">
        <v>10</v>
      </c>
      <c r="Y26" s="19">
        <v>10</v>
      </c>
      <c r="Z26" s="19" t="s">
        <v>15</v>
      </c>
      <c r="AA26" s="19">
        <v>10</v>
      </c>
      <c r="AB26" s="19">
        <v>10</v>
      </c>
      <c r="AC26" s="19">
        <v>10</v>
      </c>
      <c r="AD26" s="19">
        <v>10</v>
      </c>
      <c r="AE26" s="19">
        <v>10</v>
      </c>
      <c r="AF26" s="19">
        <v>10</v>
      </c>
      <c r="AG26" s="19" t="s">
        <v>15</v>
      </c>
      <c r="AH26" s="19">
        <v>10</v>
      </c>
      <c r="AI26" s="19">
        <v>10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/>
      <c r="AQ26" s="19"/>
      <c r="AR26" s="19"/>
      <c r="AS26" s="19">
        <v>0</v>
      </c>
      <c r="AT26" s="19">
        <f t="shared" si="0"/>
        <v>50</v>
      </c>
      <c r="AU26" s="19">
        <f t="shared" si="1"/>
        <v>0</v>
      </c>
      <c r="AV26" s="19">
        <f t="shared" si="2"/>
        <v>0</v>
      </c>
      <c r="AW26" s="16">
        <f t="shared" si="3"/>
        <v>30</v>
      </c>
      <c r="AX26" s="16">
        <f t="shared" si="4"/>
        <v>0</v>
      </c>
      <c r="AY26" s="16">
        <f t="shared" si="5"/>
        <v>0</v>
      </c>
      <c r="AZ26" s="21">
        <v>1500</v>
      </c>
      <c r="BA26" s="21">
        <v>100</v>
      </c>
      <c r="BB26" s="21">
        <f>200+100+200</f>
        <v>500</v>
      </c>
      <c r="BC26" s="19">
        <f t="shared" si="6"/>
        <v>1500</v>
      </c>
      <c r="BD26" s="19">
        <f t="shared" si="7"/>
        <v>100</v>
      </c>
      <c r="BE26" s="19">
        <f t="shared" si="8"/>
        <v>391</v>
      </c>
      <c r="BF26" s="19">
        <f t="shared" si="9"/>
        <v>500</v>
      </c>
      <c r="BG26" s="19">
        <f t="shared" si="10"/>
        <v>0</v>
      </c>
      <c r="BH26" s="19">
        <f t="shared" si="11"/>
        <v>0</v>
      </c>
      <c r="BI26" s="19">
        <v>95</v>
      </c>
      <c r="BJ26" s="19">
        <f t="shared" si="12"/>
        <v>2586</v>
      </c>
      <c r="BK26" s="19">
        <v>0</v>
      </c>
      <c r="BL26" s="19">
        <v>0</v>
      </c>
      <c r="BM26" s="19">
        <f t="shared" si="13"/>
        <v>0</v>
      </c>
      <c r="BN26" s="19">
        <f t="shared" si="14"/>
        <v>2586</v>
      </c>
      <c r="BO26" s="19">
        <v>0</v>
      </c>
      <c r="BP26" s="19">
        <v>0</v>
      </c>
      <c r="BQ26" s="22">
        <f t="shared" si="15"/>
        <v>2586</v>
      </c>
      <c r="BR26" s="82">
        <f t="shared" si="16"/>
        <v>0</v>
      </c>
      <c r="BS26" s="19">
        <f t="shared" si="17"/>
        <v>0</v>
      </c>
      <c r="BT26" s="19">
        <f t="shared" si="18"/>
        <v>0</v>
      </c>
      <c r="BU26" s="19">
        <f t="shared" si="19"/>
        <v>0</v>
      </c>
      <c r="BV26" s="19">
        <f t="shared" si="20"/>
        <v>0</v>
      </c>
      <c r="BW26" s="19">
        <f t="shared" si="21"/>
        <v>0</v>
      </c>
      <c r="BX26" s="19">
        <f t="shared" si="22"/>
        <v>25</v>
      </c>
      <c r="BY26" s="19">
        <f t="shared" si="23"/>
        <v>50</v>
      </c>
      <c r="BZ26" s="19">
        <f t="shared" si="24"/>
        <v>0</v>
      </c>
      <c r="CA26" s="19">
        <f t="shared" si="25"/>
        <v>0</v>
      </c>
      <c r="CB26" s="19">
        <f t="shared" si="26"/>
        <v>0</v>
      </c>
      <c r="CC26" s="19">
        <f t="shared" si="27"/>
        <v>0</v>
      </c>
      <c r="CD26" s="19">
        <f t="shared" si="28"/>
        <v>0</v>
      </c>
      <c r="CE26" s="19">
        <f t="shared" si="29"/>
        <v>0</v>
      </c>
      <c r="CF26" s="19">
        <f t="shared" si="30"/>
        <v>0</v>
      </c>
      <c r="CG26" s="19">
        <f t="shared" si="31"/>
        <v>0</v>
      </c>
      <c r="CH26" s="19">
        <f t="shared" si="32"/>
        <v>0</v>
      </c>
      <c r="CI26" s="19">
        <f t="shared" si="33"/>
        <v>0</v>
      </c>
      <c r="CJ26" s="19">
        <f t="shared" si="34"/>
        <v>0</v>
      </c>
      <c r="CK26" s="19">
        <f t="shared" si="35"/>
        <v>0</v>
      </c>
      <c r="CL26" s="19">
        <f t="shared" si="36"/>
        <v>0</v>
      </c>
      <c r="CM26" s="19">
        <f t="shared" si="37"/>
        <v>0</v>
      </c>
      <c r="CN26" s="19">
        <f t="shared" si="38"/>
        <v>0</v>
      </c>
      <c r="CO26" s="19">
        <f t="shared" si="39"/>
        <v>0</v>
      </c>
      <c r="CP26" s="19">
        <f t="shared" si="40"/>
        <v>0</v>
      </c>
      <c r="CQ26" s="19">
        <f t="shared" si="41"/>
        <v>0</v>
      </c>
      <c r="CR26" s="19">
        <f t="shared" si="42"/>
        <v>0</v>
      </c>
      <c r="CS26" s="19">
        <f t="shared" si="43"/>
        <v>0</v>
      </c>
      <c r="CT26" s="19">
        <f t="shared" si="44"/>
        <v>0</v>
      </c>
      <c r="CU26" s="19">
        <f t="shared" si="45"/>
        <v>0</v>
      </c>
      <c r="CV26" s="19">
        <f t="shared" si="46"/>
        <v>0</v>
      </c>
      <c r="CW26" s="19">
        <f t="shared" si="47"/>
        <v>0</v>
      </c>
      <c r="CX26" s="19">
        <f t="shared" si="48"/>
        <v>0</v>
      </c>
      <c r="CY26" s="19">
        <f t="shared" si="49"/>
        <v>0</v>
      </c>
      <c r="CZ26" s="19">
        <f t="shared" si="50"/>
        <v>0</v>
      </c>
      <c r="DA26" s="19">
        <f t="shared" si="51"/>
        <v>0</v>
      </c>
      <c r="DB26" s="19">
        <f t="shared" si="52"/>
        <v>0</v>
      </c>
      <c r="DC26" s="19">
        <f t="shared" si="53"/>
        <v>0</v>
      </c>
      <c r="DD26" s="19">
        <f t="shared" si="54"/>
        <v>0</v>
      </c>
      <c r="DE26" s="19">
        <f t="shared" si="55"/>
        <v>0</v>
      </c>
      <c r="DF26" s="19">
        <f t="shared" si="56"/>
        <v>0</v>
      </c>
      <c r="DG26" s="19">
        <f t="shared" si="57"/>
        <v>0</v>
      </c>
      <c r="DH26" s="19">
        <f t="shared" si="58"/>
        <v>0</v>
      </c>
      <c r="DI26" s="19">
        <f t="shared" si="59"/>
        <v>0</v>
      </c>
      <c r="DJ26" s="19">
        <f t="shared" si="60"/>
        <v>0</v>
      </c>
      <c r="DK26" s="19">
        <f t="shared" si="61"/>
        <v>0</v>
      </c>
      <c r="DL26" s="19">
        <f t="shared" si="62"/>
        <v>0</v>
      </c>
      <c r="DM26" s="19">
        <f t="shared" si="63"/>
        <v>0</v>
      </c>
      <c r="DN26" s="19">
        <f t="shared" si="64"/>
        <v>0</v>
      </c>
      <c r="DO26" s="19">
        <f t="shared" si="65"/>
        <v>0</v>
      </c>
      <c r="DP26" s="19">
        <f t="shared" si="66"/>
        <v>0</v>
      </c>
      <c r="DQ26" s="19">
        <f t="shared" si="67"/>
        <v>0</v>
      </c>
      <c r="DR26" s="19">
        <f t="shared" si="68"/>
        <v>0</v>
      </c>
      <c r="DS26" s="19">
        <f t="shared" si="69"/>
        <v>0</v>
      </c>
      <c r="DT26" s="19">
        <f t="shared" si="70"/>
        <v>0</v>
      </c>
      <c r="DU26" s="19">
        <f t="shared" si="71"/>
        <v>0</v>
      </c>
      <c r="DV26" s="19">
        <f t="shared" si="72"/>
        <v>0</v>
      </c>
      <c r="DW26" s="19">
        <f t="shared" si="73"/>
        <v>0</v>
      </c>
      <c r="DX26" s="19">
        <f t="shared" si="74"/>
        <v>0</v>
      </c>
      <c r="DY26" s="19">
        <f t="shared" si="75"/>
        <v>0</v>
      </c>
      <c r="DZ26" s="19">
        <f t="shared" si="76"/>
        <v>0</v>
      </c>
      <c r="EA26" s="19">
        <f t="shared" si="77"/>
        <v>0</v>
      </c>
      <c r="EB26" s="19">
        <f t="shared" si="78"/>
        <v>0</v>
      </c>
      <c r="EC26" s="19">
        <f t="shared" si="79"/>
        <v>0</v>
      </c>
    </row>
    <row r="27" spans="1:134" s="78" customFormat="1" ht="18" customHeight="1" x14ac:dyDescent="0.25">
      <c r="A27" s="15">
        <v>24</v>
      </c>
      <c r="B27" s="108" t="s">
        <v>163</v>
      </c>
      <c r="C27" s="74" t="s">
        <v>177</v>
      </c>
      <c r="D27" s="16" t="s">
        <v>61</v>
      </c>
      <c r="E27" s="18">
        <v>45214</v>
      </c>
      <c r="F27" s="19">
        <v>10</v>
      </c>
      <c r="G27" s="19">
        <v>10</v>
      </c>
      <c r="H27" s="19">
        <v>10</v>
      </c>
      <c r="I27" s="19">
        <v>10</v>
      </c>
      <c r="J27" s="19" t="s">
        <v>603</v>
      </c>
      <c r="K27" s="19">
        <v>10</v>
      </c>
      <c r="L27" s="19" t="s">
        <v>15</v>
      </c>
      <c r="M27" s="19">
        <v>10</v>
      </c>
      <c r="N27" s="19">
        <v>10</v>
      </c>
      <c r="O27" s="19">
        <v>10</v>
      </c>
      <c r="P27" s="19">
        <v>10</v>
      </c>
      <c r="Q27" s="19">
        <v>10</v>
      </c>
      <c r="R27" s="19">
        <v>10</v>
      </c>
      <c r="S27" s="19" t="s">
        <v>15</v>
      </c>
      <c r="T27" s="19">
        <v>10</v>
      </c>
      <c r="U27" s="19">
        <v>10</v>
      </c>
      <c r="V27" s="19">
        <v>10</v>
      </c>
      <c r="W27" s="19">
        <v>10</v>
      </c>
      <c r="X27" s="19">
        <v>10</v>
      </c>
      <c r="Y27" s="19">
        <v>10</v>
      </c>
      <c r="Z27" s="19" t="s">
        <v>15</v>
      </c>
      <c r="AA27" s="19">
        <v>10</v>
      </c>
      <c r="AB27" s="19">
        <v>10</v>
      </c>
      <c r="AC27" s="19">
        <v>10</v>
      </c>
      <c r="AD27" s="19">
        <v>10</v>
      </c>
      <c r="AE27" s="19">
        <v>10</v>
      </c>
      <c r="AF27" s="19">
        <v>10</v>
      </c>
      <c r="AG27" s="19" t="s">
        <v>15</v>
      </c>
      <c r="AH27" s="19">
        <v>10</v>
      </c>
      <c r="AI27" s="19">
        <v>10</v>
      </c>
      <c r="AJ27" s="19">
        <v>0</v>
      </c>
      <c r="AK27" s="19">
        <v>0</v>
      </c>
      <c r="AL27" s="19">
        <v>0</v>
      </c>
      <c r="AM27" s="19">
        <v>10</v>
      </c>
      <c r="AN27" s="19">
        <v>0</v>
      </c>
      <c r="AO27" s="19">
        <v>0</v>
      </c>
      <c r="AP27" s="19"/>
      <c r="AQ27" s="19"/>
      <c r="AR27" s="19"/>
      <c r="AS27" s="19">
        <v>0</v>
      </c>
      <c r="AT27" s="19">
        <f t="shared" si="0"/>
        <v>50</v>
      </c>
      <c r="AU27" s="19">
        <f t="shared" si="1"/>
        <v>10</v>
      </c>
      <c r="AV27" s="19">
        <f t="shared" si="2"/>
        <v>0</v>
      </c>
      <c r="AW27" s="16">
        <f t="shared" si="3"/>
        <v>30</v>
      </c>
      <c r="AX27" s="16">
        <f t="shared" si="4"/>
        <v>0</v>
      </c>
      <c r="AY27" s="16">
        <f t="shared" si="5"/>
        <v>0</v>
      </c>
      <c r="AZ27" s="21">
        <v>950</v>
      </c>
      <c r="BA27" s="21">
        <v>100</v>
      </c>
      <c r="BB27" s="21">
        <v>0</v>
      </c>
      <c r="BC27" s="19">
        <f t="shared" si="6"/>
        <v>950</v>
      </c>
      <c r="BD27" s="19">
        <f t="shared" si="7"/>
        <v>100</v>
      </c>
      <c r="BE27" s="19">
        <f t="shared" si="8"/>
        <v>307</v>
      </c>
      <c r="BF27" s="19">
        <f t="shared" si="9"/>
        <v>0</v>
      </c>
      <c r="BG27" s="19">
        <f t="shared" si="10"/>
        <v>0</v>
      </c>
      <c r="BH27" s="19">
        <f t="shared" si="11"/>
        <v>0</v>
      </c>
      <c r="BI27" s="19">
        <v>95</v>
      </c>
      <c r="BJ27" s="19">
        <f t="shared" si="12"/>
        <v>1452</v>
      </c>
      <c r="BK27" s="19">
        <v>0</v>
      </c>
      <c r="BL27" s="19">
        <v>0</v>
      </c>
      <c r="BM27" s="19">
        <f t="shared" si="13"/>
        <v>0</v>
      </c>
      <c r="BN27" s="19">
        <f t="shared" si="14"/>
        <v>1452</v>
      </c>
      <c r="BO27" s="19">
        <v>0</v>
      </c>
      <c r="BP27" s="19">
        <v>0</v>
      </c>
      <c r="BQ27" s="22">
        <f t="shared" si="15"/>
        <v>1452</v>
      </c>
      <c r="BR27" s="82">
        <f t="shared" si="16"/>
        <v>0</v>
      </c>
      <c r="BS27" s="19">
        <f t="shared" si="17"/>
        <v>0</v>
      </c>
      <c r="BT27" s="19">
        <f t="shared" si="18"/>
        <v>0</v>
      </c>
      <c r="BU27" s="19">
        <f t="shared" si="19"/>
        <v>0</v>
      </c>
      <c r="BV27" s="19">
        <f t="shared" si="20"/>
        <v>0</v>
      </c>
      <c r="BW27" s="19">
        <f t="shared" si="21"/>
        <v>0</v>
      </c>
      <c r="BX27" s="19">
        <f t="shared" si="22"/>
        <v>25</v>
      </c>
      <c r="BY27" s="19">
        <f t="shared" si="23"/>
        <v>50</v>
      </c>
      <c r="BZ27" s="19">
        <f t="shared" si="24"/>
        <v>0</v>
      </c>
      <c r="CA27" s="19">
        <f t="shared" si="25"/>
        <v>0</v>
      </c>
      <c r="CB27" s="19">
        <f t="shared" si="26"/>
        <v>0</v>
      </c>
      <c r="CC27" s="19">
        <f t="shared" si="27"/>
        <v>0</v>
      </c>
      <c r="CD27" s="19">
        <f t="shared" si="28"/>
        <v>0</v>
      </c>
      <c r="CE27" s="19">
        <f t="shared" si="29"/>
        <v>0</v>
      </c>
      <c r="CF27" s="19">
        <f t="shared" si="30"/>
        <v>0</v>
      </c>
      <c r="CG27" s="19">
        <f t="shared" si="31"/>
        <v>0</v>
      </c>
      <c r="CH27" s="19">
        <f t="shared" si="32"/>
        <v>0</v>
      </c>
      <c r="CI27" s="19">
        <f t="shared" si="33"/>
        <v>0</v>
      </c>
      <c r="CJ27" s="19">
        <f t="shared" si="34"/>
        <v>0</v>
      </c>
      <c r="CK27" s="19">
        <f t="shared" si="35"/>
        <v>0</v>
      </c>
      <c r="CL27" s="19">
        <f t="shared" si="36"/>
        <v>0</v>
      </c>
      <c r="CM27" s="19">
        <f t="shared" si="37"/>
        <v>0</v>
      </c>
      <c r="CN27" s="19">
        <f t="shared" si="38"/>
        <v>0</v>
      </c>
      <c r="CO27" s="19">
        <f t="shared" si="39"/>
        <v>0</v>
      </c>
      <c r="CP27" s="19">
        <f t="shared" si="40"/>
        <v>0</v>
      </c>
      <c r="CQ27" s="19">
        <f t="shared" si="41"/>
        <v>0</v>
      </c>
      <c r="CR27" s="19">
        <f t="shared" si="42"/>
        <v>0</v>
      </c>
      <c r="CS27" s="19">
        <f t="shared" si="43"/>
        <v>0</v>
      </c>
      <c r="CT27" s="19">
        <f t="shared" si="44"/>
        <v>0</v>
      </c>
      <c r="CU27" s="19">
        <f t="shared" si="45"/>
        <v>0</v>
      </c>
      <c r="CV27" s="19">
        <f t="shared" si="46"/>
        <v>0</v>
      </c>
      <c r="CW27" s="19">
        <f t="shared" si="47"/>
        <v>0</v>
      </c>
      <c r="CX27" s="19">
        <f t="shared" si="48"/>
        <v>0</v>
      </c>
      <c r="CY27" s="19">
        <f t="shared" si="49"/>
        <v>0</v>
      </c>
      <c r="CZ27" s="19">
        <f t="shared" si="50"/>
        <v>0</v>
      </c>
      <c r="DA27" s="19">
        <f t="shared" si="51"/>
        <v>0</v>
      </c>
      <c r="DB27" s="19">
        <f t="shared" si="52"/>
        <v>0</v>
      </c>
      <c r="DC27" s="19">
        <f t="shared" si="53"/>
        <v>0</v>
      </c>
      <c r="DD27" s="19">
        <f t="shared" si="54"/>
        <v>0</v>
      </c>
      <c r="DE27" s="19">
        <f t="shared" si="55"/>
        <v>0</v>
      </c>
      <c r="DF27" s="19">
        <f t="shared" si="56"/>
        <v>0</v>
      </c>
      <c r="DG27" s="19">
        <f t="shared" si="57"/>
        <v>0</v>
      </c>
      <c r="DH27" s="19">
        <f t="shared" si="58"/>
        <v>0</v>
      </c>
      <c r="DI27" s="19">
        <f t="shared" si="59"/>
        <v>0</v>
      </c>
      <c r="DJ27" s="19">
        <f t="shared" si="60"/>
        <v>0</v>
      </c>
      <c r="DK27" s="19">
        <f t="shared" si="61"/>
        <v>0</v>
      </c>
      <c r="DL27" s="19">
        <f t="shared" si="62"/>
        <v>0</v>
      </c>
      <c r="DM27" s="19">
        <f t="shared" si="63"/>
        <v>0</v>
      </c>
      <c r="DN27" s="19">
        <f t="shared" si="64"/>
        <v>0</v>
      </c>
      <c r="DO27" s="19">
        <f t="shared" si="65"/>
        <v>0</v>
      </c>
      <c r="DP27" s="19">
        <f t="shared" si="66"/>
        <v>0</v>
      </c>
      <c r="DQ27" s="19">
        <f t="shared" si="67"/>
        <v>0</v>
      </c>
      <c r="DR27" s="19">
        <f t="shared" si="68"/>
        <v>0</v>
      </c>
      <c r="DS27" s="19">
        <f t="shared" si="69"/>
        <v>0</v>
      </c>
      <c r="DT27" s="19">
        <f t="shared" si="70"/>
        <v>0</v>
      </c>
      <c r="DU27" s="19">
        <f t="shared" si="71"/>
        <v>0</v>
      </c>
      <c r="DV27" s="19">
        <f t="shared" si="72"/>
        <v>0</v>
      </c>
      <c r="DW27" s="19">
        <f t="shared" si="73"/>
        <v>0</v>
      </c>
      <c r="DX27" s="19">
        <f t="shared" si="74"/>
        <v>0</v>
      </c>
      <c r="DY27" s="19">
        <f t="shared" si="75"/>
        <v>0</v>
      </c>
      <c r="DZ27" s="19">
        <f t="shared" si="76"/>
        <v>0</v>
      </c>
      <c r="EA27" s="19">
        <f t="shared" si="77"/>
        <v>0</v>
      </c>
      <c r="EB27" s="19">
        <f t="shared" si="78"/>
        <v>0</v>
      </c>
      <c r="EC27" s="19">
        <f t="shared" si="79"/>
        <v>0</v>
      </c>
    </row>
    <row r="28" spans="1:134" s="78" customFormat="1" ht="18" customHeight="1" x14ac:dyDescent="0.25">
      <c r="A28" s="15">
        <v>25</v>
      </c>
      <c r="B28" s="108" t="s">
        <v>173</v>
      </c>
      <c r="C28" s="74" t="s">
        <v>219</v>
      </c>
      <c r="D28" s="16" t="s">
        <v>61</v>
      </c>
      <c r="E28" s="18">
        <v>45237</v>
      </c>
      <c r="F28" s="19">
        <v>11</v>
      </c>
      <c r="G28" s="19">
        <v>11</v>
      </c>
      <c r="H28" s="19">
        <v>10</v>
      </c>
      <c r="I28" s="19">
        <v>11</v>
      </c>
      <c r="J28" s="19" t="s">
        <v>603</v>
      </c>
      <c r="K28" s="19">
        <v>11</v>
      </c>
      <c r="L28" s="19" t="s">
        <v>15</v>
      </c>
      <c r="M28" s="19">
        <v>11</v>
      </c>
      <c r="N28" s="19">
        <v>10</v>
      </c>
      <c r="O28" s="19">
        <v>11</v>
      </c>
      <c r="P28" s="19">
        <v>11</v>
      </c>
      <c r="Q28" s="19">
        <v>11</v>
      </c>
      <c r="R28" s="19">
        <v>11</v>
      </c>
      <c r="S28" s="19" t="s">
        <v>15</v>
      </c>
      <c r="T28" s="19">
        <v>11</v>
      </c>
      <c r="U28" s="19">
        <v>11</v>
      </c>
      <c r="V28" s="19">
        <v>11</v>
      </c>
      <c r="W28" s="19">
        <v>11</v>
      </c>
      <c r="X28" s="19">
        <v>12</v>
      </c>
      <c r="Y28" s="19">
        <v>11</v>
      </c>
      <c r="Z28" s="19" t="s">
        <v>15</v>
      </c>
      <c r="AA28" s="19">
        <v>10</v>
      </c>
      <c r="AB28" s="19">
        <v>10</v>
      </c>
      <c r="AC28" s="19">
        <v>10</v>
      </c>
      <c r="AD28" s="19">
        <v>11</v>
      </c>
      <c r="AE28" s="19">
        <v>11</v>
      </c>
      <c r="AF28" s="19">
        <v>10</v>
      </c>
      <c r="AG28" s="19" t="s">
        <v>15</v>
      </c>
      <c r="AH28" s="19">
        <v>10</v>
      </c>
      <c r="AI28" s="19">
        <v>10</v>
      </c>
      <c r="AJ28" s="19">
        <v>10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/>
      <c r="AQ28" s="19"/>
      <c r="AR28" s="19"/>
      <c r="AS28" s="19">
        <v>0</v>
      </c>
      <c r="AT28" s="19">
        <f t="shared" si="0"/>
        <v>68</v>
      </c>
      <c r="AU28" s="19">
        <f t="shared" si="1"/>
        <v>10</v>
      </c>
      <c r="AV28" s="19">
        <f t="shared" si="2"/>
        <v>0</v>
      </c>
      <c r="AW28" s="16">
        <f t="shared" si="3"/>
        <v>30</v>
      </c>
      <c r="AX28" s="16">
        <f t="shared" si="4"/>
        <v>0</v>
      </c>
      <c r="AY28" s="16">
        <f t="shared" si="5"/>
        <v>0</v>
      </c>
      <c r="AZ28" s="21">
        <v>1000</v>
      </c>
      <c r="BA28" s="21">
        <v>100</v>
      </c>
      <c r="BB28" s="21">
        <v>0</v>
      </c>
      <c r="BC28" s="19">
        <f t="shared" si="6"/>
        <v>1000</v>
      </c>
      <c r="BD28" s="19">
        <f t="shared" si="7"/>
        <v>100</v>
      </c>
      <c r="BE28" s="19">
        <f t="shared" si="8"/>
        <v>417</v>
      </c>
      <c r="BF28" s="19">
        <f t="shared" si="9"/>
        <v>0</v>
      </c>
      <c r="BG28" s="19">
        <f t="shared" si="10"/>
        <v>0</v>
      </c>
      <c r="BH28" s="19">
        <f t="shared" si="11"/>
        <v>0</v>
      </c>
      <c r="BI28" s="19">
        <v>95</v>
      </c>
      <c r="BJ28" s="19">
        <f t="shared" si="12"/>
        <v>1612</v>
      </c>
      <c r="BK28" s="19">
        <v>0</v>
      </c>
      <c r="BL28" s="19">
        <v>0</v>
      </c>
      <c r="BM28" s="19">
        <f t="shared" si="13"/>
        <v>0</v>
      </c>
      <c r="BN28" s="19">
        <f t="shared" si="14"/>
        <v>1612</v>
      </c>
      <c r="BO28" s="19">
        <v>0</v>
      </c>
      <c r="BP28" s="19">
        <v>0</v>
      </c>
      <c r="BQ28" s="22">
        <f t="shared" si="15"/>
        <v>1612</v>
      </c>
      <c r="BR28" s="82">
        <f t="shared" si="16"/>
        <v>0</v>
      </c>
      <c r="BS28" s="19">
        <f t="shared" si="17"/>
        <v>0</v>
      </c>
      <c r="BT28" s="19">
        <f t="shared" si="18"/>
        <v>0</v>
      </c>
      <c r="BU28" s="19">
        <f t="shared" si="19"/>
        <v>0</v>
      </c>
      <c r="BV28" s="19">
        <f t="shared" si="20"/>
        <v>0</v>
      </c>
      <c r="BW28" s="19">
        <f t="shared" si="21"/>
        <v>0</v>
      </c>
      <c r="BX28" s="19">
        <f t="shared" si="22"/>
        <v>8</v>
      </c>
      <c r="BY28" s="19">
        <f t="shared" si="23"/>
        <v>16</v>
      </c>
      <c r="BZ28" s="19">
        <f t="shared" si="24"/>
        <v>0</v>
      </c>
      <c r="CA28" s="19">
        <f t="shared" si="25"/>
        <v>0</v>
      </c>
      <c r="CB28" s="19">
        <f t="shared" si="26"/>
        <v>16</v>
      </c>
      <c r="CC28" s="19">
        <f t="shared" si="27"/>
        <v>48</v>
      </c>
      <c r="CD28" s="19">
        <f t="shared" si="28"/>
        <v>0</v>
      </c>
      <c r="CE28" s="19">
        <f t="shared" si="29"/>
        <v>0</v>
      </c>
      <c r="CF28" s="19">
        <f t="shared" si="30"/>
        <v>1</v>
      </c>
      <c r="CG28" s="19">
        <f t="shared" si="31"/>
        <v>4</v>
      </c>
      <c r="CH28" s="19">
        <f t="shared" si="32"/>
        <v>0</v>
      </c>
      <c r="CI28" s="19">
        <f t="shared" si="33"/>
        <v>0</v>
      </c>
      <c r="CJ28" s="19">
        <f t="shared" si="34"/>
        <v>0</v>
      </c>
      <c r="CK28" s="19">
        <f t="shared" si="35"/>
        <v>0</v>
      </c>
      <c r="CL28" s="19">
        <f t="shared" si="36"/>
        <v>0</v>
      </c>
      <c r="CM28" s="19">
        <f t="shared" si="37"/>
        <v>0</v>
      </c>
      <c r="CN28" s="19">
        <f t="shared" si="38"/>
        <v>0</v>
      </c>
      <c r="CO28" s="19">
        <f t="shared" si="39"/>
        <v>0</v>
      </c>
      <c r="CP28" s="19">
        <f t="shared" si="40"/>
        <v>0</v>
      </c>
      <c r="CQ28" s="19">
        <f t="shared" si="41"/>
        <v>0</v>
      </c>
      <c r="CR28" s="19">
        <f t="shared" si="42"/>
        <v>0</v>
      </c>
      <c r="CS28" s="19">
        <f t="shared" si="43"/>
        <v>0</v>
      </c>
      <c r="CT28" s="19">
        <f t="shared" si="44"/>
        <v>0</v>
      </c>
      <c r="CU28" s="19">
        <f t="shared" si="45"/>
        <v>0</v>
      </c>
      <c r="CV28" s="19">
        <f t="shared" si="46"/>
        <v>0</v>
      </c>
      <c r="CW28" s="19">
        <f t="shared" si="47"/>
        <v>0</v>
      </c>
      <c r="CX28" s="19">
        <f t="shared" si="48"/>
        <v>0</v>
      </c>
      <c r="CY28" s="19">
        <f t="shared" si="49"/>
        <v>0</v>
      </c>
      <c r="CZ28" s="19">
        <f t="shared" si="50"/>
        <v>0</v>
      </c>
      <c r="DA28" s="19">
        <f t="shared" si="51"/>
        <v>0</v>
      </c>
      <c r="DB28" s="19">
        <f t="shared" si="52"/>
        <v>0</v>
      </c>
      <c r="DC28" s="19">
        <f t="shared" si="53"/>
        <v>0</v>
      </c>
      <c r="DD28" s="19">
        <f t="shared" si="54"/>
        <v>0</v>
      </c>
      <c r="DE28" s="19">
        <f t="shared" si="55"/>
        <v>0</v>
      </c>
      <c r="DF28" s="19">
        <f t="shared" si="56"/>
        <v>0</v>
      </c>
      <c r="DG28" s="19">
        <f t="shared" si="57"/>
        <v>0</v>
      </c>
      <c r="DH28" s="19">
        <f t="shared" si="58"/>
        <v>0</v>
      </c>
      <c r="DI28" s="19">
        <f t="shared" si="59"/>
        <v>0</v>
      </c>
      <c r="DJ28" s="19">
        <f t="shared" si="60"/>
        <v>0</v>
      </c>
      <c r="DK28" s="19">
        <f t="shared" si="61"/>
        <v>0</v>
      </c>
      <c r="DL28" s="19">
        <f t="shared" si="62"/>
        <v>0</v>
      </c>
      <c r="DM28" s="19">
        <f t="shared" si="63"/>
        <v>0</v>
      </c>
      <c r="DN28" s="19">
        <f t="shared" si="64"/>
        <v>0</v>
      </c>
      <c r="DO28" s="19">
        <f t="shared" si="65"/>
        <v>0</v>
      </c>
      <c r="DP28" s="19">
        <f t="shared" si="66"/>
        <v>0</v>
      </c>
      <c r="DQ28" s="19">
        <f t="shared" si="67"/>
        <v>0</v>
      </c>
      <c r="DR28" s="19">
        <f t="shared" si="68"/>
        <v>0</v>
      </c>
      <c r="DS28" s="19">
        <f t="shared" si="69"/>
        <v>0</v>
      </c>
      <c r="DT28" s="19">
        <f t="shared" si="70"/>
        <v>0</v>
      </c>
      <c r="DU28" s="19">
        <f t="shared" si="71"/>
        <v>0</v>
      </c>
      <c r="DV28" s="19">
        <f t="shared" si="72"/>
        <v>0</v>
      </c>
      <c r="DW28" s="19">
        <f t="shared" si="73"/>
        <v>0</v>
      </c>
      <c r="DX28" s="19">
        <f t="shared" si="74"/>
        <v>0</v>
      </c>
      <c r="DY28" s="19">
        <f t="shared" si="75"/>
        <v>0</v>
      </c>
      <c r="DZ28" s="19">
        <f t="shared" si="76"/>
        <v>0</v>
      </c>
      <c r="EA28" s="19">
        <f t="shared" si="77"/>
        <v>0</v>
      </c>
      <c r="EB28" s="19">
        <f t="shared" si="78"/>
        <v>0</v>
      </c>
      <c r="EC28" s="19">
        <f t="shared" si="79"/>
        <v>0</v>
      </c>
    </row>
    <row r="29" spans="1:134" s="78" customFormat="1" ht="18" customHeight="1" x14ac:dyDescent="0.25">
      <c r="A29" s="15">
        <v>26</v>
      </c>
      <c r="B29" s="108" t="s">
        <v>224</v>
      </c>
      <c r="C29" s="74" t="s">
        <v>225</v>
      </c>
      <c r="D29" s="16" t="s">
        <v>61</v>
      </c>
      <c r="E29" s="18">
        <v>45253</v>
      </c>
      <c r="F29" s="19">
        <v>13</v>
      </c>
      <c r="G29" s="19">
        <v>12</v>
      </c>
      <c r="H29" s="19">
        <v>12</v>
      </c>
      <c r="I29" s="19">
        <v>12</v>
      </c>
      <c r="J29" s="19" t="s">
        <v>603</v>
      </c>
      <c r="K29" s="19">
        <v>12</v>
      </c>
      <c r="L29" s="19" t="s">
        <v>15</v>
      </c>
      <c r="M29" s="19">
        <v>10</v>
      </c>
      <c r="N29" s="19">
        <v>12</v>
      </c>
      <c r="O29" s="19">
        <v>10</v>
      </c>
      <c r="P29" s="19">
        <v>10</v>
      </c>
      <c r="Q29" s="19">
        <v>10</v>
      </c>
      <c r="R29" s="19">
        <v>10</v>
      </c>
      <c r="S29" s="19" t="s">
        <v>15</v>
      </c>
      <c r="T29" s="19">
        <v>10</v>
      </c>
      <c r="U29" s="19">
        <v>10</v>
      </c>
      <c r="V29" s="19">
        <v>8</v>
      </c>
      <c r="W29" s="19">
        <v>10</v>
      </c>
      <c r="X29" s="19">
        <v>10</v>
      </c>
      <c r="Y29" s="19">
        <v>10</v>
      </c>
      <c r="Z29" s="19" t="s">
        <v>15</v>
      </c>
      <c r="AA29" s="19">
        <v>10</v>
      </c>
      <c r="AB29" s="19">
        <v>12</v>
      </c>
      <c r="AC29" s="19">
        <v>10</v>
      </c>
      <c r="AD29" s="19">
        <v>10</v>
      </c>
      <c r="AE29" s="19">
        <v>12</v>
      </c>
      <c r="AF29" s="19">
        <v>11</v>
      </c>
      <c r="AG29" s="19" t="s">
        <v>15</v>
      </c>
      <c r="AH29" s="19">
        <v>11</v>
      </c>
      <c r="AI29" s="19">
        <v>11</v>
      </c>
      <c r="AJ29" s="19">
        <v>0</v>
      </c>
      <c r="AK29" s="19">
        <v>0</v>
      </c>
      <c r="AL29" s="19">
        <v>11</v>
      </c>
      <c r="AM29" s="19">
        <v>10</v>
      </c>
      <c r="AN29" s="19">
        <v>0</v>
      </c>
      <c r="AO29" s="19">
        <v>12</v>
      </c>
      <c r="AP29" s="19"/>
      <c r="AQ29" s="19"/>
      <c r="AR29" s="19"/>
      <c r="AS29" s="19">
        <v>0</v>
      </c>
      <c r="AT29" s="19">
        <f t="shared" si="0"/>
        <v>68</v>
      </c>
      <c r="AU29" s="19">
        <f t="shared" si="1"/>
        <v>21</v>
      </c>
      <c r="AV29" s="19">
        <f t="shared" si="2"/>
        <v>12</v>
      </c>
      <c r="AW29" s="16">
        <f t="shared" si="3"/>
        <v>30</v>
      </c>
      <c r="AX29" s="16">
        <f t="shared" si="4"/>
        <v>0</v>
      </c>
      <c r="AY29" s="16">
        <f t="shared" si="5"/>
        <v>0</v>
      </c>
      <c r="AZ29" s="21">
        <v>900</v>
      </c>
      <c r="BA29" s="21">
        <v>100</v>
      </c>
      <c r="BB29" s="21">
        <v>0</v>
      </c>
      <c r="BC29" s="19">
        <f t="shared" si="6"/>
        <v>900</v>
      </c>
      <c r="BD29" s="19">
        <f t="shared" si="7"/>
        <v>100</v>
      </c>
      <c r="BE29" s="19">
        <f t="shared" si="8"/>
        <v>504</v>
      </c>
      <c r="BF29" s="19">
        <f t="shared" si="9"/>
        <v>0</v>
      </c>
      <c r="BG29" s="19">
        <f t="shared" si="10"/>
        <v>0</v>
      </c>
      <c r="BH29" s="19">
        <f t="shared" si="11"/>
        <v>0</v>
      </c>
      <c r="BI29" s="19">
        <v>95</v>
      </c>
      <c r="BJ29" s="19">
        <f t="shared" si="12"/>
        <v>1599</v>
      </c>
      <c r="BK29" s="19">
        <v>0</v>
      </c>
      <c r="BL29" s="19">
        <v>0</v>
      </c>
      <c r="BM29" s="19">
        <f t="shared" si="13"/>
        <v>0</v>
      </c>
      <c r="BN29" s="19">
        <f t="shared" si="14"/>
        <v>1599</v>
      </c>
      <c r="BO29" s="19">
        <v>0</v>
      </c>
      <c r="BP29" s="19">
        <v>0</v>
      </c>
      <c r="BQ29" s="22">
        <f t="shared" si="15"/>
        <v>1599</v>
      </c>
      <c r="BR29" s="82">
        <f t="shared" si="16"/>
        <v>0</v>
      </c>
      <c r="BS29" s="19">
        <f t="shared" si="17"/>
        <v>0</v>
      </c>
      <c r="BT29" s="19">
        <f t="shared" si="18"/>
        <v>0</v>
      </c>
      <c r="BU29" s="19">
        <f t="shared" si="19"/>
        <v>0</v>
      </c>
      <c r="BV29" s="19">
        <f t="shared" si="20"/>
        <v>0</v>
      </c>
      <c r="BW29" s="19">
        <f t="shared" si="21"/>
        <v>0</v>
      </c>
      <c r="BX29" s="19">
        <f t="shared" si="22"/>
        <v>13</v>
      </c>
      <c r="BY29" s="19">
        <f t="shared" si="23"/>
        <v>26</v>
      </c>
      <c r="BZ29" s="19">
        <f t="shared" si="24"/>
        <v>0</v>
      </c>
      <c r="CA29" s="19">
        <f t="shared" si="25"/>
        <v>0</v>
      </c>
      <c r="CB29" s="19">
        <f t="shared" si="26"/>
        <v>3</v>
      </c>
      <c r="CC29" s="19">
        <f t="shared" si="27"/>
        <v>9</v>
      </c>
      <c r="CD29" s="19">
        <f t="shared" si="28"/>
        <v>0</v>
      </c>
      <c r="CE29" s="19">
        <f t="shared" si="29"/>
        <v>0</v>
      </c>
      <c r="CF29" s="19">
        <f t="shared" si="30"/>
        <v>7</v>
      </c>
      <c r="CG29" s="19">
        <f t="shared" si="31"/>
        <v>28</v>
      </c>
      <c r="CH29" s="19">
        <f t="shared" si="32"/>
        <v>0</v>
      </c>
      <c r="CI29" s="19">
        <f t="shared" si="33"/>
        <v>0</v>
      </c>
      <c r="CJ29" s="19">
        <f t="shared" si="34"/>
        <v>1</v>
      </c>
      <c r="CK29" s="19">
        <f t="shared" si="35"/>
        <v>5</v>
      </c>
      <c r="CL29" s="19">
        <f t="shared" si="36"/>
        <v>0</v>
      </c>
      <c r="CM29" s="19">
        <f t="shared" si="37"/>
        <v>0</v>
      </c>
      <c r="CN29" s="19">
        <f t="shared" si="38"/>
        <v>0</v>
      </c>
      <c r="CO29" s="19">
        <f t="shared" si="39"/>
        <v>0</v>
      </c>
      <c r="CP29" s="19">
        <f t="shared" si="40"/>
        <v>0</v>
      </c>
      <c r="CQ29" s="19">
        <f t="shared" si="41"/>
        <v>0</v>
      </c>
      <c r="CR29" s="19">
        <f t="shared" si="42"/>
        <v>0</v>
      </c>
      <c r="CS29" s="19">
        <f t="shared" si="43"/>
        <v>0</v>
      </c>
      <c r="CT29" s="19">
        <f t="shared" si="44"/>
        <v>0</v>
      </c>
      <c r="CU29" s="19">
        <f t="shared" si="45"/>
        <v>0</v>
      </c>
      <c r="CV29" s="19">
        <f t="shared" si="46"/>
        <v>0</v>
      </c>
      <c r="CW29" s="19">
        <f t="shared" si="47"/>
        <v>0</v>
      </c>
      <c r="CX29" s="19">
        <f t="shared" si="48"/>
        <v>0</v>
      </c>
      <c r="CY29" s="19">
        <f t="shared" si="49"/>
        <v>0</v>
      </c>
      <c r="CZ29" s="19">
        <f t="shared" si="50"/>
        <v>0</v>
      </c>
      <c r="DA29" s="19">
        <f t="shared" si="51"/>
        <v>0</v>
      </c>
      <c r="DB29" s="19">
        <f t="shared" si="52"/>
        <v>0</v>
      </c>
      <c r="DC29" s="19">
        <f t="shared" si="53"/>
        <v>0</v>
      </c>
      <c r="DD29" s="19">
        <f t="shared" si="54"/>
        <v>0</v>
      </c>
      <c r="DE29" s="19">
        <f t="shared" si="55"/>
        <v>0</v>
      </c>
      <c r="DF29" s="19">
        <f t="shared" si="56"/>
        <v>0</v>
      </c>
      <c r="DG29" s="19">
        <f t="shared" si="57"/>
        <v>0</v>
      </c>
      <c r="DH29" s="19">
        <f t="shared" si="58"/>
        <v>0</v>
      </c>
      <c r="DI29" s="19">
        <f t="shared" si="59"/>
        <v>0</v>
      </c>
      <c r="DJ29" s="19">
        <f t="shared" si="60"/>
        <v>0</v>
      </c>
      <c r="DK29" s="19">
        <f t="shared" si="61"/>
        <v>0</v>
      </c>
      <c r="DL29" s="19">
        <f t="shared" si="62"/>
        <v>0</v>
      </c>
      <c r="DM29" s="19">
        <f t="shared" si="63"/>
        <v>0</v>
      </c>
      <c r="DN29" s="19">
        <f t="shared" si="64"/>
        <v>0</v>
      </c>
      <c r="DO29" s="19">
        <f t="shared" si="65"/>
        <v>0</v>
      </c>
      <c r="DP29" s="19">
        <f t="shared" si="66"/>
        <v>0</v>
      </c>
      <c r="DQ29" s="19">
        <f t="shared" si="67"/>
        <v>0</v>
      </c>
      <c r="DR29" s="19">
        <f t="shared" si="68"/>
        <v>0</v>
      </c>
      <c r="DS29" s="19">
        <f t="shared" si="69"/>
        <v>0</v>
      </c>
      <c r="DT29" s="19">
        <f t="shared" si="70"/>
        <v>0</v>
      </c>
      <c r="DU29" s="19">
        <f t="shared" si="71"/>
        <v>0</v>
      </c>
      <c r="DV29" s="19">
        <f t="shared" si="72"/>
        <v>0</v>
      </c>
      <c r="DW29" s="19">
        <f t="shared" si="73"/>
        <v>0</v>
      </c>
      <c r="DX29" s="19">
        <f t="shared" si="74"/>
        <v>0</v>
      </c>
      <c r="DY29" s="19">
        <f t="shared" si="75"/>
        <v>0</v>
      </c>
      <c r="DZ29" s="19">
        <f t="shared" si="76"/>
        <v>0</v>
      </c>
      <c r="EA29" s="19">
        <f t="shared" si="77"/>
        <v>0</v>
      </c>
      <c r="EB29" s="19">
        <f t="shared" si="78"/>
        <v>0</v>
      </c>
      <c r="EC29" s="19">
        <f t="shared" si="79"/>
        <v>0</v>
      </c>
    </row>
    <row r="30" spans="1:134" s="78" customFormat="1" ht="18" customHeight="1" x14ac:dyDescent="0.25">
      <c r="A30" s="15">
        <v>27</v>
      </c>
      <c r="B30" s="108" t="s">
        <v>231</v>
      </c>
      <c r="C30" s="74" t="s">
        <v>230</v>
      </c>
      <c r="D30" s="16" t="s">
        <v>61</v>
      </c>
      <c r="E30" s="18">
        <v>45254</v>
      </c>
      <c r="F30" s="19">
        <v>10</v>
      </c>
      <c r="G30" s="19">
        <v>10</v>
      </c>
      <c r="H30" s="19">
        <v>10</v>
      </c>
      <c r="I30" s="19">
        <v>10</v>
      </c>
      <c r="J30" s="19" t="s">
        <v>603</v>
      </c>
      <c r="K30" s="19">
        <v>10</v>
      </c>
      <c r="L30" s="19" t="s">
        <v>15</v>
      </c>
      <c r="M30" s="19">
        <v>10</v>
      </c>
      <c r="N30" s="19">
        <v>10</v>
      </c>
      <c r="O30" s="19">
        <v>10</v>
      </c>
      <c r="P30" s="19">
        <v>10</v>
      </c>
      <c r="Q30" s="19">
        <v>10</v>
      </c>
      <c r="R30" s="19">
        <v>10</v>
      </c>
      <c r="S30" s="19" t="s">
        <v>15</v>
      </c>
      <c r="T30" s="19">
        <v>10</v>
      </c>
      <c r="U30" s="19">
        <v>10</v>
      </c>
      <c r="V30" s="19">
        <v>10</v>
      </c>
      <c r="W30" s="19">
        <v>10</v>
      </c>
      <c r="X30" s="19">
        <v>10</v>
      </c>
      <c r="Y30" s="19">
        <v>10</v>
      </c>
      <c r="Z30" s="19" t="s">
        <v>15</v>
      </c>
      <c r="AA30" s="19">
        <v>10</v>
      </c>
      <c r="AB30" s="19">
        <v>10</v>
      </c>
      <c r="AC30" s="19">
        <v>10</v>
      </c>
      <c r="AD30" s="19">
        <v>10</v>
      </c>
      <c r="AE30" s="19">
        <v>10</v>
      </c>
      <c r="AF30" s="19">
        <v>10</v>
      </c>
      <c r="AG30" s="19" t="s">
        <v>15</v>
      </c>
      <c r="AH30" s="19">
        <v>10</v>
      </c>
      <c r="AI30" s="19">
        <v>10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/>
      <c r="AQ30" s="19"/>
      <c r="AR30" s="19"/>
      <c r="AS30" s="19">
        <v>0</v>
      </c>
      <c r="AT30" s="19">
        <f t="shared" si="0"/>
        <v>50</v>
      </c>
      <c r="AU30" s="19">
        <f t="shared" si="1"/>
        <v>0</v>
      </c>
      <c r="AV30" s="19">
        <f t="shared" si="2"/>
        <v>0</v>
      </c>
      <c r="AW30" s="16">
        <f t="shared" si="3"/>
        <v>30</v>
      </c>
      <c r="AX30" s="16">
        <f t="shared" si="4"/>
        <v>0</v>
      </c>
      <c r="AY30" s="16">
        <f t="shared" si="5"/>
        <v>0</v>
      </c>
      <c r="AZ30" s="21">
        <v>950</v>
      </c>
      <c r="BA30" s="21">
        <v>100</v>
      </c>
      <c r="BB30" s="21">
        <v>0</v>
      </c>
      <c r="BC30" s="19">
        <f t="shared" si="6"/>
        <v>950</v>
      </c>
      <c r="BD30" s="19">
        <f t="shared" si="7"/>
        <v>100</v>
      </c>
      <c r="BE30" s="19">
        <f t="shared" si="8"/>
        <v>247</v>
      </c>
      <c r="BF30" s="19">
        <f t="shared" si="9"/>
        <v>0</v>
      </c>
      <c r="BG30" s="19">
        <f t="shared" si="10"/>
        <v>0</v>
      </c>
      <c r="BH30" s="19">
        <f t="shared" si="11"/>
        <v>0</v>
      </c>
      <c r="BI30" s="19">
        <v>95</v>
      </c>
      <c r="BJ30" s="19">
        <f t="shared" si="12"/>
        <v>1392</v>
      </c>
      <c r="BK30" s="19">
        <v>0</v>
      </c>
      <c r="BL30" s="19">
        <v>0</v>
      </c>
      <c r="BM30" s="19">
        <f t="shared" si="13"/>
        <v>0</v>
      </c>
      <c r="BN30" s="19">
        <f t="shared" si="14"/>
        <v>1392</v>
      </c>
      <c r="BO30" s="19">
        <v>0</v>
      </c>
      <c r="BP30" s="19">
        <v>0</v>
      </c>
      <c r="BQ30" s="22">
        <f t="shared" si="15"/>
        <v>1392</v>
      </c>
      <c r="BR30" s="82">
        <f t="shared" si="16"/>
        <v>0</v>
      </c>
      <c r="BS30" s="19">
        <f t="shared" si="17"/>
        <v>0</v>
      </c>
      <c r="BT30" s="19">
        <f t="shared" si="18"/>
        <v>0</v>
      </c>
      <c r="BU30" s="19">
        <f t="shared" si="19"/>
        <v>0</v>
      </c>
      <c r="BV30" s="19">
        <f t="shared" si="20"/>
        <v>0</v>
      </c>
      <c r="BW30" s="19">
        <f t="shared" si="21"/>
        <v>0</v>
      </c>
      <c r="BX30" s="19">
        <f t="shared" si="22"/>
        <v>25</v>
      </c>
      <c r="BY30" s="19">
        <f t="shared" si="23"/>
        <v>50</v>
      </c>
      <c r="BZ30" s="19">
        <f t="shared" si="24"/>
        <v>0</v>
      </c>
      <c r="CA30" s="19">
        <f t="shared" si="25"/>
        <v>0</v>
      </c>
      <c r="CB30" s="19">
        <f t="shared" si="26"/>
        <v>0</v>
      </c>
      <c r="CC30" s="19">
        <f t="shared" si="27"/>
        <v>0</v>
      </c>
      <c r="CD30" s="19">
        <f t="shared" si="28"/>
        <v>0</v>
      </c>
      <c r="CE30" s="19">
        <f t="shared" si="29"/>
        <v>0</v>
      </c>
      <c r="CF30" s="19">
        <f t="shared" si="30"/>
        <v>0</v>
      </c>
      <c r="CG30" s="19">
        <f t="shared" si="31"/>
        <v>0</v>
      </c>
      <c r="CH30" s="19">
        <f t="shared" si="32"/>
        <v>0</v>
      </c>
      <c r="CI30" s="19">
        <f t="shared" si="33"/>
        <v>0</v>
      </c>
      <c r="CJ30" s="19">
        <f t="shared" si="34"/>
        <v>0</v>
      </c>
      <c r="CK30" s="19">
        <f t="shared" si="35"/>
        <v>0</v>
      </c>
      <c r="CL30" s="19">
        <f t="shared" si="36"/>
        <v>0</v>
      </c>
      <c r="CM30" s="19">
        <f t="shared" si="37"/>
        <v>0</v>
      </c>
      <c r="CN30" s="19">
        <f t="shared" si="38"/>
        <v>0</v>
      </c>
      <c r="CO30" s="19">
        <f t="shared" si="39"/>
        <v>0</v>
      </c>
      <c r="CP30" s="19">
        <f t="shared" si="40"/>
        <v>0</v>
      </c>
      <c r="CQ30" s="19">
        <f t="shared" si="41"/>
        <v>0</v>
      </c>
      <c r="CR30" s="19">
        <f t="shared" si="42"/>
        <v>0</v>
      </c>
      <c r="CS30" s="19">
        <f t="shared" si="43"/>
        <v>0</v>
      </c>
      <c r="CT30" s="19">
        <f t="shared" si="44"/>
        <v>0</v>
      </c>
      <c r="CU30" s="19">
        <f t="shared" si="45"/>
        <v>0</v>
      </c>
      <c r="CV30" s="19">
        <f t="shared" si="46"/>
        <v>0</v>
      </c>
      <c r="CW30" s="19">
        <f t="shared" si="47"/>
        <v>0</v>
      </c>
      <c r="CX30" s="19">
        <f t="shared" si="48"/>
        <v>0</v>
      </c>
      <c r="CY30" s="19">
        <f t="shared" si="49"/>
        <v>0</v>
      </c>
      <c r="CZ30" s="19">
        <f t="shared" si="50"/>
        <v>0</v>
      </c>
      <c r="DA30" s="19">
        <f t="shared" si="51"/>
        <v>0</v>
      </c>
      <c r="DB30" s="19">
        <f t="shared" si="52"/>
        <v>0</v>
      </c>
      <c r="DC30" s="19">
        <f t="shared" si="53"/>
        <v>0</v>
      </c>
      <c r="DD30" s="19">
        <f t="shared" si="54"/>
        <v>0</v>
      </c>
      <c r="DE30" s="19">
        <f t="shared" si="55"/>
        <v>0</v>
      </c>
      <c r="DF30" s="19">
        <f t="shared" si="56"/>
        <v>0</v>
      </c>
      <c r="DG30" s="19">
        <f t="shared" si="57"/>
        <v>0</v>
      </c>
      <c r="DH30" s="19">
        <f t="shared" si="58"/>
        <v>0</v>
      </c>
      <c r="DI30" s="19">
        <f t="shared" si="59"/>
        <v>0</v>
      </c>
      <c r="DJ30" s="19">
        <f t="shared" si="60"/>
        <v>0</v>
      </c>
      <c r="DK30" s="19">
        <f t="shared" si="61"/>
        <v>0</v>
      </c>
      <c r="DL30" s="19">
        <f t="shared" si="62"/>
        <v>0</v>
      </c>
      <c r="DM30" s="19">
        <f t="shared" si="63"/>
        <v>0</v>
      </c>
      <c r="DN30" s="19">
        <f t="shared" si="64"/>
        <v>0</v>
      </c>
      <c r="DO30" s="19">
        <f t="shared" si="65"/>
        <v>0</v>
      </c>
      <c r="DP30" s="19">
        <f t="shared" si="66"/>
        <v>0</v>
      </c>
      <c r="DQ30" s="19">
        <f t="shared" si="67"/>
        <v>0</v>
      </c>
      <c r="DR30" s="19">
        <f t="shared" si="68"/>
        <v>0</v>
      </c>
      <c r="DS30" s="19">
        <f t="shared" si="69"/>
        <v>0</v>
      </c>
      <c r="DT30" s="19">
        <f t="shared" si="70"/>
        <v>0</v>
      </c>
      <c r="DU30" s="19">
        <f t="shared" si="71"/>
        <v>0</v>
      </c>
      <c r="DV30" s="19">
        <f t="shared" si="72"/>
        <v>0</v>
      </c>
      <c r="DW30" s="19">
        <f t="shared" si="73"/>
        <v>0</v>
      </c>
      <c r="DX30" s="19">
        <f t="shared" si="74"/>
        <v>0</v>
      </c>
      <c r="DY30" s="19">
        <f t="shared" si="75"/>
        <v>0</v>
      </c>
      <c r="DZ30" s="19">
        <f t="shared" si="76"/>
        <v>0</v>
      </c>
      <c r="EA30" s="19">
        <f t="shared" si="77"/>
        <v>0</v>
      </c>
      <c r="EB30" s="19">
        <f t="shared" si="78"/>
        <v>0</v>
      </c>
      <c r="EC30" s="19">
        <f t="shared" si="79"/>
        <v>0</v>
      </c>
    </row>
    <row r="31" spans="1:134" s="78" customFormat="1" ht="18" customHeight="1" x14ac:dyDescent="0.25">
      <c r="A31" s="15">
        <v>28</v>
      </c>
      <c r="B31" s="108" t="s">
        <v>232</v>
      </c>
      <c r="C31" s="74" t="s">
        <v>233</v>
      </c>
      <c r="D31" s="16" t="s">
        <v>61</v>
      </c>
      <c r="E31" s="18">
        <v>45254</v>
      </c>
      <c r="F31" s="19" t="s">
        <v>316</v>
      </c>
      <c r="G31" s="19">
        <v>10</v>
      </c>
      <c r="H31" s="19">
        <v>10</v>
      </c>
      <c r="I31" s="19">
        <v>10</v>
      </c>
      <c r="J31" s="19" t="s">
        <v>603</v>
      </c>
      <c r="K31" s="19">
        <v>10</v>
      </c>
      <c r="L31" s="19" t="s">
        <v>316</v>
      </c>
      <c r="M31" s="19">
        <v>10</v>
      </c>
      <c r="N31" s="19">
        <v>10</v>
      </c>
      <c r="O31" s="19">
        <v>10</v>
      </c>
      <c r="P31" s="19">
        <v>10</v>
      </c>
      <c r="Q31" s="19">
        <v>10</v>
      </c>
      <c r="R31" s="19">
        <v>10</v>
      </c>
      <c r="S31" s="19" t="s">
        <v>15</v>
      </c>
      <c r="T31" s="19">
        <v>10</v>
      </c>
      <c r="U31" s="19">
        <v>10</v>
      </c>
      <c r="V31" s="19">
        <v>10</v>
      </c>
      <c r="W31" s="19">
        <v>10</v>
      </c>
      <c r="X31" s="19">
        <v>10</v>
      </c>
      <c r="Y31" s="19">
        <v>10</v>
      </c>
      <c r="Z31" s="19" t="s">
        <v>15</v>
      </c>
      <c r="AA31" s="19">
        <v>10</v>
      </c>
      <c r="AB31" s="19">
        <v>10</v>
      </c>
      <c r="AC31" s="19">
        <v>10</v>
      </c>
      <c r="AD31" s="19">
        <v>10</v>
      </c>
      <c r="AE31" s="19">
        <v>10</v>
      </c>
      <c r="AF31" s="19">
        <v>10</v>
      </c>
      <c r="AG31" s="19" t="s">
        <v>15</v>
      </c>
      <c r="AH31" s="19">
        <v>10</v>
      </c>
      <c r="AI31" s="19">
        <v>10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/>
      <c r="AQ31" s="19"/>
      <c r="AR31" s="19"/>
      <c r="AS31" s="19">
        <v>0</v>
      </c>
      <c r="AT31" s="19">
        <f t="shared" si="0"/>
        <v>48</v>
      </c>
      <c r="AU31" s="19">
        <f t="shared" si="1"/>
        <v>0</v>
      </c>
      <c r="AV31" s="19">
        <f t="shared" si="2"/>
        <v>0</v>
      </c>
      <c r="AW31" s="16">
        <f t="shared" si="3"/>
        <v>28</v>
      </c>
      <c r="AX31" s="16">
        <f t="shared" si="4"/>
        <v>2</v>
      </c>
      <c r="AY31" s="16">
        <f t="shared" si="5"/>
        <v>0</v>
      </c>
      <c r="AZ31" s="21">
        <v>900</v>
      </c>
      <c r="BA31" s="21">
        <v>100</v>
      </c>
      <c r="BB31" s="21">
        <v>0</v>
      </c>
      <c r="BC31" s="19">
        <f t="shared" si="6"/>
        <v>840</v>
      </c>
      <c r="BD31" s="19">
        <f t="shared" si="7"/>
        <v>93</v>
      </c>
      <c r="BE31" s="19">
        <f t="shared" si="8"/>
        <v>225</v>
      </c>
      <c r="BF31" s="19">
        <f t="shared" si="9"/>
        <v>0</v>
      </c>
      <c r="BG31" s="19">
        <f t="shared" si="10"/>
        <v>0</v>
      </c>
      <c r="BH31" s="19">
        <f t="shared" si="11"/>
        <v>0</v>
      </c>
      <c r="BI31" s="19">
        <v>0</v>
      </c>
      <c r="BJ31" s="19">
        <f t="shared" si="12"/>
        <v>1158</v>
      </c>
      <c r="BK31" s="19">
        <v>0</v>
      </c>
      <c r="BL31" s="19">
        <v>0</v>
      </c>
      <c r="BM31" s="19">
        <f t="shared" si="13"/>
        <v>0</v>
      </c>
      <c r="BN31" s="19">
        <f t="shared" si="14"/>
        <v>1158</v>
      </c>
      <c r="BO31" s="19">
        <v>0</v>
      </c>
      <c r="BP31" s="19">
        <v>0</v>
      </c>
      <c r="BQ31" s="22">
        <f t="shared" si="15"/>
        <v>1158</v>
      </c>
      <c r="BR31" s="82">
        <f t="shared" si="16"/>
        <v>0</v>
      </c>
      <c r="BS31" s="19">
        <f t="shared" si="17"/>
        <v>0</v>
      </c>
      <c r="BT31" s="19">
        <f t="shared" si="18"/>
        <v>0</v>
      </c>
      <c r="BU31" s="19">
        <f t="shared" si="19"/>
        <v>0</v>
      </c>
      <c r="BV31" s="19">
        <f t="shared" si="20"/>
        <v>0</v>
      </c>
      <c r="BW31" s="19">
        <f t="shared" si="21"/>
        <v>0</v>
      </c>
      <c r="BX31" s="19">
        <f t="shared" si="22"/>
        <v>24</v>
      </c>
      <c r="BY31" s="19">
        <f t="shared" si="23"/>
        <v>48</v>
      </c>
      <c r="BZ31" s="19">
        <f t="shared" si="24"/>
        <v>0</v>
      </c>
      <c r="CA31" s="19">
        <f t="shared" si="25"/>
        <v>0</v>
      </c>
      <c r="CB31" s="19">
        <f t="shared" si="26"/>
        <v>0</v>
      </c>
      <c r="CC31" s="19">
        <f t="shared" si="27"/>
        <v>0</v>
      </c>
      <c r="CD31" s="19">
        <f t="shared" si="28"/>
        <v>0</v>
      </c>
      <c r="CE31" s="19">
        <f t="shared" si="29"/>
        <v>0</v>
      </c>
      <c r="CF31" s="19">
        <f t="shared" si="30"/>
        <v>0</v>
      </c>
      <c r="CG31" s="19">
        <f t="shared" si="31"/>
        <v>0</v>
      </c>
      <c r="CH31" s="19">
        <f t="shared" si="32"/>
        <v>0</v>
      </c>
      <c r="CI31" s="19">
        <f t="shared" si="33"/>
        <v>0</v>
      </c>
      <c r="CJ31" s="19">
        <f t="shared" si="34"/>
        <v>0</v>
      </c>
      <c r="CK31" s="19">
        <f t="shared" si="35"/>
        <v>0</v>
      </c>
      <c r="CL31" s="19">
        <f t="shared" si="36"/>
        <v>0</v>
      </c>
      <c r="CM31" s="19">
        <f t="shared" si="37"/>
        <v>0</v>
      </c>
      <c r="CN31" s="19">
        <f t="shared" si="38"/>
        <v>0</v>
      </c>
      <c r="CO31" s="19">
        <f t="shared" si="39"/>
        <v>0</v>
      </c>
      <c r="CP31" s="19">
        <f t="shared" si="40"/>
        <v>0</v>
      </c>
      <c r="CQ31" s="19">
        <f t="shared" si="41"/>
        <v>0</v>
      </c>
      <c r="CR31" s="19">
        <f t="shared" si="42"/>
        <v>0</v>
      </c>
      <c r="CS31" s="19">
        <f t="shared" si="43"/>
        <v>0</v>
      </c>
      <c r="CT31" s="19">
        <f t="shared" si="44"/>
        <v>0</v>
      </c>
      <c r="CU31" s="19">
        <f t="shared" si="45"/>
        <v>0</v>
      </c>
      <c r="CV31" s="19">
        <f t="shared" si="46"/>
        <v>0</v>
      </c>
      <c r="CW31" s="19">
        <f t="shared" si="47"/>
        <v>0</v>
      </c>
      <c r="CX31" s="19">
        <f t="shared" si="48"/>
        <v>0</v>
      </c>
      <c r="CY31" s="19">
        <f t="shared" si="49"/>
        <v>0</v>
      </c>
      <c r="CZ31" s="19">
        <f t="shared" si="50"/>
        <v>0</v>
      </c>
      <c r="DA31" s="19">
        <f t="shared" si="51"/>
        <v>0</v>
      </c>
      <c r="DB31" s="19">
        <f t="shared" si="52"/>
        <v>0</v>
      </c>
      <c r="DC31" s="19">
        <f t="shared" si="53"/>
        <v>0</v>
      </c>
      <c r="DD31" s="19">
        <f t="shared" si="54"/>
        <v>0</v>
      </c>
      <c r="DE31" s="19">
        <f t="shared" si="55"/>
        <v>0</v>
      </c>
      <c r="DF31" s="19">
        <f t="shared" si="56"/>
        <v>0</v>
      </c>
      <c r="DG31" s="19">
        <f t="shared" si="57"/>
        <v>0</v>
      </c>
      <c r="DH31" s="19">
        <f t="shared" si="58"/>
        <v>0</v>
      </c>
      <c r="DI31" s="19">
        <f t="shared" si="59"/>
        <v>0</v>
      </c>
      <c r="DJ31" s="19">
        <f t="shared" si="60"/>
        <v>0</v>
      </c>
      <c r="DK31" s="19">
        <f t="shared" si="61"/>
        <v>0</v>
      </c>
      <c r="DL31" s="19">
        <f t="shared" si="62"/>
        <v>0</v>
      </c>
      <c r="DM31" s="19">
        <f t="shared" si="63"/>
        <v>0</v>
      </c>
      <c r="DN31" s="19">
        <f t="shared" si="64"/>
        <v>0</v>
      </c>
      <c r="DO31" s="19">
        <f t="shared" si="65"/>
        <v>0</v>
      </c>
      <c r="DP31" s="19">
        <f t="shared" si="66"/>
        <v>0</v>
      </c>
      <c r="DQ31" s="19">
        <f t="shared" si="67"/>
        <v>0</v>
      </c>
      <c r="DR31" s="19">
        <f t="shared" si="68"/>
        <v>0</v>
      </c>
      <c r="DS31" s="19">
        <f t="shared" si="69"/>
        <v>0</v>
      </c>
      <c r="DT31" s="19">
        <f t="shared" si="70"/>
        <v>0</v>
      </c>
      <c r="DU31" s="19">
        <f t="shared" si="71"/>
        <v>0</v>
      </c>
      <c r="DV31" s="19">
        <f t="shared" si="72"/>
        <v>0</v>
      </c>
      <c r="DW31" s="19">
        <f t="shared" si="73"/>
        <v>0</v>
      </c>
      <c r="DX31" s="19">
        <f t="shared" si="74"/>
        <v>0</v>
      </c>
      <c r="DY31" s="19">
        <f t="shared" si="75"/>
        <v>0</v>
      </c>
      <c r="DZ31" s="19">
        <f t="shared" si="76"/>
        <v>0</v>
      </c>
      <c r="EA31" s="19">
        <f t="shared" si="77"/>
        <v>0</v>
      </c>
      <c r="EB31" s="19">
        <f t="shared" si="78"/>
        <v>0</v>
      </c>
      <c r="EC31" s="19">
        <f t="shared" si="79"/>
        <v>0</v>
      </c>
    </row>
    <row r="32" spans="1:134" s="78" customFormat="1" ht="18" customHeight="1" x14ac:dyDescent="0.25">
      <c r="A32" s="15">
        <v>29</v>
      </c>
      <c r="B32" s="108" t="s">
        <v>250</v>
      </c>
      <c r="C32" s="74" t="s">
        <v>245</v>
      </c>
      <c r="D32" s="16" t="s">
        <v>61</v>
      </c>
      <c r="E32" s="18">
        <v>45261</v>
      </c>
      <c r="F32" s="19" t="s">
        <v>316</v>
      </c>
      <c r="G32" s="19" t="s">
        <v>316</v>
      </c>
      <c r="H32" s="19">
        <v>10</v>
      </c>
      <c r="I32" s="19">
        <v>10</v>
      </c>
      <c r="J32" s="19" t="s">
        <v>603</v>
      </c>
      <c r="K32" s="19">
        <v>10</v>
      </c>
      <c r="L32" s="19" t="s">
        <v>316</v>
      </c>
      <c r="M32" s="19">
        <v>10</v>
      </c>
      <c r="N32" s="19">
        <v>10</v>
      </c>
      <c r="O32" s="19">
        <v>10</v>
      </c>
      <c r="P32" s="19">
        <v>10</v>
      </c>
      <c r="Q32" s="19">
        <v>10</v>
      </c>
      <c r="R32" s="19">
        <v>10</v>
      </c>
      <c r="S32" s="19" t="s">
        <v>15</v>
      </c>
      <c r="T32" s="19">
        <v>10</v>
      </c>
      <c r="U32" s="19">
        <v>10</v>
      </c>
      <c r="V32" s="19">
        <v>10</v>
      </c>
      <c r="W32" s="19">
        <v>10</v>
      </c>
      <c r="X32" s="19">
        <v>10</v>
      </c>
      <c r="Y32" s="19" t="s">
        <v>316</v>
      </c>
      <c r="Z32" s="19" t="s">
        <v>15</v>
      </c>
      <c r="AA32" s="19" t="s">
        <v>316</v>
      </c>
      <c r="AB32" s="19">
        <v>10</v>
      </c>
      <c r="AC32" s="19" t="s">
        <v>316</v>
      </c>
      <c r="AD32" s="19" t="s">
        <v>316</v>
      </c>
      <c r="AE32" s="19">
        <v>10</v>
      </c>
      <c r="AF32" s="19">
        <v>10</v>
      </c>
      <c r="AG32" s="19" t="s">
        <v>15</v>
      </c>
      <c r="AH32" s="19" t="s">
        <v>316</v>
      </c>
      <c r="AI32" s="19" t="s">
        <v>316</v>
      </c>
      <c r="AJ32" s="19">
        <v>0</v>
      </c>
      <c r="AK32" s="19">
        <v>0</v>
      </c>
      <c r="AL32" s="19">
        <v>0</v>
      </c>
      <c r="AM32" s="19">
        <v>10</v>
      </c>
      <c r="AN32" s="19">
        <v>0</v>
      </c>
      <c r="AO32" s="19">
        <v>0</v>
      </c>
      <c r="AP32" s="19"/>
      <c r="AQ32" s="19"/>
      <c r="AR32" s="19"/>
      <c r="AS32" s="19">
        <v>0</v>
      </c>
      <c r="AT32" s="19">
        <f t="shared" si="0"/>
        <v>34</v>
      </c>
      <c r="AU32" s="19">
        <f t="shared" si="1"/>
        <v>10</v>
      </c>
      <c r="AV32" s="19">
        <f t="shared" si="2"/>
        <v>0</v>
      </c>
      <c r="AW32" s="16">
        <f t="shared" si="3"/>
        <v>21</v>
      </c>
      <c r="AX32" s="16">
        <f t="shared" si="4"/>
        <v>9</v>
      </c>
      <c r="AY32" s="16">
        <f t="shared" si="5"/>
        <v>0</v>
      </c>
      <c r="AZ32" s="21">
        <v>1100</v>
      </c>
      <c r="BA32" s="21">
        <v>100</v>
      </c>
      <c r="BB32" s="21">
        <v>0</v>
      </c>
      <c r="BC32" s="19">
        <f t="shared" si="6"/>
        <v>770</v>
      </c>
      <c r="BD32" s="19">
        <f t="shared" si="7"/>
        <v>70</v>
      </c>
      <c r="BE32" s="19">
        <f t="shared" si="8"/>
        <v>264</v>
      </c>
      <c r="BF32" s="19">
        <f t="shared" si="9"/>
        <v>0</v>
      </c>
      <c r="BG32" s="19">
        <f t="shared" si="10"/>
        <v>0</v>
      </c>
      <c r="BH32" s="19">
        <f t="shared" si="11"/>
        <v>0</v>
      </c>
      <c r="BI32" s="19">
        <v>0</v>
      </c>
      <c r="BJ32" s="19">
        <f t="shared" si="12"/>
        <v>1104</v>
      </c>
      <c r="BK32" s="19">
        <v>0</v>
      </c>
      <c r="BL32" s="19">
        <v>0</v>
      </c>
      <c r="BM32" s="19">
        <f t="shared" si="13"/>
        <v>0</v>
      </c>
      <c r="BN32" s="19">
        <f t="shared" si="14"/>
        <v>1104</v>
      </c>
      <c r="BO32" s="19">
        <v>0</v>
      </c>
      <c r="BP32" s="19">
        <v>0</v>
      </c>
      <c r="BQ32" s="22">
        <f t="shared" si="15"/>
        <v>1104</v>
      </c>
      <c r="BR32" s="82">
        <f t="shared" si="16"/>
        <v>0</v>
      </c>
      <c r="BS32" s="19">
        <f t="shared" si="17"/>
        <v>0</v>
      </c>
      <c r="BT32" s="19">
        <f t="shared" si="18"/>
        <v>0</v>
      </c>
      <c r="BU32" s="19">
        <f t="shared" si="19"/>
        <v>0</v>
      </c>
      <c r="BV32" s="19">
        <f t="shared" si="20"/>
        <v>0</v>
      </c>
      <c r="BW32" s="19">
        <f t="shared" si="21"/>
        <v>0</v>
      </c>
      <c r="BX32" s="19">
        <f t="shared" si="22"/>
        <v>17</v>
      </c>
      <c r="BY32" s="19">
        <f t="shared" si="23"/>
        <v>34</v>
      </c>
      <c r="BZ32" s="19">
        <f t="shared" si="24"/>
        <v>0</v>
      </c>
      <c r="CA32" s="19">
        <f t="shared" si="25"/>
        <v>0</v>
      </c>
      <c r="CB32" s="19">
        <f t="shared" si="26"/>
        <v>0</v>
      </c>
      <c r="CC32" s="19">
        <f t="shared" si="27"/>
        <v>0</v>
      </c>
      <c r="CD32" s="19">
        <f t="shared" si="28"/>
        <v>0</v>
      </c>
      <c r="CE32" s="19">
        <f t="shared" si="29"/>
        <v>0</v>
      </c>
      <c r="CF32" s="19">
        <f t="shared" si="30"/>
        <v>0</v>
      </c>
      <c r="CG32" s="19">
        <f t="shared" si="31"/>
        <v>0</v>
      </c>
      <c r="CH32" s="19">
        <f t="shared" si="32"/>
        <v>0</v>
      </c>
      <c r="CI32" s="19">
        <f t="shared" si="33"/>
        <v>0</v>
      </c>
      <c r="CJ32" s="19">
        <f t="shared" si="34"/>
        <v>0</v>
      </c>
      <c r="CK32" s="19">
        <f t="shared" si="35"/>
        <v>0</v>
      </c>
      <c r="CL32" s="19">
        <f t="shared" si="36"/>
        <v>0</v>
      </c>
      <c r="CM32" s="19">
        <f t="shared" si="37"/>
        <v>0</v>
      </c>
      <c r="CN32" s="19">
        <f t="shared" si="38"/>
        <v>0</v>
      </c>
      <c r="CO32" s="19">
        <f t="shared" si="39"/>
        <v>0</v>
      </c>
      <c r="CP32" s="19">
        <f t="shared" si="40"/>
        <v>0</v>
      </c>
      <c r="CQ32" s="19">
        <f t="shared" si="41"/>
        <v>0</v>
      </c>
      <c r="CR32" s="19">
        <f t="shared" si="42"/>
        <v>0</v>
      </c>
      <c r="CS32" s="19">
        <f t="shared" si="43"/>
        <v>0</v>
      </c>
      <c r="CT32" s="19">
        <f t="shared" si="44"/>
        <v>0</v>
      </c>
      <c r="CU32" s="19">
        <f t="shared" si="45"/>
        <v>0</v>
      </c>
      <c r="CV32" s="19">
        <f t="shared" si="46"/>
        <v>0</v>
      </c>
      <c r="CW32" s="19">
        <f t="shared" si="47"/>
        <v>0</v>
      </c>
      <c r="CX32" s="19">
        <f t="shared" si="48"/>
        <v>0</v>
      </c>
      <c r="CY32" s="19">
        <f t="shared" si="49"/>
        <v>0</v>
      </c>
      <c r="CZ32" s="19">
        <f t="shared" si="50"/>
        <v>0</v>
      </c>
      <c r="DA32" s="19">
        <f t="shared" si="51"/>
        <v>0</v>
      </c>
      <c r="DB32" s="19">
        <f t="shared" si="52"/>
        <v>0</v>
      </c>
      <c r="DC32" s="19">
        <f t="shared" si="53"/>
        <v>0</v>
      </c>
      <c r="DD32" s="19">
        <f t="shared" si="54"/>
        <v>0</v>
      </c>
      <c r="DE32" s="19">
        <f t="shared" si="55"/>
        <v>0</v>
      </c>
      <c r="DF32" s="19">
        <f t="shared" si="56"/>
        <v>0</v>
      </c>
      <c r="DG32" s="19">
        <f t="shared" si="57"/>
        <v>0</v>
      </c>
      <c r="DH32" s="19">
        <f t="shared" si="58"/>
        <v>0</v>
      </c>
      <c r="DI32" s="19">
        <f t="shared" si="59"/>
        <v>0</v>
      </c>
      <c r="DJ32" s="19">
        <f t="shared" si="60"/>
        <v>0</v>
      </c>
      <c r="DK32" s="19">
        <f t="shared" si="61"/>
        <v>0</v>
      </c>
      <c r="DL32" s="19">
        <f t="shared" si="62"/>
        <v>0</v>
      </c>
      <c r="DM32" s="19">
        <f t="shared" si="63"/>
        <v>0</v>
      </c>
      <c r="DN32" s="19">
        <f t="shared" si="64"/>
        <v>0</v>
      </c>
      <c r="DO32" s="19">
        <f t="shared" si="65"/>
        <v>0</v>
      </c>
      <c r="DP32" s="19">
        <f t="shared" si="66"/>
        <v>0</v>
      </c>
      <c r="DQ32" s="19">
        <f t="shared" si="67"/>
        <v>0</v>
      </c>
      <c r="DR32" s="19">
        <f t="shared" si="68"/>
        <v>0</v>
      </c>
      <c r="DS32" s="19">
        <f t="shared" si="69"/>
        <v>0</v>
      </c>
      <c r="DT32" s="19">
        <f t="shared" si="70"/>
        <v>0</v>
      </c>
      <c r="DU32" s="19">
        <f t="shared" si="71"/>
        <v>0</v>
      </c>
      <c r="DV32" s="19">
        <f t="shared" si="72"/>
        <v>0</v>
      </c>
      <c r="DW32" s="19">
        <f t="shared" si="73"/>
        <v>0</v>
      </c>
      <c r="DX32" s="19">
        <f t="shared" si="74"/>
        <v>0</v>
      </c>
      <c r="DY32" s="19">
        <f t="shared" si="75"/>
        <v>0</v>
      </c>
      <c r="DZ32" s="19">
        <f t="shared" si="76"/>
        <v>0</v>
      </c>
      <c r="EA32" s="19">
        <f t="shared" si="77"/>
        <v>0</v>
      </c>
      <c r="EB32" s="19">
        <f t="shared" si="78"/>
        <v>0</v>
      </c>
      <c r="EC32" s="19">
        <f t="shared" si="79"/>
        <v>0</v>
      </c>
    </row>
    <row r="33" spans="1:133" s="78" customFormat="1" ht="18" customHeight="1" x14ac:dyDescent="0.25">
      <c r="A33" s="15">
        <v>30</v>
      </c>
      <c r="B33" s="108" t="s">
        <v>252</v>
      </c>
      <c r="C33" s="74" t="s">
        <v>247</v>
      </c>
      <c r="D33" s="16" t="s">
        <v>157</v>
      </c>
      <c r="E33" s="18">
        <v>45271</v>
      </c>
      <c r="F33" s="19">
        <v>11</v>
      </c>
      <c r="G33" s="19">
        <v>11</v>
      </c>
      <c r="H33" s="19">
        <v>11</v>
      </c>
      <c r="I33" s="19">
        <v>11</v>
      </c>
      <c r="J33" s="19" t="s">
        <v>603</v>
      </c>
      <c r="K33" s="19">
        <v>11</v>
      </c>
      <c r="L33" s="19" t="s">
        <v>15</v>
      </c>
      <c r="M33" s="19">
        <v>11</v>
      </c>
      <c r="N33" s="19">
        <v>11</v>
      </c>
      <c r="O33" s="19">
        <v>11</v>
      </c>
      <c r="P33" s="19">
        <v>11</v>
      </c>
      <c r="Q33" s="19">
        <v>11</v>
      </c>
      <c r="R33" s="19">
        <v>11</v>
      </c>
      <c r="S33" s="19" t="s">
        <v>15</v>
      </c>
      <c r="T33" s="19">
        <v>11</v>
      </c>
      <c r="U33" s="19">
        <v>11</v>
      </c>
      <c r="V33" s="19">
        <v>11</v>
      </c>
      <c r="W33" s="19">
        <v>11</v>
      </c>
      <c r="X33" s="19">
        <v>11</v>
      </c>
      <c r="Y33" s="19">
        <v>11</v>
      </c>
      <c r="Z33" s="19" t="s">
        <v>15</v>
      </c>
      <c r="AA33" s="19">
        <v>11</v>
      </c>
      <c r="AB33" s="19">
        <v>11</v>
      </c>
      <c r="AC33" s="19">
        <v>11</v>
      </c>
      <c r="AD33" s="19">
        <v>12</v>
      </c>
      <c r="AE33" s="19">
        <v>11</v>
      </c>
      <c r="AF33" s="19">
        <v>11</v>
      </c>
      <c r="AG33" s="19" t="s">
        <v>15</v>
      </c>
      <c r="AH33" s="19">
        <v>11</v>
      </c>
      <c r="AI33" s="19">
        <v>11</v>
      </c>
      <c r="AJ33" s="19">
        <v>0</v>
      </c>
      <c r="AK33" s="19">
        <v>0</v>
      </c>
      <c r="AL33" s="19">
        <v>0</v>
      </c>
      <c r="AM33" s="19">
        <v>11</v>
      </c>
      <c r="AN33" s="19">
        <v>0</v>
      </c>
      <c r="AO33" s="19">
        <v>11</v>
      </c>
      <c r="AP33" s="19"/>
      <c r="AQ33" s="19"/>
      <c r="AR33" s="19"/>
      <c r="AS33" s="19">
        <v>0</v>
      </c>
      <c r="AT33" s="19">
        <f t="shared" si="0"/>
        <v>76</v>
      </c>
      <c r="AU33" s="19">
        <f t="shared" si="1"/>
        <v>11</v>
      </c>
      <c r="AV33" s="19">
        <f t="shared" si="2"/>
        <v>11</v>
      </c>
      <c r="AW33" s="16">
        <f t="shared" si="3"/>
        <v>30</v>
      </c>
      <c r="AX33" s="16">
        <f t="shared" si="4"/>
        <v>0</v>
      </c>
      <c r="AY33" s="16">
        <f t="shared" si="5"/>
        <v>0</v>
      </c>
      <c r="AZ33" s="21">
        <v>1250</v>
      </c>
      <c r="BA33" s="21">
        <v>100</v>
      </c>
      <c r="BB33" s="21">
        <v>300</v>
      </c>
      <c r="BC33" s="19">
        <f t="shared" si="6"/>
        <v>1250</v>
      </c>
      <c r="BD33" s="19">
        <f t="shared" si="7"/>
        <v>100</v>
      </c>
      <c r="BE33" s="19">
        <f t="shared" si="8"/>
        <v>667</v>
      </c>
      <c r="BF33" s="19">
        <f t="shared" si="9"/>
        <v>300</v>
      </c>
      <c r="BG33" s="19">
        <f t="shared" si="10"/>
        <v>0</v>
      </c>
      <c r="BH33" s="19">
        <f t="shared" si="11"/>
        <v>0</v>
      </c>
      <c r="BI33" s="19">
        <v>95</v>
      </c>
      <c r="BJ33" s="19">
        <f t="shared" si="12"/>
        <v>2412</v>
      </c>
      <c r="BK33" s="19">
        <v>0</v>
      </c>
      <c r="BL33" s="19">
        <v>0</v>
      </c>
      <c r="BM33" s="19">
        <f t="shared" si="13"/>
        <v>0</v>
      </c>
      <c r="BN33" s="19">
        <f t="shared" si="14"/>
        <v>2412</v>
      </c>
      <c r="BO33" s="19">
        <v>0</v>
      </c>
      <c r="BP33" s="19">
        <v>0</v>
      </c>
      <c r="BQ33" s="22">
        <f t="shared" si="15"/>
        <v>2412</v>
      </c>
      <c r="BR33" s="82">
        <f t="shared" si="16"/>
        <v>0</v>
      </c>
      <c r="BS33" s="19">
        <f t="shared" si="17"/>
        <v>0</v>
      </c>
      <c r="BT33" s="19">
        <f t="shared" si="18"/>
        <v>0</v>
      </c>
      <c r="BU33" s="19">
        <f t="shared" si="19"/>
        <v>0</v>
      </c>
      <c r="BV33" s="19">
        <f t="shared" si="20"/>
        <v>0</v>
      </c>
      <c r="BW33" s="19">
        <f t="shared" si="21"/>
        <v>0</v>
      </c>
      <c r="BX33" s="19">
        <f t="shared" si="22"/>
        <v>0</v>
      </c>
      <c r="BY33" s="19">
        <f t="shared" si="23"/>
        <v>0</v>
      </c>
      <c r="BZ33" s="19">
        <f t="shared" si="24"/>
        <v>0</v>
      </c>
      <c r="CA33" s="19">
        <f t="shared" si="25"/>
        <v>0</v>
      </c>
      <c r="CB33" s="19">
        <f t="shared" si="26"/>
        <v>24</v>
      </c>
      <c r="CC33" s="19">
        <f t="shared" si="27"/>
        <v>72</v>
      </c>
      <c r="CD33" s="19">
        <f t="shared" si="28"/>
        <v>0</v>
      </c>
      <c r="CE33" s="19">
        <f t="shared" si="29"/>
        <v>0</v>
      </c>
      <c r="CF33" s="19">
        <f t="shared" si="30"/>
        <v>1</v>
      </c>
      <c r="CG33" s="19">
        <f t="shared" si="31"/>
        <v>4</v>
      </c>
      <c r="CH33" s="19">
        <f t="shared" si="32"/>
        <v>0</v>
      </c>
      <c r="CI33" s="19">
        <f t="shared" si="33"/>
        <v>0</v>
      </c>
      <c r="CJ33" s="19">
        <f t="shared" si="34"/>
        <v>0</v>
      </c>
      <c r="CK33" s="19">
        <f t="shared" si="35"/>
        <v>0</v>
      </c>
      <c r="CL33" s="19">
        <f t="shared" si="36"/>
        <v>0</v>
      </c>
      <c r="CM33" s="19">
        <f t="shared" si="37"/>
        <v>0</v>
      </c>
      <c r="CN33" s="19">
        <f t="shared" si="38"/>
        <v>0</v>
      </c>
      <c r="CO33" s="19">
        <f t="shared" si="39"/>
        <v>0</v>
      </c>
      <c r="CP33" s="19">
        <f t="shared" si="40"/>
        <v>0</v>
      </c>
      <c r="CQ33" s="19">
        <f t="shared" si="41"/>
        <v>0</v>
      </c>
      <c r="CR33" s="19">
        <f t="shared" si="42"/>
        <v>0</v>
      </c>
      <c r="CS33" s="19">
        <f t="shared" si="43"/>
        <v>0</v>
      </c>
      <c r="CT33" s="19">
        <f t="shared" si="44"/>
        <v>0</v>
      </c>
      <c r="CU33" s="19">
        <f t="shared" si="45"/>
        <v>0</v>
      </c>
      <c r="CV33" s="19">
        <f t="shared" si="46"/>
        <v>0</v>
      </c>
      <c r="CW33" s="19">
        <f t="shared" si="47"/>
        <v>0</v>
      </c>
      <c r="CX33" s="19">
        <f t="shared" si="48"/>
        <v>0</v>
      </c>
      <c r="CY33" s="19">
        <f t="shared" si="49"/>
        <v>0</v>
      </c>
      <c r="CZ33" s="19">
        <f t="shared" si="50"/>
        <v>0</v>
      </c>
      <c r="DA33" s="19">
        <f t="shared" si="51"/>
        <v>0</v>
      </c>
      <c r="DB33" s="19">
        <f t="shared" si="52"/>
        <v>0</v>
      </c>
      <c r="DC33" s="19">
        <f t="shared" si="53"/>
        <v>0</v>
      </c>
      <c r="DD33" s="19">
        <f t="shared" si="54"/>
        <v>0</v>
      </c>
      <c r="DE33" s="19">
        <f t="shared" si="55"/>
        <v>0</v>
      </c>
      <c r="DF33" s="19">
        <f t="shared" si="56"/>
        <v>0</v>
      </c>
      <c r="DG33" s="19">
        <f t="shared" si="57"/>
        <v>0</v>
      </c>
      <c r="DH33" s="19">
        <f t="shared" si="58"/>
        <v>0</v>
      </c>
      <c r="DI33" s="19">
        <f t="shared" si="59"/>
        <v>0</v>
      </c>
      <c r="DJ33" s="19">
        <f t="shared" si="60"/>
        <v>0</v>
      </c>
      <c r="DK33" s="19">
        <f t="shared" si="61"/>
        <v>0</v>
      </c>
      <c r="DL33" s="19">
        <f t="shared" si="62"/>
        <v>0</v>
      </c>
      <c r="DM33" s="19">
        <f t="shared" si="63"/>
        <v>0</v>
      </c>
      <c r="DN33" s="19">
        <f t="shared" si="64"/>
        <v>0</v>
      </c>
      <c r="DO33" s="19">
        <f t="shared" si="65"/>
        <v>0</v>
      </c>
      <c r="DP33" s="19">
        <f t="shared" si="66"/>
        <v>0</v>
      </c>
      <c r="DQ33" s="19">
        <f t="shared" si="67"/>
        <v>0</v>
      </c>
      <c r="DR33" s="19">
        <f t="shared" si="68"/>
        <v>0</v>
      </c>
      <c r="DS33" s="19">
        <f t="shared" si="69"/>
        <v>0</v>
      </c>
      <c r="DT33" s="19">
        <f t="shared" si="70"/>
        <v>0</v>
      </c>
      <c r="DU33" s="19">
        <f t="shared" si="71"/>
        <v>0</v>
      </c>
      <c r="DV33" s="19">
        <f t="shared" si="72"/>
        <v>0</v>
      </c>
      <c r="DW33" s="19">
        <f t="shared" si="73"/>
        <v>0</v>
      </c>
      <c r="DX33" s="19">
        <f t="shared" si="74"/>
        <v>0</v>
      </c>
      <c r="DY33" s="19">
        <f t="shared" si="75"/>
        <v>0</v>
      </c>
      <c r="DZ33" s="19">
        <f t="shared" si="76"/>
        <v>0</v>
      </c>
      <c r="EA33" s="19">
        <f t="shared" si="77"/>
        <v>0</v>
      </c>
      <c r="EB33" s="19">
        <f t="shared" si="78"/>
        <v>0</v>
      </c>
      <c r="EC33" s="19">
        <f t="shared" si="79"/>
        <v>0</v>
      </c>
    </row>
    <row r="34" spans="1:133" s="78" customFormat="1" ht="18" customHeight="1" x14ac:dyDescent="0.25">
      <c r="A34" s="15">
        <v>31</v>
      </c>
      <c r="B34" s="108" t="s">
        <v>254</v>
      </c>
      <c r="C34" s="74" t="s">
        <v>249</v>
      </c>
      <c r="D34" s="16" t="s">
        <v>61</v>
      </c>
      <c r="E34" s="18">
        <v>45274</v>
      </c>
      <c r="F34" s="19">
        <v>13</v>
      </c>
      <c r="G34" s="19">
        <v>12</v>
      </c>
      <c r="H34" s="19">
        <v>12</v>
      </c>
      <c r="I34" s="19">
        <v>12</v>
      </c>
      <c r="J34" s="19" t="s">
        <v>603</v>
      </c>
      <c r="K34" s="19">
        <v>12</v>
      </c>
      <c r="L34" s="19" t="s">
        <v>15</v>
      </c>
      <c r="M34" s="19">
        <v>10</v>
      </c>
      <c r="N34" s="19">
        <v>12</v>
      </c>
      <c r="O34" s="19">
        <v>10</v>
      </c>
      <c r="P34" s="19">
        <v>10</v>
      </c>
      <c r="Q34" s="19">
        <v>10</v>
      </c>
      <c r="R34" s="19">
        <v>10</v>
      </c>
      <c r="S34" s="19" t="s">
        <v>15</v>
      </c>
      <c r="T34" s="19">
        <v>10</v>
      </c>
      <c r="U34" s="19">
        <v>10</v>
      </c>
      <c r="V34" s="19">
        <v>8</v>
      </c>
      <c r="W34" s="19">
        <v>10</v>
      </c>
      <c r="X34" s="19">
        <v>10</v>
      </c>
      <c r="Y34" s="19">
        <v>10</v>
      </c>
      <c r="Z34" s="19" t="s">
        <v>15</v>
      </c>
      <c r="AA34" s="19">
        <v>10</v>
      </c>
      <c r="AB34" s="19">
        <v>10</v>
      </c>
      <c r="AC34" s="19">
        <v>10</v>
      </c>
      <c r="AD34" s="19">
        <v>10</v>
      </c>
      <c r="AE34" s="19">
        <v>12</v>
      </c>
      <c r="AF34" s="19">
        <v>11</v>
      </c>
      <c r="AG34" s="19" t="s">
        <v>15</v>
      </c>
      <c r="AH34" s="19">
        <v>11</v>
      </c>
      <c r="AI34" s="19">
        <v>11</v>
      </c>
      <c r="AJ34" s="19">
        <v>0</v>
      </c>
      <c r="AK34" s="19">
        <v>0</v>
      </c>
      <c r="AL34" s="19">
        <v>10</v>
      </c>
      <c r="AM34" s="19">
        <v>10</v>
      </c>
      <c r="AN34" s="19">
        <v>0</v>
      </c>
      <c r="AO34" s="19">
        <v>12</v>
      </c>
      <c r="AP34" s="19"/>
      <c r="AQ34" s="19"/>
      <c r="AR34" s="19"/>
      <c r="AS34" s="19">
        <v>0</v>
      </c>
      <c r="AT34" s="19">
        <f t="shared" si="0"/>
        <v>66</v>
      </c>
      <c r="AU34" s="19">
        <f t="shared" si="1"/>
        <v>20</v>
      </c>
      <c r="AV34" s="19">
        <f t="shared" si="2"/>
        <v>12</v>
      </c>
      <c r="AW34" s="16">
        <f t="shared" si="3"/>
        <v>30</v>
      </c>
      <c r="AX34" s="16">
        <f t="shared" si="4"/>
        <v>0</v>
      </c>
      <c r="AY34" s="16">
        <f t="shared" si="5"/>
        <v>0</v>
      </c>
      <c r="AZ34" s="21">
        <v>1100</v>
      </c>
      <c r="BA34" s="21">
        <v>100</v>
      </c>
      <c r="BB34" s="21">
        <v>0</v>
      </c>
      <c r="BC34" s="19">
        <f t="shared" si="6"/>
        <v>1100</v>
      </c>
      <c r="BD34" s="19">
        <f t="shared" si="7"/>
        <v>100</v>
      </c>
      <c r="BE34" s="19">
        <f t="shared" si="8"/>
        <v>598</v>
      </c>
      <c r="BF34" s="19">
        <f t="shared" si="9"/>
        <v>0</v>
      </c>
      <c r="BG34" s="19">
        <f t="shared" si="10"/>
        <v>0</v>
      </c>
      <c r="BH34" s="19">
        <f t="shared" si="11"/>
        <v>0</v>
      </c>
      <c r="BI34" s="19">
        <v>95</v>
      </c>
      <c r="BJ34" s="19">
        <f t="shared" si="12"/>
        <v>1893</v>
      </c>
      <c r="BK34" s="19">
        <v>0</v>
      </c>
      <c r="BL34" s="19">
        <v>0</v>
      </c>
      <c r="BM34" s="19">
        <f t="shared" si="13"/>
        <v>0</v>
      </c>
      <c r="BN34" s="19">
        <f t="shared" si="14"/>
        <v>1893</v>
      </c>
      <c r="BO34" s="19">
        <v>0</v>
      </c>
      <c r="BP34" s="19">
        <v>0</v>
      </c>
      <c r="BQ34" s="22">
        <f t="shared" si="15"/>
        <v>1893</v>
      </c>
      <c r="BR34" s="82">
        <f t="shared" si="16"/>
        <v>0</v>
      </c>
      <c r="BS34" s="19">
        <f t="shared" si="17"/>
        <v>0</v>
      </c>
      <c r="BT34" s="19">
        <f t="shared" si="18"/>
        <v>0</v>
      </c>
      <c r="BU34" s="19">
        <f t="shared" si="19"/>
        <v>0</v>
      </c>
      <c r="BV34" s="19">
        <f t="shared" si="20"/>
        <v>0</v>
      </c>
      <c r="BW34" s="19">
        <f t="shared" si="21"/>
        <v>0</v>
      </c>
      <c r="BX34" s="19">
        <f t="shared" si="22"/>
        <v>14</v>
      </c>
      <c r="BY34" s="19">
        <f t="shared" si="23"/>
        <v>28</v>
      </c>
      <c r="BZ34" s="19">
        <f t="shared" si="24"/>
        <v>0</v>
      </c>
      <c r="CA34" s="19">
        <f t="shared" si="25"/>
        <v>0</v>
      </c>
      <c r="CB34" s="19">
        <f t="shared" si="26"/>
        <v>3</v>
      </c>
      <c r="CC34" s="19">
        <f t="shared" si="27"/>
        <v>9</v>
      </c>
      <c r="CD34" s="19">
        <f t="shared" si="28"/>
        <v>0</v>
      </c>
      <c r="CE34" s="19">
        <f t="shared" si="29"/>
        <v>0</v>
      </c>
      <c r="CF34" s="19">
        <f t="shared" si="30"/>
        <v>6</v>
      </c>
      <c r="CG34" s="19">
        <f t="shared" si="31"/>
        <v>24</v>
      </c>
      <c r="CH34" s="19">
        <f t="shared" si="32"/>
        <v>0</v>
      </c>
      <c r="CI34" s="19">
        <f t="shared" si="33"/>
        <v>0</v>
      </c>
      <c r="CJ34" s="19">
        <f t="shared" si="34"/>
        <v>1</v>
      </c>
      <c r="CK34" s="19">
        <f t="shared" si="35"/>
        <v>5</v>
      </c>
      <c r="CL34" s="19">
        <f t="shared" si="36"/>
        <v>0</v>
      </c>
      <c r="CM34" s="19">
        <f t="shared" si="37"/>
        <v>0</v>
      </c>
      <c r="CN34" s="19">
        <f t="shared" si="38"/>
        <v>0</v>
      </c>
      <c r="CO34" s="19">
        <f t="shared" si="39"/>
        <v>0</v>
      </c>
      <c r="CP34" s="19">
        <f t="shared" si="40"/>
        <v>0</v>
      </c>
      <c r="CQ34" s="19">
        <f t="shared" si="41"/>
        <v>0</v>
      </c>
      <c r="CR34" s="19">
        <f t="shared" si="42"/>
        <v>0</v>
      </c>
      <c r="CS34" s="19">
        <f t="shared" si="43"/>
        <v>0</v>
      </c>
      <c r="CT34" s="19">
        <f t="shared" si="44"/>
        <v>0</v>
      </c>
      <c r="CU34" s="19">
        <f t="shared" si="45"/>
        <v>0</v>
      </c>
      <c r="CV34" s="19">
        <f t="shared" si="46"/>
        <v>0</v>
      </c>
      <c r="CW34" s="19">
        <f t="shared" si="47"/>
        <v>0</v>
      </c>
      <c r="CX34" s="19">
        <f t="shared" si="48"/>
        <v>0</v>
      </c>
      <c r="CY34" s="19">
        <f t="shared" si="49"/>
        <v>0</v>
      </c>
      <c r="CZ34" s="19">
        <f t="shared" si="50"/>
        <v>0</v>
      </c>
      <c r="DA34" s="19">
        <f t="shared" si="51"/>
        <v>0</v>
      </c>
      <c r="DB34" s="19">
        <f t="shared" si="52"/>
        <v>0</v>
      </c>
      <c r="DC34" s="19">
        <f t="shared" si="53"/>
        <v>0</v>
      </c>
      <c r="DD34" s="19">
        <f t="shared" si="54"/>
        <v>0</v>
      </c>
      <c r="DE34" s="19">
        <f t="shared" si="55"/>
        <v>0</v>
      </c>
      <c r="DF34" s="19">
        <f t="shared" si="56"/>
        <v>0</v>
      </c>
      <c r="DG34" s="19">
        <f t="shared" si="57"/>
        <v>0</v>
      </c>
      <c r="DH34" s="19">
        <f t="shared" si="58"/>
        <v>0</v>
      </c>
      <c r="DI34" s="19">
        <f t="shared" si="59"/>
        <v>0</v>
      </c>
      <c r="DJ34" s="19">
        <f t="shared" si="60"/>
        <v>0</v>
      </c>
      <c r="DK34" s="19">
        <f t="shared" si="61"/>
        <v>0</v>
      </c>
      <c r="DL34" s="19">
        <f t="shared" si="62"/>
        <v>0</v>
      </c>
      <c r="DM34" s="19">
        <f t="shared" si="63"/>
        <v>0</v>
      </c>
      <c r="DN34" s="19">
        <f t="shared" si="64"/>
        <v>0</v>
      </c>
      <c r="DO34" s="19">
        <f t="shared" si="65"/>
        <v>0</v>
      </c>
      <c r="DP34" s="19">
        <f t="shared" si="66"/>
        <v>0</v>
      </c>
      <c r="DQ34" s="19">
        <f t="shared" si="67"/>
        <v>0</v>
      </c>
      <c r="DR34" s="19">
        <f t="shared" si="68"/>
        <v>0</v>
      </c>
      <c r="DS34" s="19">
        <f t="shared" si="69"/>
        <v>0</v>
      </c>
      <c r="DT34" s="19">
        <f t="shared" si="70"/>
        <v>0</v>
      </c>
      <c r="DU34" s="19">
        <f t="shared" si="71"/>
        <v>0</v>
      </c>
      <c r="DV34" s="19">
        <f t="shared" si="72"/>
        <v>0</v>
      </c>
      <c r="DW34" s="19">
        <f t="shared" si="73"/>
        <v>0</v>
      </c>
      <c r="DX34" s="19">
        <f t="shared" si="74"/>
        <v>0</v>
      </c>
      <c r="DY34" s="19">
        <f t="shared" si="75"/>
        <v>0</v>
      </c>
      <c r="DZ34" s="19">
        <f t="shared" si="76"/>
        <v>0</v>
      </c>
      <c r="EA34" s="19">
        <f t="shared" si="77"/>
        <v>0</v>
      </c>
      <c r="EB34" s="19">
        <f t="shared" si="78"/>
        <v>0</v>
      </c>
      <c r="EC34" s="19">
        <f t="shared" si="79"/>
        <v>0</v>
      </c>
    </row>
    <row r="35" spans="1:133" s="78" customFormat="1" ht="18" customHeight="1" x14ac:dyDescent="0.25">
      <c r="A35" s="15">
        <v>32</v>
      </c>
      <c r="B35" s="108" t="s">
        <v>329</v>
      </c>
      <c r="C35" s="74" t="s">
        <v>326</v>
      </c>
      <c r="D35" s="16" t="s">
        <v>61</v>
      </c>
      <c r="E35" s="18">
        <v>45468</v>
      </c>
      <c r="F35" s="19">
        <v>9.5</v>
      </c>
      <c r="G35" s="19">
        <v>9.5</v>
      </c>
      <c r="H35" s="19">
        <v>9.5</v>
      </c>
      <c r="I35" s="19">
        <v>9.5</v>
      </c>
      <c r="J35" s="19" t="s">
        <v>603</v>
      </c>
      <c r="K35" s="19">
        <v>9.5</v>
      </c>
      <c r="L35" s="19" t="s">
        <v>15</v>
      </c>
      <c r="M35" s="19">
        <v>9.5</v>
      </c>
      <c r="N35" s="19">
        <v>9.5</v>
      </c>
      <c r="O35" s="19">
        <v>9.5</v>
      </c>
      <c r="P35" s="19">
        <v>9.5</v>
      </c>
      <c r="Q35" s="19">
        <v>9.5</v>
      </c>
      <c r="R35" s="19">
        <v>9.5</v>
      </c>
      <c r="S35" s="19" t="s">
        <v>15</v>
      </c>
      <c r="T35" s="19">
        <v>11</v>
      </c>
      <c r="U35" s="19">
        <v>11</v>
      </c>
      <c r="V35" s="19">
        <v>11</v>
      </c>
      <c r="W35" s="19">
        <v>11</v>
      </c>
      <c r="X35" s="19">
        <v>11</v>
      </c>
      <c r="Y35" s="19">
        <v>11</v>
      </c>
      <c r="Z35" s="19" t="s">
        <v>15</v>
      </c>
      <c r="AA35" s="19">
        <v>11</v>
      </c>
      <c r="AB35" s="19">
        <v>11</v>
      </c>
      <c r="AC35" s="19">
        <v>11</v>
      </c>
      <c r="AD35" s="19">
        <v>11</v>
      </c>
      <c r="AE35" s="19">
        <v>11</v>
      </c>
      <c r="AF35" s="19">
        <v>11</v>
      </c>
      <c r="AG35" s="19" t="s">
        <v>15</v>
      </c>
      <c r="AH35" s="19">
        <v>11</v>
      </c>
      <c r="AI35" s="19">
        <v>11</v>
      </c>
      <c r="AJ35" s="19">
        <v>10</v>
      </c>
      <c r="AK35" s="19">
        <v>10</v>
      </c>
      <c r="AL35" s="19">
        <v>11</v>
      </c>
      <c r="AM35" s="19">
        <v>11</v>
      </c>
      <c r="AN35" s="19">
        <v>0</v>
      </c>
      <c r="AO35" s="19">
        <v>9.5</v>
      </c>
      <c r="AP35" s="19"/>
      <c r="AQ35" s="19"/>
      <c r="AR35" s="19"/>
      <c r="AS35" s="19">
        <v>0</v>
      </c>
      <c r="AT35" s="19">
        <f t="shared" ref="AT35:AT64" si="80">SUM(BS35+BU35+BW35+BY35+CA35+CC35+CE35+CG35+CI35+CK35+CM35+CO35+CQ35+CS35+CU35+CW35+CY35+DA35+DC35+DE35+DG35+DI35+DK35+DM35+DO35+DQ35+DS35+DU35+DW35+DY35+EA35+EC35)</f>
        <v>58.5</v>
      </c>
      <c r="AU35" s="19">
        <f t="shared" ref="AU35:AU64" si="81">SUM(AJ35:AN35)</f>
        <v>42</v>
      </c>
      <c r="AV35" s="19">
        <f t="shared" ref="AV35:AV64" si="82">SUM(AO35:AS35)</f>
        <v>9.5</v>
      </c>
      <c r="AW35" s="16">
        <f t="shared" ref="AW35:AW64" si="83">COUNTIF(F35:AI35,"8")+COUNTIF(F35:AI35,"8.5")+COUNTIF(F35:AI35,"9")+COUNTIF(F35:AI35,"9.5")+COUNTIF(F35:AI35,"10")+COUNTIF(F35:AI35,"10.5")+COUNTIF(F35:AI35,"11")+COUNTIF(F35:AI35,"11.5")+COUNTIF(F35:AI35,"12")+COUNTIF(F35:AI35,"12.5")+COUNTIF(F35:AI35,"13")+COUNTIF(F35:AI35,"13.5")+COUNTIF(F35:AI35,"14")+COUNTIF(F35:AI35,"14.5")+COUNTIF(F35:AI35,"15")+COUNTIF(F35:AI35,"15.5")+COUNTIF(F35:AI35,"16")+COUNTIF(F35:AI35,"16.5")+COUNTIF(F35:AI35,"17")+COUNTIF(F35:AI35,"17.5")+COUNTIF(F35:AI35,"18")+COUNTIF(F35:AI35,"18.5")+COUNTIF(F35:AI35,"19")+COUNTIF(F35:AI35,"19.5")+COUNTIF(F35:AI35,"20")+COUNTIF(F35:AI35,"20.5")+COUNTIF(F35:AI35,"21")+COUNTIF(F35:AI35,"21.5")+COUNTIF(F35:AI35,"22")+COUNTIF(F35:AI35,"22.5")+COUNTIF(F35:AI35,"23")+COUNTIF(F35:AI35,"23.5")+COUNTIF(F35:AI35,"24")+COUNTIF(F35:AI35,"S")+COUNTIF(F35:AI35,"PH")+COUNTIF(F35:AI35,"ML")+COUNTIF(F35:AI35,"OD")</f>
        <v>30</v>
      </c>
      <c r="AX35" s="16">
        <f t="shared" ref="AX35:AX64" si="84">COUNTIF(F35:AI35,"A")</f>
        <v>0</v>
      </c>
      <c r="AY35" s="16">
        <f t="shared" ref="AY35:AY64" si="85">COUNTIF(F35:AI35,"ID")</f>
        <v>0</v>
      </c>
      <c r="AZ35" s="21">
        <v>1100</v>
      </c>
      <c r="BA35" s="21">
        <v>100</v>
      </c>
      <c r="BB35" s="21">
        <v>0</v>
      </c>
      <c r="BC35" s="19">
        <f t="shared" ref="BC35:BC64" si="86">MROUND(AZ35/30*AW35, 1)</f>
        <v>1100</v>
      </c>
      <c r="BD35" s="19">
        <f t="shared" ref="BD35:BD64" si="87">MROUND(BA35/30*AW35, 1)</f>
        <v>100</v>
      </c>
      <c r="BE35" s="19">
        <f t="shared" ref="BE35:BE64" si="88">MROUND((AZ35/30/8*1.25*AT35)+(AZ35/30/8*1.5*AU35)+(AZ35/30/8*1.5*AV35), 1)</f>
        <v>689</v>
      </c>
      <c r="BF35" s="19">
        <f t="shared" ref="BF35:BF64" si="89">MROUND(BB35/30*AW35, 1)</f>
        <v>0</v>
      </c>
      <c r="BG35" s="19">
        <f t="shared" ref="BG35:BG64" si="90">MROUND(AZ35/30*AY35, 1)</f>
        <v>0</v>
      </c>
      <c r="BH35" s="19">
        <f t="shared" ref="BH35:BH64" si="91">MROUND(BA35/30*AY35, 1)</f>
        <v>0</v>
      </c>
      <c r="BI35" s="19">
        <v>95</v>
      </c>
      <c r="BJ35" s="19">
        <f t="shared" ref="BJ35:BJ64" si="92">SUM(BC35:BI35)</f>
        <v>1984</v>
      </c>
      <c r="BK35" s="19">
        <v>0</v>
      </c>
      <c r="BL35" s="19">
        <v>0</v>
      </c>
      <c r="BM35" s="19">
        <f t="shared" ref="BM35:BM64" si="93">BK35+BL35</f>
        <v>0</v>
      </c>
      <c r="BN35" s="19">
        <f t="shared" ref="BN35:BN64" si="94">BJ35-BM35</f>
        <v>1984</v>
      </c>
      <c r="BO35" s="19">
        <v>0</v>
      </c>
      <c r="BP35" s="19">
        <v>0</v>
      </c>
      <c r="BQ35" s="22">
        <f t="shared" ref="BQ35:BQ64" si="95">SUM(BN35:BO35)-BP35</f>
        <v>1984</v>
      </c>
      <c r="BR35" s="82">
        <f t="shared" ref="BR35:BR64" si="96">COUNTIF(F35:AI35, "8.5")</f>
        <v>0</v>
      </c>
      <c r="BS35" s="19">
        <f t="shared" ref="BS35:BS64" si="97">BR35*0.5</f>
        <v>0</v>
      </c>
      <c r="BT35" s="19">
        <f t="shared" ref="BT35:BT64" si="98">COUNTIF(F35:AI35, "9")</f>
        <v>0</v>
      </c>
      <c r="BU35" s="19">
        <f t="shared" ref="BU35:BU64" si="99">BT35*1</f>
        <v>0</v>
      </c>
      <c r="BV35" s="19">
        <f t="shared" ref="BV35:BV64" si="100">COUNTIF(F35:AI35, "9.5")</f>
        <v>11</v>
      </c>
      <c r="BW35" s="19">
        <f t="shared" ref="BW35:BW64" si="101">BV35*1.5</f>
        <v>16.5</v>
      </c>
      <c r="BX35" s="19">
        <f t="shared" ref="BX35:BX64" si="102">COUNTIF(F35:AI35, "10")</f>
        <v>0</v>
      </c>
      <c r="BY35" s="19">
        <f t="shared" ref="BY35:BY64" si="103">BX35*2</f>
        <v>0</v>
      </c>
      <c r="BZ35" s="19">
        <f t="shared" ref="BZ35:BZ64" si="104">COUNTIF(F35:AI35, "10.5")</f>
        <v>0</v>
      </c>
      <c r="CA35" s="19">
        <f t="shared" ref="CA35:CA64" si="105">BZ35*2.5</f>
        <v>0</v>
      </c>
      <c r="CB35" s="19">
        <f t="shared" ref="CB35:CB64" si="106">COUNTIF(F35:AI35, "11")</f>
        <v>14</v>
      </c>
      <c r="CC35" s="19">
        <f t="shared" ref="CC35:CC64" si="107">CB35*3</f>
        <v>42</v>
      </c>
      <c r="CD35" s="19">
        <f t="shared" ref="CD35:CD64" si="108">COUNTIF(F35:AI35, "11.5")</f>
        <v>0</v>
      </c>
      <c r="CE35" s="19">
        <f t="shared" ref="CE35:CE64" si="109">CD35*3.5</f>
        <v>0</v>
      </c>
      <c r="CF35" s="19">
        <f t="shared" ref="CF35:CF64" si="110">COUNTIF(F35:AI35, "12")</f>
        <v>0</v>
      </c>
      <c r="CG35" s="19">
        <f t="shared" ref="CG35:CG64" si="111">CF35*4</f>
        <v>0</v>
      </c>
      <c r="CH35" s="19">
        <f t="shared" ref="CH35:CH64" si="112">COUNTIF(F35:AI35, "12.5")</f>
        <v>0</v>
      </c>
      <c r="CI35" s="19">
        <f t="shared" ref="CI35:CI64" si="113">CH35*4.5</f>
        <v>0</v>
      </c>
      <c r="CJ35" s="19">
        <f t="shared" ref="CJ35:CJ64" si="114">COUNTIF(F35:AI35, "13")</f>
        <v>0</v>
      </c>
      <c r="CK35" s="19">
        <f t="shared" ref="CK35:CK64" si="115">CJ35*5</f>
        <v>0</v>
      </c>
      <c r="CL35" s="19">
        <f t="shared" ref="CL35:CL64" si="116">COUNTIF(F35:AI35, "13.5")</f>
        <v>0</v>
      </c>
      <c r="CM35" s="19">
        <f t="shared" ref="CM35:CM64" si="117">CL35*5.5</f>
        <v>0</v>
      </c>
      <c r="CN35" s="19">
        <f t="shared" ref="CN35:CN64" si="118">COUNTIF(F35:AI35, "14")</f>
        <v>0</v>
      </c>
      <c r="CO35" s="19">
        <f t="shared" ref="CO35:CO64" si="119">CN35*6</f>
        <v>0</v>
      </c>
      <c r="CP35" s="19">
        <f t="shared" ref="CP35:CP64" si="120">COUNTIF(F35:AI35, "14.5")</f>
        <v>0</v>
      </c>
      <c r="CQ35" s="19">
        <f t="shared" ref="CQ35:CQ64" si="121">CP35*6.5</f>
        <v>0</v>
      </c>
      <c r="CR35" s="19">
        <f t="shared" ref="CR35:CR64" si="122">COUNTIF(F35:AI35, "15")</f>
        <v>0</v>
      </c>
      <c r="CS35" s="19">
        <f t="shared" ref="CS35:CS64" si="123">CR35*7</f>
        <v>0</v>
      </c>
      <c r="CT35" s="19">
        <f t="shared" ref="CT35:CT64" si="124">COUNTIF(F35:AI35, "15.5")</f>
        <v>0</v>
      </c>
      <c r="CU35" s="19">
        <f t="shared" ref="CU35:CU64" si="125">CT35*7.5</f>
        <v>0</v>
      </c>
      <c r="CV35" s="19">
        <f t="shared" ref="CV35:CV64" si="126">COUNTIF(F35:AI35, "16")</f>
        <v>0</v>
      </c>
      <c r="CW35" s="19">
        <f t="shared" ref="CW35:CW64" si="127">CV35*8</f>
        <v>0</v>
      </c>
      <c r="CX35" s="19">
        <f t="shared" ref="CX35:CX64" si="128">COUNTIF(F35:AI35, "16.5")</f>
        <v>0</v>
      </c>
      <c r="CY35" s="19">
        <f t="shared" ref="CY35:CY64" si="129">CX35*8.5</f>
        <v>0</v>
      </c>
      <c r="CZ35" s="19">
        <f t="shared" ref="CZ35:CZ64" si="130">COUNTIF(F35:AI35, "17")</f>
        <v>0</v>
      </c>
      <c r="DA35" s="19">
        <f t="shared" ref="DA35:DA64" si="131">CZ35*9</f>
        <v>0</v>
      </c>
      <c r="DB35" s="19">
        <f t="shared" ref="DB35:DB64" si="132">COUNTIF(F35:AI35, "17.5")</f>
        <v>0</v>
      </c>
      <c r="DC35" s="19">
        <f t="shared" ref="DC35:DC64" si="133">DB35*9.5</f>
        <v>0</v>
      </c>
      <c r="DD35" s="19">
        <f t="shared" ref="DD35:DD64" si="134">COUNTIF(F35:AI35, "18")</f>
        <v>0</v>
      </c>
      <c r="DE35" s="19">
        <f t="shared" ref="DE35:DE64" si="135">DD35*10</f>
        <v>0</v>
      </c>
      <c r="DF35" s="19">
        <f t="shared" ref="DF35:DF64" si="136">COUNTIF(F35:AI35, "18.5")</f>
        <v>0</v>
      </c>
      <c r="DG35" s="19">
        <f t="shared" ref="DG35:DG64" si="137">DF35*10.5</f>
        <v>0</v>
      </c>
      <c r="DH35" s="19">
        <f t="shared" ref="DH35:DH64" si="138">COUNTIF(F35:AI35, "19")</f>
        <v>0</v>
      </c>
      <c r="DI35" s="19">
        <f t="shared" ref="DI35:DI64" si="139">DH35*11</f>
        <v>0</v>
      </c>
      <c r="DJ35" s="19">
        <f t="shared" ref="DJ35:DJ64" si="140">COUNTIF(F35:AI35, "19.5")</f>
        <v>0</v>
      </c>
      <c r="DK35" s="19">
        <f t="shared" ref="DK35:DK64" si="141">DJ35*11.5</f>
        <v>0</v>
      </c>
      <c r="DL35" s="19">
        <f t="shared" ref="DL35:DL64" si="142">COUNTIF(F35:AI35, "20")</f>
        <v>0</v>
      </c>
      <c r="DM35" s="19">
        <f t="shared" ref="DM35:DM64" si="143">DL35*12</f>
        <v>0</v>
      </c>
      <c r="DN35" s="19">
        <f t="shared" ref="DN35:DN64" si="144">COUNTIF(F35:AI35, "20.5")</f>
        <v>0</v>
      </c>
      <c r="DO35" s="19">
        <f t="shared" ref="DO35:DO64" si="145">DN35*12.5</f>
        <v>0</v>
      </c>
      <c r="DP35" s="19">
        <f t="shared" ref="DP35:DP64" si="146">COUNTIF(F35:AI35, "21")</f>
        <v>0</v>
      </c>
      <c r="DQ35" s="19">
        <f t="shared" ref="DQ35:DQ64" si="147">DP35*13</f>
        <v>0</v>
      </c>
      <c r="DR35" s="19">
        <f t="shared" ref="DR35:DR64" si="148">COUNTIF(F35:AI35, "21.5")</f>
        <v>0</v>
      </c>
      <c r="DS35" s="19">
        <f t="shared" ref="DS35:DS64" si="149">DR35*13.5</f>
        <v>0</v>
      </c>
      <c r="DT35" s="19">
        <f t="shared" ref="DT35:DT64" si="150">COUNTIF(F35:AI35, "22")</f>
        <v>0</v>
      </c>
      <c r="DU35" s="19">
        <f t="shared" ref="DU35:DU64" si="151">DT35*14</f>
        <v>0</v>
      </c>
      <c r="DV35" s="19">
        <f t="shared" ref="DV35:DV64" si="152">COUNTIF(F35:AI35, "22.5")</f>
        <v>0</v>
      </c>
      <c r="DW35" s="19">
        <f t="shared" ref="DW35:DW64" si="153">DV35*14.5</f>
        <v>0</v>
      </c>
      <c r="DX35" s="19">
        <f t="shared" ref="DX35:DX64" si="154">COUNTIF(F35:AI35, "23")</f>
        <v>0</v>
      </c>
      <c r="DY35" s="19">
        <f t="shared" ref="DY35:DY64" si="155">DX35*15</f>
        <v>0</v>
      </c>
      <c r="DZ35" s="19">
        <f t="shared" ref="DZ35:DZ64" si="156">COUNTIF(F35:AI35, "23.5")</f>
        <v>0</v>
      </c>
      <c r="EA35" s="19">
        <f t="shared" ref="EA35:EA64" si="157">DZ35*15.5</f>
        <v>0</v>
      </c>
      <c r="EB35" s="19">
        <f t="shared" ref="EB35:EB64" si="158">COUNTIF(F35:AI35, "24")</f>
        <v>0</v>
      </c>
      <c r="EC35" s="19">
        <f t="shared" ref="EC35:EC64" si="159">EB35*16</f>
        <v>0</v>
      </c>
    </row>
    <row r="36" spans="1:133" s="78" customFormat="1" ht="18" customHeight="1" x14ac:dyDescent="0.25">
      <c r="A36" s="15">
        <v>33</v>
      </c>
      <c r="B36" s="108" t="s">
        <v>330</v>
      </c>
      <c r="C36" s="74" t="s">
        <v>327</v>
      </c>
      <c r="D36" s="16" t="s">
        <v>61</v>
      </c>
      <c r="E36" s="18">
        <v>45472</v>
      </c>
      <c r="F36" s="19" t="s">
        <v>316</v>
      </c>
      <c r="G36" s="19">
        <v>10</v>
      </c>
      <c r="H36" s="19">
        <v>10</v>
      </c>
      <c r="I36" s="19">
        <v>10</v>
      </c>
      <c r="J36" s="19" t="s">
        <v>603</v>
      </c>
      <c r="K36" s="19">
        <v>10</v>
      </c>
      <c r="L36" s="19" t="s">
        <v>316</v>
      </c>
      <c r="M36" s="19">
        <v>10</v>
      </c>
      <c r="N36" s="19">
        <v>10</v>
      </c>
      <c r="O36" s="19">
        <v>10</v>
      </c>
      <c r="P36" s="19">
        <v>10</v>
      </c>
      <c r="Q36" s="19">
        <v>10</v>
      </c>
      <c r="R36" s="19">
        <v>10</v>
      </c>
      <c r="S36" s="19" t="s">
        <v>15</v>
      </c>
      <c r="T36" s="19">
        <v>10</v>
      </c>
      <c r="U36" s="19">
        <v>10</v>
      </c>
      <c r="V36" s="19">
        <v>10</v>
      </c>
      <c r="W36" s="19">
        <v>10</v>
      </c>
      <c r="X36" s="19">
        <v>10</v>
      </c>
      <c r="Y36" s="19">
        <v>10</v>
      </c>
      <c r="Z36" s="19" t="s">
        <v>15</v>
      </c>
      <c r="AA36" s="19">
        <v>10</v>
      </c>
      <c r="AB36" s="19">
        <v>10</v>
      </c>
      <c r="AC36" s="19">
        <v>10</v>
      </c>
      <c r="AD36" s="19">
        <v>10</v>
      </c>
      <c r="AE36" s="19">
        <v>10</v>
      </c>
      <c r="AF36" s="19">
        <v>10</v>
      </c>
      <c r="AG36" s="19" t="s">
        <v>15</v>
      </c>
      <c r="AH36" s="19">
        <v>10</v>
      </c>
      <c r="AI36" s="19">
        <v>10</v>
      </c>
      <c r="AJ36" s="19">
        <v>6</v>
      </c>
      <c r="AK36" s="19">
        <v>0</v>
      </c>
      <c r="AL36" s="19">
        <v>0</v>
      </c>
      <c r="AM36" s="19">
        <v>0</v>
      </c>
      <c r="AN36" s="19">
        <v>0</v>
      </c>
      <c r="AO36" s="19">
        <v>10</v>
      </c>
      <c r="AP36" s="19"/>
      <c r="AQ36" s="19"/>
      <c r="AR36" s="19"/>
      <c r="AS36" s="19">
        <v>0</v>
      </c>
      <c r="AT36" s="19">
        <f t="shared" si="80"/>
        <v>48</v>
      </c>
      <c r="AU36" s="19">
        <f t="shared" si="81"/>
        <v>6</v>
      </c>
      <c r="AV36" s="19">
        <f t="shared" si="82"/>
        <v>10</v>
      </c>
      <c r="AW36" s="16">
        <f t="shared" si="83"/>
        <v>28</v>
      </c>
      <c r="AX36" s="16">
        <f t="shared" si="84"/>
        <v>2</v>
      </c>
      <c r="AY36" s="16">
        <f t="shared" si="85"/>
        <v>0</v>
      </c>
      <c r="AZ36" s="21">
        <v>1100</v>
      </c>
      <c r="BA36" s="21">
        <v>100</v>
      </c>
      <c r="BB36" s="21">
        <v>0</v>
      </c>
      <c r="BC36" s="19">
        <f t="shared" si="86"/>
        <v>1027</v>
      </c>
      <c r="BD36" s="19">
        <f t="shared" si="87"/>
        <v>93</v>
      </c>
      <c r="BE36" s="19">
        <f t="shared" si="88"/>
        <v>385</v>
      </c>
      <c r="BF36" s="19">
        <f t="shared" si="89"/>
        <v>0</v>
      </c>
      <c r="BG36" s="19">
        <f t="shared" si="90"/>
        <v>0</v>
      </c>
      <c r="BH36" s="19">
        <f t="shared" si="91"/>
        <v>0</v>
      </c>
      <c r="BI36" s="19">
        <v>0</v>
      </c>
      <c r="BJ36" s="19">
        <f t="shared" si="92"/>
        <v>1505</v>
      </c>
      <c r="BK36" s="19">
        <v>0</v>
      </c>
      <c r="BL36" s="19">
        <v>0</v>
      </c>
      <c r="BM36" s="19">
        <f t="shared" si="93"/>
        <v>0</v>
      </c>
      <c r="BN36" s="19">
        <f t="shared" si="94"/>
        <v>1505</v>
      </c>
      <c r="BO36" s="19">
        <v>0</v>
      </c>
      <c r="BP36" s="19">
        <v>0</v>
      </c>
      <c r="BQ36" s="22">
        <f t="shared" si="95"/>
        <v>1505</v>
      </c>
      <c r="BR36" s="82">
        <f t="shared" si="96"/>
        <v>0</v>
      </c>
      <c r="BS36" s="19">
        <f t="shared" si="97"/>
        <v>0</v>
      </c>
      <c r="BT36" s="19">
        <f t="shared" si="98"/>
        <v>0</v>
      </c>
      <c r="BU36" s="19">
        <f t="shared" si="99"/>
        <v>0</v>
      </c>
      <c r="BV36" s="19">
        <f t="shared" si="100"/>
        <v>0</v>
      </c>
      <c r="BW36" s="19">
        <f t="shared" si="101"/>
        <v>0</v>
      </c>
      <c r="BX36" s="19">
        <f t="shared" si="102"/>
        <v>24</v>
      </c>
      <c r="BY36" s="19">
        <f t="shared" si="103"/>
        <v>48</v>
      </c>
      <c r="BZ36" s="19">
        <f t="shared" si="104"/>
        <v>0</v>
      </c>
      <c r="CA36" s="19">
        <f t="shared" si="105"/>
        <v>0</v>
      </c>
      <c r="CB36" s="19">
        <f t="shared" si="106"/>
        <v>0</v>
      </c>
      <c r="CC36" s="19">
        <f t="shared" si="107"/>
        <v>0</v>
      </c>
      <c r="CD36" s="19">
        <f t="shared" si="108"/>
        <v>0</v>
      </c>
      <c r="CE36" s="19">
        <f t="shared" si="109"/>
        <v>0</v>
      </c>
      <c r="CF36" s="19">
        <f t="shared" si="110"/>
        <v>0</v>
      </c>
      <c r="CG36" s="19">
        <f t="shared" si="111"/>
        <v>0</v>
      </c>
      <c r="CH36" s="19">
        <f t="shared" si="112"/>
        <v>0</v>
      </c>
      <c r="CI36" s="19">
        <f t="shared" si="113"/>
        <v>0</v>
      </c>
      <c r="CJ36" s="19">
        <f t="shared" si="114"/>
        <v>0</v>
      </c>
      <c r="CK36" s="19">
        <f t="shared" si="115"/>
        <v>0</v>
      </c>
      <c r="CL36" s="19">
        <f t="shared" si="116"/>
        <v>0</v>
      </c>
      <c r="CM36" s="19">
        <f t="shared" si="117"/>
        <v>0</v>
      </c>
      <c r="CN36" s="19">
        <f t="shared" si="118"/>
        <v>0</v>
      </c>
      <c r="CO36" s="19">
        <f t="shared" si="119"/>
        <v>0</v>
      </c>
      <c r="CP36" s="19">
        <f t="shared" si="120"/>
        <v>0</v>
      </c>
      <c r="CQ36" s="19">
        <f t="shared" si="121"/>
        <v>0</v>
      </c>
      <c r="CR36" s="19">
        <f t="shared" si="122"/>
        <v>0</v>
      </c>
      <c r="CS36" s="19">
        <f t="shared" si="123"/>
        <v>0</v>
      </c>
      <c r="CT36" s="19">
        <f t="shared" si="124"/>
        <v>0</v>
      </c>
      <c r="CU36" s="19">
        <f t="shared" si="125"/>
        <v>0</v>
      </c>
      <c r="CV36" s="19">
        <f t="shared" si="126"/>
        <v>0</v>
      </c>
      <c r="CW36" s="19">
        <f t="shared" si="127"/>
        <v>0</v>
      </c>
      <c r="CX36" s="19">
        <f t="shared" si="128"/>
        <v>0</v>
      </c>
      <c r="CY36" s="19">
        <f t="shared" si="129"/>
        <v>0</v>
      </c>
      <c r="CZ36" s="19">
        <f t="shared" si="130"/>
        <v>0</v>
      </c>
      <c r="DA36" s="19">
        <f t="shared" si="131"/>
        <v>0</v>
      </c>
      <c r="DB36" s="19">
        <f t="shared" si="132"/>
        <v>0</v>
      </c>
      <c r="DC36" s="19">
        <f t="shared" si="133"/>
        <v>0</v>
      </c>
      <c r="DD36" s="19">
        <f t="shared" si="134"/>
        <v>0</v>
      </c>
      <c r="DE36" s="19">
        <f t="shared" si="135"/>
        <v>0</v>
      </c>
      <c r="DF36" s="19">
        <f t="shared" si="136"/>
        <v>0</v>
      </c>
      <c r="DG36" s="19">
        <f t="shared" si="137"/>
        <v>0</v>
      </c>
      <c r="DH36" s="19">
        <f t="shared" si="138"/>
        <v>0</v>
      </c>
      <c r="DI36" s="19">
        <f t="shared" si="139"/>
        <v>0</v>
      </c>
      <c r="DJ36" s="19">
        <f t="shared" si="140"/>
        <v>0</v>
      </c>
      <c r="DK36" s="19">
        <f t="shared" si="141"/>
        <v>0</v>
      </c>
      <c r="DL36" s="19">
        <f t="shared" si="142"/>
        <v>0</v>
      </c>
      <c r="DM36" s="19">
        <f t="shared" si="143"/>
        <v>0</v>
      </c>
      <c r="DN36" s="19">
        <f t="shared" si="144"/>
        <v>0</v>
      </c>
      <c r="DO36" s="19">
        <f t="shared" si="145"/>
        <v>0</v>
      </c>
      <c r="DP36" s="19">
        <f t="shared" si="146"/>
        <v>0</v>
      </c>
      <c r="DQ36" s="19">
        <f t="shared" si="147"/>
        <v>0</v>
      </c>
      <c r="DR36" s="19">
        <f t="shared" si="148"/>
        <v>0</v>
      </c>
      <c r="DS36" s="19">
        <f t="shared" si="149"/>
        <v>0</v>
      </c>
      <c r="DT36" s="19">
        <f t="shared" si="150"/>
        <v>0</v>
      </c>
      <c r="DU36" s="19">
        <f t="shared" si="151"/>
        <v>0</v>
      </c>
      <c r="DV36" s="19">
        <f t="shared" si="152"/>
        <v>0</v>
      </c>
      <c r="DW36" s="19">
        <f t="shared" si="153"/>
        <v>0</v>
      </c>
      <c r="DX36" s="19">
        <f t="shared" si="154"/>
        <v>0</v>
      </c>
      <c r="DY36" s="19">
        <f t="shared" si="155"/>
        <v>0</v>
      </c>
      <c r="DZ36" s="19">
        <f t="shared" si="156"/>
        <v>0</v>
      </c>
      <c r="EA36" s="19">
        <f t="shared" si="157"/>
        <v>0</v>
      </c>
      <c r="EB36" s="19">
        <f t="shared" si="158"/>
        <v>0</v>
      </c>
      <c r="EC36" s="19">
        <f t="shared" si="159"/>
        <v>0</v>
      </c>
    </row>
    <row r="37" spans="1:133" s="78" customFormat="1" ht="18" customHeight="1" x14ac:dyDescent="0.25">
      <c r="A37" s="15">
        <v>34</v>
      </c>
      <c r="B37" s="108" t="s">
        <v>331</v>
      </c>
      <c r="C37" s="74" t="s">
        <v>324</v>
      </c>
      <c r="D37" s="16" t="s">
        <v>61</v>
      </c>
      <c r="E37" s="18">
        <v>45472</v>
      </c>
      <c r="F37" s="19">
        <v>10</v>
      </c>
      <c r="G37" s="19">
        <v>10</v>
      </c>
      <c r="H37" s="19">
        <v>10</v>
      </c>
      <c r="I37" s="19">
        <v>10</v>
      </c>
      <c r="J37" s="19" t="s">
        <v>603</v>
      </c>
      <c r="K37" s="19">
        <v>10</v>
      </c>
      <c r="L37" s="19" t="s">
        <v>15</v>
      </c>
      <c r="M37" s="19">
        <v>10</v>
      </c>
      <c r="N37" s="19">
        <v>10</v>
      </c>
      <c r="O37" s="19">
        <v>10</v>
      </c>
      <c r="P37" s="19">
        <v>10</v>
      </c>
      <c r="Q37" s="19">
        <v>10</v>
      </c>
      <c r="R37" s="19">
        <v>10</v>
      </c>
      <c r="S37" s="19" t="s">
        <v>15</v>
      </c>
      <c r="T37" s="19">
        <v>10</v>
      </c>
      <c r="U37" s="19">
        <v>10</v>
      </c>
      <c r="V37" s="19">
        <v>10</v>
      </c>
      <c r="W37" s="19">
        <v>10</v>
      </c>
      <c r="X37" s="19">
        <v>10</v>
      </c>
      <c r="Y37" s="19">
        <v>10</v>
      </c>
      <c r="Z37" s="19" t="s">
        <v>15</v>
      </c>
      <c r="AA37" s="19">
        <v>10</v>
      </c>
      <c r="AB37" s="19">
        <v>10</v>
      </c>
      <c r="AC37" s="19">
        <v>10</v>
      </c>
      <c r="AD37" s="19">
        <v>10</v>
      </c>
      <c r="AE37" s="19">
        <v>10</v>
      </c>
      <c r="AF37" s="19">
        <v>10</v>
      </c>
      <c r="AG37" s="19" t="s">
        <v>15</v>
      </c>
      <c r="AH37" s="19">
        <v>10</v>
      </c>
      <c r="AI37" s="19">
        <v>10</v>
      </c>
      <c r="AJ37" s="19">
        <v>0</v>
      </c>
      <c r="AK37" s="19">
        <v>0</v>
      </c>
      <c r="AL37" s="19">
        <v>0</v>
      </c>
      <c r="AM37" s="19">
        <v>10</v>
      </c>
      <c r="AN37" s="19">
        <v>0</v>
      </c>
      <c r="AO37" s="19">
        <v>6</v>
      </c>
      <c r="AP37" s="19"/>
      <c r="AQ37" s="19"/>
      <c r="AR37" s="19"/>
      <c r="AS37" s="19">
        <v>0</v>
      </c>
      <c r="AT37" s="19">
        <f t="shared" si="80"/>
        <v>50</v>
      </c>
      <c r="AU37" s="19">
        <f t="shared" si="81"/>
        <v>10</v>
      </c>
      <c r="AV37" s="19">
        <f t="shared" si="82"/>
        <v>6</v>
      </c>
      <c r="AW37" s="16">
        <f t="shared" si="83"/>
        <v>30</v>
      </c>
      <c r="AX37" s="16">
        <f t="shared" si="84"/>
        <v>0</v>
      </c>
      <c r="AY37" s="16">
        <f t="shared" si="85"/>
        <v>0</v>
      </c>
      <c r="AZ37" s="21">
        <v>950</v>
      </c>
      <c r="BA37" s="21">
        <v>100</v>
      </c>
      <c r="BB37" s="21">
        <v>0</v>
      </c>
      <c r="BC37" s="19">
        <f t="shared" si="86"/>
        <v>950</v>
      </c>
      <c r="BD37" s="19">
        <f t="shared" si="87"/>
        <v>100</v>
      </c>
      <c r="BE37" s="19">
        <f t="shared" si="88"/>
        <v>342</v>
      </c>
      <c r="BF37" s="19">
        <f t="shared" si="89"/>
        <v>0</v>
      </c>
      <c r="BG37" s="19">
        <f t="shared" si="90"/>
        <v>0</v>
      </c>
      <c r="BH37" s="19">
        <f t="shared" si="91"/>
        <v>0</v>
      </c>
      <c r="BI37" s="19">
        <v>95</v>
      </c>
      <c r="BJ37" s="19">
        <f t="shared" si="92"/>
        <v>1487</v>
      </c>
      <c r="BK37" s="19">
        <v>0</v>
      </c>
      <c r="BL37" s="19">
        <v>0</v>
      </c>
      <c r="BM37" s="19">
        <f t="shared" si="93"/>
        <v>0</v>
      </c>
      <c r="BN37" s="19">
        <f t="shared" si="94"/>
        <v>1487</v>
      </c>
      <c r="BO37" s="19">
        <v>0</v>
      </c>
      <c r="BP37" s="19">
        <v>0</v>
      </c>
      <c r="BQ37" s="22">
        <f t="shared" si="95"/>
        <v>1487</v>
      </c>
      <c r="BR37" s="82">
        <f t="shared" si="96"/>
        <v>0</v>
      </c>
      <c r="BS37" s="19">
        <f t="shared" si="97"/>
        <v>0</v>
      </c>
      <c r="BT37" s="19">
        <f t="shared" si="98"/>
        <v>0</v>
      </c>
      <c r="BU37" s="19">
        <f t="shared" si="99"/>
        <v>0</v>
      </c>
      <c r="BV37" s="19">
        <f t="shared" si="100"/>
        <v>0</v>
      </c>
      <c r="BW37" s="19">
        <f t="shared" si="101"/>
        <v>0</v>
      </c>
      <c r="BX37" s="19">
        <f t="shared" si="102"/>
        <v>25</v>
      </c>
      <c r="BY37" s="19">
        <f t="shared" si="103"/>
        <v>50</v>
      </c>
      <c r="BZ37" s="19">
        <f t="shared" si="104"/>
        <v>0</v>
      </c>
      <c r="CA37" s="19">
        <f t="shared" si="105"/>
        <v>0</v>
      </c>
      <c r="CB37" s="19">
        <f t="shared" si="106"/>
        <v>0</v>
      </c>
      <c r="CC37" s="19">
        <f t="shared" si="107"/>
        <v>0</v>
      </c>
      <c r="CD37" s="19">
        <f t="shared" si="108"/>
        <v>0</v>
      </c>
      <c r="CE37" s="19">
        <f t="shared" si="109"/>
        <v>0</v>
      </c>
      <c r="CF37" s="19">
        <f t="shared" si="110"/>
        <v>0</v>
      </c>
      <c r="CG37" s="19">
        <f t="shared" si="111"/>
        <v>0</v>
      </c>
      <c r="CH37" s="19">
        <f t="shared" si="112"/>
        <v>0</v>
      </c>
      <c r="CI37" s="19">
        <f t="shared" si="113"/>
        <v>0</v>
      </c>
      <c r="CJ37" s="19">
        <f t="shared" si="114"/>
        <v>0</v>
      </c>
      <c r="CK37" s="19">
        <f t="shared" si="115"/>
        <v>0</v>
      </c>
      <c r="CL37" s="19">
        <f t="shared" si="116"/>
        <v>0</v>
      </c>
      <c r="CM37" s="19">
        <f t="shared" si="117"/>
        <v>0</v>
      </c>
      <c r="CN37" s="19">
        <f t="shared" si="118"/>
        <v>0</v>
      </c>
      <c r="CO37" s="19">
        <f t="shared" si="119"/>
        <v>0</v>
      </c>
      <c r="CP37" s="19">
        <f t="shared" si="120"/>
        <v>0</v>
      </c>
      <c r="CQ37" s="19">
        <f t="shared" si="121"/>
        <v>0</v>
      </c>
      <c r="CR37" s="19">
        <f t="shared" si="122"/>
        <v>0</v>
      </c>
      <c r="CS37" s="19">
        <f t="shared" si="123"/>
        <v>0</v>
      </c>
      <c r="CT37" s="19">
        <f t="shared" si="124"/>
        <v>0</v>
      </c>
      <c r="CU37" s="19">
        <f t="shared" si="125"/>
        <v>0</v>
      </c>
      <c r="CV37" s="19">
        <f t="shared" si="126"/>
        <v>0</v>
      </c>
      <c r="CW37" s="19">
        <f t="shared" si="127"/>
        <v>0</v>
      </c>
      <c r="CX37" s="19">
        <f t="shared" si="128"/>
        <v>0</v>
      </c>
      <c r="CY37" s="19">
        <f t="shared" si="129"/>
        <v>0</v>
      </c>
      <c r="CZ37" s="19">
        <f t="shared" si="130"/>
        <v>0</v>
      </c>
      <c r="DA37" s="19">
        <f t="shared" si="131"/>
        <v>0</v>
      </c>
      <c r="DB37" s="19">
        <f t="shared" si="132"/>
        <v>0</v>
      </c>
      <c r="DC37" s="19">
        <f t="shared" si="133"/>
        <v>0</v>
      </c>
      <c r="DD37" s="19">
        <f t="shared" si="134"/>
        <v>0</v>
      </c>
      <c r="DE37" s="19">
        <f t="shared" si="135"/>
        <v>0</v>
      </c>
      <c r="DF37" s="19">
        <f t="shared" si="136"/>
        <v>0</v>
      </c>
      <c r="DG37" s="19">
        <f t="shared" si="137"/>
        <v>0</v>
      </c>
      <c r="DH37" s="19">
        <f t="shared" si="138"/>
        <v>0</v>
      </c>
      <c r="DI37" s="19">
        <f t="shared" si="139"/>
        <v>0</v>
      </c>
      <c r="DJ37" s="19">
        <f t="shared" si="140"/>
        <v>0</v>
      </c>
      <c r="DK37" s="19">
        <f t="shared" si="141"/>
        <v>0</v>
      </c>
      <c r="DL37" s="19">
        <f t="shared" si="142"/>
        <v>0</v>
      </c>
      <c r="DM37" s="19">
        <f t="shared" si="143"/>
        <v>0</v>
      </c>
      <c r="DN37" s="19">
        <f t="shared" si="144"/>
        <v>0</v>
      </c>
      <c r="DO37" s="19">
        <f t="shared" si="145"/>
        <v>0</v>
      </c>
      <c r="DP37" s="19">
        <f t="shared" si="146"/>
        <v>0</v>
      </c>
      <c r="DQ37" s="19">
        <f t="shared" si="147"/>
        <v>0</v>
      </c>
      <c r="DR37" s="19">
        <f t="shared" si="148"/>
        <v>0</v>
      </c>
      <c r="DS37" s="19">
        <f t="shared" si="149"/>
        <v>0</v>
      </c>
      <c r="DT37" s="19">
        <f t="shared" si="150"/>
        <v>0</v>
      </c>
      <c r="DU37" s="19">
        <f t="shared" si="151"/>
        <v>0</v>
      </c>
      <c r="DV37" s="19">
        <f t="shared" si="152"/>
        <v>0</v>
      </c>
      <c r="DW37" s="19">
        <f t="shared" si="153"/>
        <v>0</v>
      </c>
      <c r="DX37" s="19">
        <f t="shared" si="154"/>
        <v>0</v>
      </c>
      <c r="DY37" s="19">
        <f t="shared" si="155"/>
        <v>0</v>
      </c>
      <c r="DZ37" s="19">
        <f t="shared" si="156"/>
        <v>0</v>
      </c>
      <c r="EA37" s="19">
        <f t="shared" si="157"/>
        <v>0</v>
      </c>
      <c r="EB37" s="19">
        <f t="shared" si="158"/>
        <v>0</v>
      </c>
      <c r="EC37" s="19">
        <f t="shared" si="159"/>
        <v>0</v>
      </c>
    </row>
    <row r="38" spans="1:133" s="78" customFormat="1" ht="18" customHeight="1" x14ac:dyDescent="0.25">
      <c r="A38" s="15">
        <v>35</v>
      </c>
      <c r="B38" s="108" t="s">
        <v>376</v>
      </c>
      <c r="C38" s="74" t="s">
        <v>332</v>
      </c>
      <c r="D38" s="16" t="s">
        <v>61</v>
      </c>
      <c r="E38" s="18">
        <v>45475</v>
      </c>
      <c r="F38" s="19">
        <v>10</v>
      </c>
      <c r="G38" s="19">
        <v>10</v>
      </c>
      <c r="H38" s="19">
        <v>10</v>
      </c>
      <c r="I38" s="19">
        <v>10</v>
      </c>
      <c r="J38" s="19" t="s">
        <v>603</v>
      </c>
      <c r="K38" s="19">
        <v>10</v>
      </c>
      <c r="L38" s="19" t="s">
        <v>15</v>
      </c>
      <c r="M38" s="19">
        <v>10</v>
      </c>
      <c r="N38" s="19">
        <v>10</v>
      </c>
      <c r="O38" s="19">
        <v>10</v>
      </c>
      <c r="P38" s="19">
        <v>10</v>
      </c>
      <c r="Q38" s="19">
        <v>10</v>
      </c>
      <c r="R38" s="19">
        <v>10</v>
      </c>
      <c r="S38" s="19" t="s">
        <v>15</v>
      </c>
      <c r="T38" s="19">
        <v>10</v>
      </c>
      <c r="U38" s="19">
        <v>10</v>
      </c>
      <c r="V38" s="19">
        <v>10</v>
      </c>
      <c r="W38" s="19">
        <v>10</v>
      </c>
      <c r="X38" s="19">
        <v>10</v>
      </c>
      <c r="Y38" s="19">
        <v>10</v>
      </c>
      <c r="Z38" s="19" t="s">
        <v>15</v>
      </c>
      <c r="AA38" s="19">
        <v>10</v>
      </c>
      <c r="AB38" s="19">
        <v>10</v>
      </c>
      <c r="AC38" s="19">
        <v>10</v>
      </c>
      <c r="AD38" s="19">
        <v>10</v>
      </c>
      <c r="AE38" s="19">
        <v>10</v>
      </c>
      <c r="AF38" s="19">
        <v>10</v>
      </c>
      <c r="AG38" s="19" t="s">
        <v>15</v>
      </c>
      <c r="AH38" s="19">
        <v>10</v>
      </c>
      <c r="AI38" s="19">
        <v>10</v>
      </c>
      <c r="AJ38" s="19">
        <v>6</v>
      </c>
      <c r="AK38" s="19">
        <v>0</v>
      </c>
      <c r="AL38" s="19">
        <v>0</v>
      </c>
      <c r="AM38" s="19">
        <v>0</v>
      </c>
      <c r="AN38" s="19">
        <v>0</v>
      </c>
      <c r="AO38" s="19">
        <v>10</v>
      </c>
      <c r="AP38" s="19"/>
      <c r="AQ38" s="19"/>
      <c r="AR38" s="19"/>
      <c r="AS38" s="19">
        <v>0</v>
      </c>
      <c r="AT38" s="19">
        <f t="shared" si="80"/>
        <v>50</v>
      </c>
      <c r="AU38" s="19">
        <f t="shared" si="81"/>
        <v>6</v>
      </c>
      <c r="AV38" s="19">
        <f t="shared" si="82"/>
        <v>10</v>
      </c>
      <c r="AW38" s="16">
        <f t="shared" si="83"/>
        <v>30</v>
      </c>
      <c r="AX38" s="16">
        <f t="shared" si="84"/>
        <v>0</v>
      </c>
      <c r="AY38" s="16">
        <f t="shared" si="85"/>
        <v>0</v>
      </c>
      <c r="AZ38" s="21">
        <v>1000</v>
      </c>
      <c r="BA38" s="21">
        <v>100</v>
      </c>
      <c r="BB38" s="21">
        <v>0</v>
      </c>
      <c r="BC38" s="19">
        <f t="shared" si="86"/>
        <v>1000</v>
      </c>
      <c r="BD38" s="19">
        <f t="shared" si="87"/>
        <v>100</v>
      </c>
      <c r="BE38" s="19">
        <f t="shared" si="88"/>
        <v>360</v>
      </c>
      <c r="BF38" s="19">
        <f t="shared" si="89"/>
        <v>0</v>
      </c>
      <c r="BG38" s="19">
        <f t="shared" si="90"/>
        <v>0</v>
      </c>
      <c r="BH38" s="19">
        <f t="shared" si="91"/>
        <v>0</v>
      </c>
      <c r="BI38" s="19">
        <v>95</v>
      </c>
      <c r="BJ38" s="19">
        <f t="shared" si="92"/>
        <v>1555</v>
      </c>
      <c r="BK38" s="19">
        <v>0</v>
      </c>
      <c r="BL38" s="19">
        <v>0</v>
      </c>
      <c r="BM38" s="19">
        <f t="shared" si="93"/>
        <v>0</v>
      </c>
      <c r="BN38" s="19">
        <f t="shared" si="94"/>
        <v>1555</v>
      </c>
      <c r="BO38" s="19">
        <v>0</v>
      </c>
      <c r="BP38" s="19">
        <v>0</v>
      </c>
      <c r="BQ38" s="22">
        <f t="shared" si="95"/>
        <v>1555</v>
      </c>
      <c r="BR38" s="82">
        <f t="shared" si="96"/>
        <v>0</v>
      </c>
      <c r="BS38" s="19">
        <f t="shared" si="97"/>
        <v>0</v>
      </c>
      <c r="BT38" s="19">
        <f t="shared" si="98"/>
        <v>0</v>
      </c>
      <c r="BU38" s="19">
        <f t="shared" si="99"/>
        <v>0</v>
      </c>
      <c r="BV38" s="19">
        <f t="shared" si="100"/>
        <v>0</v>
      </c>
      <c r="BW38" s="19">
        <f t="shared" si="101"/>
        <v>0</v>
      </c>
      <c r="BX38" s="19">
        <f t="shared" si="102"/>
        <v>25</v>
      </c>
      <c r="BY38" s="19">
        <f t="shared" si="103"/>
        <v>50</v>
      </c>
      <c r="BZ38" s="19">
        <f t="shared" si="104"/>
        <v>0</v>
      </c>
      <c r="CA38" s="19">
        <f t="shared" si="105"/>
        <v>0</v>
      </c>
      <c r="CB38" s="19">
        <f t="shared" si="106"/>
        <v>0</v>
      </c>
      <c r="CC38" s="19">
        <f t="shared" si="107"/>
        <v>0</v>
      </c>
      <c r="CD38" s="19">
        <f t="shared" si="108"/>
        <v>0</v>
      </c>
      <c r="CE38" s="19">
        <f t="shared" si="109"/>
        <v>0</v>
      </c>
      <c r="CF38" s="19">
        <f t="shared" si="110"/>
        <v>0</v>
      </c>
      <c r="CG38" s="19">
        <f t="shared" si="111"/>
        <v>0</v>
      </c>
      <c r="CH38" s="19">
        <f t="shared" si="112"/>
        <v>0</v>
      </c>
      <c r="CI38" s="19">
        <f t="shared" si="113"/>
        <v>0</v>
      </c>
      <c r="CJ38" s="19">
        <f t="shared" si="114"/>
        <v>0</v>
      </c>
      <c r="CK38" s="19">
        <f t="shared" si="115"/>
        <v>0</v>
      </c>
      <c r="CL38" s="19">
        <f t="shared" si="116"/>
        <v>0</v>
      </c>
      <c r="CM38" s="19">
        <f t="shared" si="117"/>
        <v>0</v>
      </c>
      <c r="CN38" s="19">
        <f t="shared" si="118"/>
        <v>0</v>
      </c>
      <c r="CO38" s="19">
        <f t="shared" si="119"/>
        <v>0</v>
      </c>
      <c r="CP38" s="19">
        <f t="shared" si="120"/>
        <v>0</v>
      </c>
      <c r="CQ38" s="19">
        <f t="shared" si="121"/>
        <v>0</v>
      </c>
      <c r="CR38" s="19">
        <f t="shared" si="122"/>
        <v>0</v>
      </c>
      <c r="CS38" s="19">
        <f t="shared" si="123"/>
        <v>0</v>
      </c>
      <c r="CT38" s="19">
        <f t="shared" si="124"/>
        <v>0</v>
      </c>
      <c r="CU38" s="19">
        <f t="shared" si="125"/>
        <v>0</v>
      </c>
      <c r="CV38" s="19">
        <f t="shared" si="126"/>
        <v>0</v>
      </c>
      <c r="CW38" s="19">
        <f t="shared" si="127"/>
        <v>0</v>
      </c>
      <c r="CX38" s="19">
        <f t="shared" si="128"/>
        <v>0</v>
      </c>
      <c r="CY38" s="19">
        <f t="shared" si="129"/>
        <v>0</v>
      </c>
      <c r="CZ38" s="19">
        <f t="shared" si="130"/>
        <v>0</v>
      </c>
      <c r="DA38" s="19">
        <f t="shared" si="131"/>
        <v>0</v>
      </c>
      <c r="DB38" s="19">
        <f t="shared" si="132"/>
        <v>0</v>
      </c>
      <c r="DC38" s="19">
        <f t="shared" si="133"/>
        <v>0</v>
      </c>
      <c r="DD38" s="19">
        <f t="shared" si="134"/>
        <v>0</v>
      </c>
      <c r="DE38" s="19">
        <f t="shared" si="135"/>
        <v>0</v>
      </c>
      <c r="DF38" s="19">
        <f t="shared" si="136"/>
        <v>0</v>
      </c>
      <c r="DG38" s="19">
        <f t="shared" si="137"/>
        <v>0</v>
      </c>
      <c r="DH38" s="19">
        <f t="shared" si="138"/>
        <v>0</v>
      </c>
      <c r="DI38" s="19">
        <f t="shared" si="139"/>
        <v>0</v>
      </c>
      <c r="DJ38" s="19">
        <f t="shared" si="140"/>
        <v>0</v>
      </c>
      <c r="DK38" s="19">
        <f t="shared" si="141"/>
        <v>0</v>
      </c>
      <c r="DL38" s="19">
        <f t="shared" si="142"/>
        <v>0</v>
      </c>
      <c r="DM38" s="19">
        <f t="shared" si="143"/>
        <v>0</v>
      </c>
      <c r="DN38" s="19">
        <f t="shared" si="144"/>
        <v>0</v>
      </c>
      <c r="DO38" s="19">
        <f t="shared" si="145"/>
        <v>0</v>
      </c>
      <c r="DP38" s="19">
        <f t="shared" si="146"/>
        <v>0</v>
      </c>
      <c r="DQ38" s="19">
        <f t="shared" si="147"/>
        <v>0</v>
      </c>
      <c r="DR38" s="19">
        <f t="shared" si="148"/>
        <v>0</v>
      </c>
      <c r="DS38" s="19">
        <f t="shared" si="149"/>
        <v>0</v>
      </c>
      <c r="DT38" s="19">
        <f t="shared" si="150"/>
        <v>0</v>
      </c>
      <c r="DU38" s="19">
        <f t="shared" si="151"/>
        <v>0</v>
      </c>
      <c r="DV38" s="19">
        <f t="shared" si="152"/>
        <v>0</v>
      </c>
      <c r="DW38" s="19">
        <f t="shared" si="153"/>
        <v>0</v>
      </c>
      <c r="DX38" s="19">
        <f t="shared" si="154"/>
        <v>0</v>
      </c>
      <c r="DY38" s="19">
        <f t="shared" si="155"/>
        <v>0</v>
      </c>
      <c r="DZ38" s="19">
        <f t="shared" si="156"/>
        <v>0</v>
      </c>
      <c r="EA38" s="19">
        <f t="shared" si="157"/>
        <v>0</v>
      </c>
      <c r="EB38" s="19">
        <f t="shared" si="158"/>
        <v>0</v>
      </c>
      <c r="EC38" s="19">
        <f t="shared" si="159"/>
        <v>0</v>
      </c>
    </row>
    <row r="39" spans="1:133" s="78" customFormat="1" ht="18" customHeight="1" x14ac:dyDescent="0.25">
      <c r="A39" s="15">
        <v>36</v>
      </c>
      <c r="B39" s="108" t="s">
        <v>378</v>
      </c>
      <c r="C39" s="74" t="s">
        <v>334</v>
      </c>
      <c r="D39" s="16" t="s">
        <v>61</v>
      </c>
      <c r="E39" s="18">
        <v>45481</v>
      </c>
      <c r="F39" s="19" t="s">
        <v>316</v>
      </c>
      <c r="G39" s="19">
        <v>10</v>
      </c>
      <c r="H39" s="19">
        <v>10</v>
      </c>
      <c r="I39" s="19">
        <v>10</v>
      </c>
      <c r="J39" s="19" t="s">
        <v>603</v>
      </c>
      <c r="K39" s="19">
        <v>10</v>
      </c>
      <c r="L39" s="19" t="s">
        <v>316</v>
      </c>
      <c r="M39" s="19">
        <v>10</v>
      </c>
      <c r="N39" s="19">
        <v>10</v>
      </c>
      <c r="O39" s="19">
        <v>10</v>
      </c>
      <c r="P39" s="19">
        <v>10</v>
      </c>
      <c r="Q39" s="19">
        <v>10</v>
      </c>
      <c r="R39" s="19">
        <v>10</v>
      </c>
      <c r="S39" s="19" t="s">
        <v>15</v>
      </c>
      <c r="T39" s="19">
        <v>12.5</v>
      </c>
      <c r="U39" s="19">
        <v>14</v>
      </c>
      <c r="V39" s="19">
        <v>11</v>
      </c>
      <c r="W39" s="19">
        <v>11</v>
      </c>
      <c r="X39" s="19">
        <v>11</v>
      </c>
      <c r="Y39" s="19">
        <v>10</v>
      </c>
      <c r="Z39" s="19" t="s">
        <v>15</v>
      </c>
      <c r="AA39" s="19">
        <v>10</v>
      </c>
      <c r="AB39" s="19">
        <v>10</v>
      </c>
      <c r="AC39" s="19">
        <v>10</v>
      </c>
      <c r="AD39" s="19">
        <v>10</v>
      </c>
      <c r="AE39" s="19">
        <v>11</v>
      </c>
      <c r="AF39" s="19">
        <v>10</v>
      </c>
      <c r="AG39" s="19" t="s">
        <v>15</v>
      </c>
      <c r="AH39" s="19">
        <v>10</v>
      </c>
      <c r="AI39" s="19">
        <v>10</v>
      </c>
      <c r="AJ39" s="19">
        <v>0</v>
      </c>
      <c r="AK39" s="19">
        <v>11</v>
      </c>
      <c r="AL39" s="19">
        <v>0</v>
      </c>
      <c r="AM39" s="19">
        <v>11</v>
      </c>
      <c r="AN39" s="19">
        <v>0</v>
      </c>
      <c r="AO39" s="19">
        <v>10</v>
      </c>
      <c r="AP39" s="19"/>
      <c r="AQ39" s="19"/>
      <c r="AR39" s="19"/>
      <c r="AS39" s="19">
        <v>0</v>
      </c>
      <c r="AT39" s="19">
        <f t="shared" si="80"/>
        <v>58.5</v>
      </c>
      <c r="AU39" s="19">
        <f t="shared" si="81"/>
        <v>22</v>
      </c>
      <c r="AV39" s="19">
        <f t="shared" si="82"/>
        <v>10</v>
      </c>
      <c r="AW39" s="16">
        <f t="shared" si="83"/>
        <v>28</v>
      </c>
      <c r="AX39" s="16">
        <f t="shared" si="84"/>
        <v>2</v>
      </c>
      <c r="AY39" s="16">
        <f t="shared" si="85"/>
        <v>0</v>
      </c>
      <c r="AZ39" s="21">
        <v>900</v>
      </c>
      <c r="BA39" s="21">
        <v>100</v>
      </c>
      <c r="BB39" s="21">
        <v>0</v>
      </c>
      <c r="BC39" s="19">
        <f t="shared" si="86"/>
        <v>840</v>
      </c>
      <c r="BD39" s="19">
        <f t="shared" si="87"/>
        <v>93</v>
      </c>
      <c r="BE39" s="19">
        <f t="shared" si="88"/>
        <v>454</v>
      </c>
      <c r="BF39" s="19">
        <f t="shared" si="89"/>
        <v>0</v>
      </c>
      <c r="BG39" s="19">
        <f t="shared" si="90"/>
        <v>0</v>
      </c>
      <c r="BH39" s="19">
        <f t="shared" si="91"/>
        <v>0</v>
      </c>
      <c r="BI39" s="19">
        <v>0</v>
      </c>
      <c r="BJ39" s="19">
        <f t="shared" si="92"/>
        <v>1387</v>
      </c>
      <c r="BK39" s="19">
        <v>0</v>
      </c>
      <c r="BL39" s="19">
        <v>0</v>
      </c>
      <c r="BM39" s="19">
        <f t="shared" si="93"/>
        <v>0</v>
      </c>
      <c r="BN39" s="19">
        <f t="shared" si="94"/>
        <v>1387</v>
      </c>
      <c r="BO39" s="19">
        <v>0</v>
      </c>
      <c r="BP39" s="19">
        <v>0</v>
      </c>
      <c r="BQ39" s="22">
        <f t="shared" si="95"/>
        <v>1387</v>
      </c>
      <c r="BR39" s="82">
        <f t="shared" si="96"/>
        <v>0</v>
      </c>
      <c r="BS39" s="19">
        <f t="shared" si="97"/>
        <v>0</v>
      </c>
      <c r="BT39" s="19">
        <f t="shared" si="98"/>
        <v>0</v>
      </c>
      <c r="BU39" s="19">
        <f t="shared" si="99"/>
        <v>0</v>
      </c>
      <c r="BV39" s="19">
        <f t="shared" si="100"/>
        <v>0</v>
      </c>
      <c r="BW39" s="19">
        <f t="shared" si="101"/>
        <v>0</v>
      </c>
      <c r="BX39" s="19">
        <f t="shared" si="102"/>
        <v>18</v>
      </c>
      <c r="BY39" s="19">
        <f t="shared" si="103"/>
        <v>36</v>
      </c>
      <c r="BZ39" s="19">
        <f t="shared" si="104"/>
        <v>0</v>
      </c>
      <c r="CA39" s="19">
        <f t="shared" si="105"/>
        <v>0</v>
      </c>
      <c r="CB39" s="19">
        <f t="shared" si="106"/>
        <v>4</v>
      </c>
      <c r="CC39" s="19">
        <f t="shared" si="107"/>
        <v>12</v>
      </c>
      <c r="CD39" s="19">
        <f t="shared" si="108"/>
        <v>0</v>
      </c>
      <c r="CE39" s="19">
        <f t="shared" si="109"/>
        <v>0</v>
      </c>
      <c r="CF39" s="19">
        <f t="shared" si="110"/>
        <v>0</v>
      </c>
      <c r="CG39" s="19">
        <f t="shared" si="111"/>
        <v>0</v>
      </c>
      <c r="CH39" s="19">
        <f t="shared" si="112"/>
        <v>1</v>
      </c>
      <c r="CI39" s="19">
        <f t="shared" si="113"/>
        <v>4.5</v>
      </c>
      <c r="CJ39" s="19">
        <f t="shared" si="114"/>
        <v>0</v>
      </c>
      <c r="CK39" s="19">
        <f t="shared" si="115"/>
        <v>0</v>
      </c>
      <c r="CL39" s="19">
        <f t="shared" si="116"/>
        <v>0</v>
      </c>
      <c r="CM39" s="19">
        <f t="shared" si="117"/>
        <v>0</v>
      </c>
      <c r="CN39" s="19">
        <f t="shared" si="118"/>
        <v>1</v>
      </c>
      <c r="CO39" s="19">
        <f t="shared" si="119"/>
        <v>6</v>
      </c>
      <c r="CP39" s="19">
        <f t="shared" si="120"/>
        <v>0</v>
      </c>
      <c r="CQ39" s="19">
        <f t="shared" si="121"/>
        <v>0</v>
      </c>
      <c r="CR39" s="19">
        <f t="shared" si="122"/>
        <v>0</v>
      </c>
      <c r="CS39" s="19">
        <f t="shared" si="123"/>
        <v>0</v>
      </c>
      <c r="CT39" s="19">
        <f t="shared" si="124"/>
        <v>0</v>
      </c>
      <c r="CU39" s="19">
        <f t="shared" si="125"/>
        <v>0</v>
      </c>
      <c r="CV39" s="19">
        <f t="shared" si="126"/>
        <v>0</v>
      </c>
      <c r="CW39" s="19">
        <f t="shared" si="127"/>
        <v>0</v>
      </c>
      <c r="CX39" s="19">
        <f t="shared" si="128"/>
        <v>0</v>
      </c>
      <c r="CY39" s="19">
        <f t="shared" si="129"/>
        <v>0</v>
      </c>
      <c r="CZ39" s="19">
        <f t="shared" si="130"/>
        <v>0</v>
      </c>
      <c r="DA39" s="19">
        <f t="shared" si="131"/>
        <v>0</v>
      </c>
      <c r="DB39" s="19">
        <f t="shared" si="132"/>
        <v>0</v>
      </c>
      <c r="DC39" s="19">
        <f t="shared" si="133"/>
        <v>0</v>
      </c>
      <c r="DD39" s="19">
        <f t="shared" si="134"/>
        <v>0</v>
      </c>
      <c r="DE39" s="19">
        <f t="shared" si="135"/>
        <v>0</v>
      </c>
      <c r="DF39" s="19">
        <f t="shared" si="136"/>
        <v>0</v>
      </c>
      <c r="DG39" s="19">
        <f t="shared" si="137"/>
        <v>0</v>
      </c>
      <c r="DH39" s="19">
        <f t="shared" si="138"/>
        <v>0</v>
      </c>
      <c r="DI39" s="19">
        <f t="shared" si="139"/>
        <v>0</v>
      </c>
      <c r="DJ39" s="19">
        <f t="shared" si="140"/>
        <v>0</v>
      </c>
      <c r="DK39" s="19">
        <f t="shared" si="141"/>
        <v>0</v>
      </c>
      <c r="DL39" s="19">
        <f t="shared" si="142"/>
        <v>0</v>
      </c>
      <c r="DM39" s="19">
        <f t="shared" si="143"/>
        <v>0</v>
      </c>
      <c r="DN39" s="19">
        <f t="shared" si="144"/>
        <v>0</v>
      </c>
      <c r="DO39" s="19">
        <f t="shared" si="145"/>
        <v>0</v>
      </c>
      <c r="DP39" s="19">
        <f t="shared" si="146"/>
        <v>0</v>
      </c>
      <c r="DQ39" s="19">
        <f t="shared" si="147"/>
        <v>0</v>
      </c>
      <c r="DR39" s="19">
        <f t="shared" si="148"/>
        <v>0</v>
      </c>
      <c r="DS39" s="19">
        <f t="shared" si="149"/>
        <v>0</v>
      </c>
      <c r="DT39" s="19">
        <f t="shared" si="150"/>
        <v>0</v>
      </c>
      <c r="DU39" s="19">
        <f t="shared" si="151"/>
        <v>0</v>
      </c>
      <c r="DV39" s="19">
        <f t="shared" si="152"/>
        <v>0</v>
      </c>
      <c r="DW39" s="19">
        <f t="shared" si="153"/>
        <v>0</v>
      </c>
      <c r="DX39" s="19">
        <f t="shared" si="154"/>
        <v>0</v>
      </c>
      <c r="DY39" s="19">
        <f t="shared" si="155"/>
        <v>0</v>
      </c>
      <c r="DZ39" s="19">
        <f t="shared" si="156"/>
        <v>0</v>
      </c>
      <c r="EA39" s="19">
        <f t="shared" si="157"/>
        <v>0</v>
      </c>
      <c r="EB39" s="19">
        <f t="shared" si="158"/>
        <v>0</v>
      </c>
      <c r="EC39" s="19">
        <f t="shared" si="159"/>
        <v>0</v>
      </c>
    </row>
    <row r="40" spans="1:133" s="78" customFormat="1" ht="18" customHeight="1" x14ac:dyDescent="0.25">
      <c r="A40" s="15">
        <v>37</v>
      </c>
      <c r="B40" s="108" t="s">
        <v>379</v>
      </c>
      <c r="C40" s="74" t="s">
        <v>335</v>
      </c>
      <c r="D40" s="16" t="s">
        <v>61</v>
      </c>
      <c r="E40" s="18">
        <v>45481</v>
      </c>
      <c r="F40" s="19">
        <v>10</v>
      </c>
      <c r="G40" s="19">
        <v>10</v>
      </c>
      <c r="H40" s="19">
        <v>10</v>
      </c>
      <c r="I40" s="19">
        <v>10</v>
      </c>
      <c r="J40" s="19" t="s">
        <v>603</v>
      </c>
      <c r="K40" s="19">
        <v>10</v>
      </c>
      <c r="L40" s="19" t="s">
        <v>15</v>
      </c>
      <c r="M40" s="19">
        <v>10</v>
      </c>
      <c r="N40" s="19">
        <v>10</v>
      </c>
      <c r="O40" s="19">
        <v>10</v>
      </c>
      <c r="P40" s="19">
        <v>10</v>
      </c>
      <c r="Q40" s="19">
        <v>10</v>
      </c>
      <c r="R40" s="19">
        <v>10</v>
      </c>
      <c r="S40" s="19" t="s">
        <v>15</v>
      </c>
      <c r="T40" s="19">
        <v>10</v>
      </c>
      <c r="U40" s="19">
        <v>10</v>
      </c>
      <c r="V40" s="19">
        <v>10</v>
      </c>
      <c r="W40" s="19">
        <v>10</v>
      </c>
      <c r="X40" s="19">
        <v>10</v>
      </c>
      <c r="Y40" s="19">
        <v>10</v>
      </c>
      <c r="Z40" s="19" t="s">
        <v>15</v>
      </c>
      <c r="AA40" s="19">
        <v>10</v>
      </c>
      <c r="AB40" s="19">
        <v>10</v>
      </c>
      <c r="AC40" s="19">
        <v>10</v>
      </c>
      <c r="AD40" s="19">
        <v>10</v>
      </c>
      <c r="AE40" s="19">
        <v>10</v>
      </c>
      <c r="AF40" s="19">
        <v>10</v>
      </c>
      <c r="AG40" s="19" t="s">
        <v>15</v>
      </c>
      <c r="AH40" s="19">
        <v>10</v>
      </c>
      <c r="AI40" s="19">
        <v>10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/>
      <c r="AQ40" s="19"/>
      <c r="AR40" s="19"/>
      <c r="AS40" s="19">
        <v>0</v>
      </c>
      <c r="AT40" s="19">
        <f t="shared" si="80"/>
        <v>50</v>
      </c>
      <c r="AU40" s="19">
        <f t="shared" si="81"/>
        <v>0</v>
      </c>
      <c r="AV40" s="19">
        <f t="shared" si="82"/>
        <v>0</v>
      </c>
      <c r="AW40" s="16">
        <f t="shared" si="83"/>
        <v>30</v>
      </c>
      <c r="AX40" s="16">
        <f t="shared" si="84"/>
        <v>0</v>
      </c>
      <c r="AY40" s="16">
        <f t="shared" si="85"/>
        <v>0</v>
      </c>
      <c r="AZ40" s="21">
        <v>900</v>
      </c>
      <c r="BA40" s="21">
        <v>100</v>
      </c>
      <c r="BB40" s="21">
        <v>0</v>
      </c>
      <c r="BC40" s="19">
        <f t="shared" si="86"/>
        <v>900</v>
      </c>
      <c r="BD40" s="19">
        <f t="shared" si="87"/>
        <v>100</v>
      </c>
      <c r="BE40" s="19">
        <f t="shared" si="88"/>
        <v>234</v>
      </c>
      <c r="BF40" s="19">
        <f t="shared" si="89"/>
        <v>0</v>
      </c>
      <c r="BG40" s="19">
        <f t="shared" si="90"/>
        <v>0</v>
      </c>
      <c r="BH40" s="19">
        <f t="shared" si="91"/>
        <v>0</v>
      </c>
      <c r="BI40" s="19">
        <v>95</v>
      </c>
      <c r="BJ40" s="19">
        <f t="shared" si="92"/>
        <v>1329</v>
      </c>
      <c r="BK40" s="19">
        <v>0</v>
      </c>
      <c r="BL40" s="19">
        <v>0</v>
      </c>
      <c r="BM40" s="19">
        <f t="shared" si="93"/>
        <v>0</v>
      </c>
      <c r="BN40" s="19">
        <f t="shared" si="94"/>
        <v>1329</v>
      </c>
      <c r="BO40" s="19">
        <v>0</v>
      </c>
      <c r="BP40" s="19">
        <v>0</v>
      </c>
      <c r="BQ40" s="22">
        <f t="shared" si="95"/>
        <v>1329</v>
      </c>
      <c r="BR40" s="82">
        <f t="shared" si="96"/>
        <v>0</v>
      </c>
      <c r="BS40" s="19">
        <f t="shared" si="97"/>
        <v>0</v>
      </c>
      <c r="BT40" s="19">
        <f t="shared" si="98"/>
        <v>0</v>
      </c>
      <c r="BU40" s="19">
        <f t="shared" si="99"/>
        <v>0</v>
      </c>
      <c r="BV40" s="19">
        <f t="shared" si="100"/>
        <v>0</v>
      </c>
      <c r="BW40" s="19">
        <f t="shared" si="101"/>
        <v>0</v>
      </c>
      <c r="BX40" s="19">
        <f t="shared" si="102"/>
        <v>25</v>
      </c>
      <c r="BY40" s="19">
        <f t="shared" si="103"/>
        <v>50</v>
      </c>
      <c r="BZ40" s="19">
        <f t="shared" si="104"/>
        <v>0</v>
      </c>
      <c r="CA40" s="19">
        <f t="shared" si="105"/>
        <v>0</v>
      </c>
      <c r="CB40" s="19">
        <f t="shared" si="106"/>
        <v>0</v>
      </c>
      <c r="CC40" s="19">
        <f t="shared" si="107"/>
        <v>0</v>
      </c>
      <c r="CD40" s="19">
        <f t="shared" si="108"/>
        <v>0</v>
      </c>
      <c r="CE40" s="19">
        <f t="shared" si="109"/>
        <v>0</v>
      </c>
      <c r="CF40" s="19">
        <f t="shared" si="110"/>
        <v>0</v>
      </c>
      <c r="CG40" s="19">
        <f t="shared" si="111"/>
        <v>0</v>
      </c>
      <c r="CH40" s="19">
        <f t="shared" si="112"/>
        <v>0</v>
      </c>
      <c r="CI40" s="19">
        <f t="shared" si="113"/>
        <v>0</v>
      </c>
      <c r="CJ40" s="19">
        <f t="shared" si="114"/>
        <v>0</v>
      </c>
      <c r="CK40" s="19">
        <f t="shared" si="115"/>
        <v>0</v>
      </c>
      <c r="CL40" s="19">
        <f t="shared" si="116"/>
        <v>0</v>
      </c>
      <c r="CM40" s="19">
        <f t="shared" si="117"/>
        <v>0</v>
      </c>
      <c r="CN40" s="19">
        <f t="shared" si="118"/>
        <v>0</v>
      </c>
      <c r="CO40" s="19">
        <f t="shared" si="119"/>
        <v>0</v>
      </c>
      <c r="CP40" s="19">
        <f t="shared" si="120"/>
        <v>0</v>
      </c>
      <c r="CQ40" s="19">
        <f t="shared" si="121"/>
        <v>0</v>
      </c>
      <c r="CR40" s="19">
        <f t="shared" si="122"/>
        <v>0</v>
      </c>
      <c r="CS40" s="19">
        <f t="shared" si="123"/>
        <v>0</v>
      </c>
      <c r="CT40" s="19">
        <f t="shared" si="124"/>
        <v>0</v>
      </c>
      <c r="CU40" s="19">
        <f t="shared" si="125"/>
        <v>0</v>
      </c>
      <c r="CV40" s="19">
        <f t="shared" si="126"/>
        <v>0</v>
      </c>
      <c r="CW40" s="19">
        <f t="shared" si="127"/>
        <v>0</v>
      </c>
      <c r="CX40" s="19">
        <f t="shared" si="128"/>
        <v>0</v>
      </c>
      <c r="CY40" s="19">
        <f t="shared" si="129"/>
        <v>0</v>
      </c>
      <c r="CZ40" s="19">
        <f t="shared" si="130"/>
        <v>0</v>
      </c>
      <c r="DA40" s="19">
        <f t="shared" si="131"/>
        <v>0</v>
      </c>
      <c r="DB40" s="19">
        <f t="shared" si="132"/>
        <v>0</v>
      </c>
      <c r="DC40" s="19">
        <f t="shared" si="133"/>
        <v>0</v>
      </c>
      <c r="DD40" s="19">
        <f t="shared" si="134"/>
        <v>0</v>
      </c>
      <c r="DE40" s="19">
        <f t="shared" si="135"/>
        <v>0</v>
      </c>
      <c r="DF40" s="19">
        <f t="shared" si="136"/>
        <v>0</v>
      </c>
      <c r="DG40" s="19">
        <f t="shared" si="137"/>
        <v>0</v>
      </c>
      <c r="DH40" s="19">
        <f t="shared" si="138"/>
        <v>0</v>
      </c>
      <c r="DI40" s="19">
        <f t="shared" si="139"/>
        <v>0</v>
      </c>
      <c r="DJ40" s="19">
        <f t="shared" si="140"/>
        <v>0</v>
      </c>
      <c r="DK40" s="19">
        <f t="shared" si="141"/>
        <v>0</v>
      </c>
      <c r="DL40" s="19">
        <f t="shared" si="142"/>
        <v>0</v>
      </c>
      <c r="DM40" s="19">
        <f t="shared" si="143"/>
        <v>0</v>
      </c>
      <c r="DN40" s="19">
        <f t="shared" si="144"/>
        <v>0</v>
      </c>
      <c r="DO40" s="19">
        <f t="shared" si="145"/>
        <v>0</v>
      </c>
      <c r="DP40" s="19">
        <f t="shared" si="146"/>
        <v>0</v>
      </c>
      <c r="DQ40" s="19">
        <f t="shared" si="147"/>
        <v>0</v>
      </c>
      <c r="DR40" s="19">
        <f t="shared" si="148"/>
        <v>0</v>
      </c>
      <c r="DS40" s="19">
        <f t="shared" si="149"/>
        <v>0</v>
      </c>
      <c r="DT40" s="19">
        <f t="shared" si="150"/>
        <v>0</v>
      </c>
      <c r="DU40" s="19">
        <f t="shared" si="151"/>
        <v>0</v>
      </c>
      <c r="DV40" s="19">
        <f t="shared" si="152"/>
        <v>0</v>
      </c>
      <c r="DW40" s="19">
        <f t="shared" si="153"/>
        <v>0</v>
      </c>
      <c r="DX40" s="19">
        <f t="shared" si="154"/>
        <v>0</v>
      </c>
      <c r="DY40" s="19">
        <f t="shared" si="155"/>
        <v>0</v>
      </c>
      <c r="DZ40" s="19">
        <f t="shared" si="156"/>
        <v>0</v>
      </c>
      <c r="EA40" s="19">
        <f t="shared" si="157"/>
        <v>0</v>
      </c>
      <c r="EB40" s="19">
        <f t="shared" si="158"/>
        <v>0</v>
      </c>
      <c r="EC40" s="19">
        <f t="shared" si="159"/>
        <v>0</v>
      </c>
    </row>
    <row r="41" spans="1:133" s="78" customFormat="1" ht="18" customHeight="1" x14ac:dyDescent="0.25">
      <c r="A41" s="15">
        <v>38</v>
      </c>
      <c r="B41" s="108" t="s">
        <v>380</v>
      </c>
      <c r="C41" s="74" t="s">
        <v>336</v>
      </c>
      <c r="D41" s="16" t="s">
        <v>61</v>
      </c>
      <c r="E41" s="18">
        <v>45487</v>
      </c>
      <c r="F41" s="19">
        <v>10</v>
      </c>
      <c r="G41" s="19">
        <v>10</v>
      </c>
      <c r="H41" s="19">
        <v>10</v>
      </c>
      <c r="I41" s="19">
        <v>10</v>
      </c>
      <c r="J41" s="19" t="s">
        <v>603</v>
      </c>
      <c r="K41" s="19">
        <v>10</v>
      </c>
      <c r="L41" s="19" t="s">
        <v>15</v>
      </c>
      <c r="M41" s="19">
        <v>10</v>
      </c>
      <c r="N41" s="19">
        <v>10</v>
      </c>
      <c r="O41" s="19">
        <v>10</v>
      </c>
      <c r="P41" s="19">
        <v>10</v>
      </c>
      <c r="Q41" s="19">
        <v>10</v>
      </c>
      <c r="R41" s="19">
        <v>10</v>
      </c>
      <c r="S41" s="19" t="s">
        <v>15</v>
      </c>
      <c r="T41" s="19">
        <v>12.5</v>
      </c>
      <c r="U41" s="19">
        <v>14</v>
      </c>
      <c r="V41" s="19">
        <v>11</v>
      </c>
      <c r="W41" s="19">
        <v>11</v>
      </c>
      <c r="X41" s="19">
        <v>11</v>
      </c>
      <c r="Y41" s="19">
        <v>10</v>
      </c>
      <c r="Z41" s="19" t="s">
        <v>15</v>
      </c>
      <c r="AA41" s="19">
        <v>10</v>
      </c>
      <c r="AB41" s="19">
        <v>10</v>
      </c>
      <c r="AC41" s="19">
        <v>10</v>
      </c>
      <c r="AD41" s="19">
        <v>10</v>
      </c>
      <c r="AE41" s="19">
        <v>11</v>
      </c>
      <c r="AF41" s="19">
        <v>10</v>
      </c>
      <c r="AG41" s="19" t="s">
        <v>15</v>
      </c>
      <c r="AH41" s="19">
        <v>10</v>
      </c>
      <c r="AI41" s="19">
        <v>10</v>
      </c>
      <c r="AJ41" s="19">
        <v>0</v>
      </c>
      <c r="AK41" s="19">
        <v>11</v>
      </c>
      <c r="AL41" s="19">
        <v>0</v>
      </c>
      <c r="AM41" s="19">
        <v>11</v>
      </c>
      <c r="AN41" s="19">
        <v>0</v>
      </c>
      <c r="AO41" s="19">
        <v>10</v>
      </c>
      <c r="AP41" s="19"/>
      <c r="AQ41" s="19"/>
      <c r="AR41" s="19"/>
      <c r="AS41" s="19">
        <v>0</v>
      </c>
      <c r="AT41" s="19">
        <f t="shared" si="80"/>
        <v>60.5</v>
      </c>
      <c r="AU41" s="19">
        <f t="shared" si="81"/>
        <v>22</v>
      </c>
      <c r="AV41" s="19">
        <f t="shared" si="82"/>
        <v>10</v>
      </c>
      <c r="AW41" s="16">
        <f t="shared" si="83"/>
        <v>30</v>
      </c>
      <c r="AX41" s="16">
        <f t="shared" si="84"/>
        <v>0</v>
      </c>
      <c r="AY41" s="16">
        <f t="shared" si="85"/>
        <v>0</v>
      </c>
      <c r="AZ41" s="21">
        <v>950</v>
      </c>
      <c r="BA41" s="21">
        <v>100</v>
      </c>
      <c r="BB41" s="21">
        <v>0</v>
      </c>
      <c r="BC41" s="19">
        <f t="shared" si="86"/>
        <v>950</v>
      </c>
      <c r="BD41" s="19">
        <f t="shared" si="87"/>
        <v>100</v>
      </c>
      <c r="BE41" s="19">
        <f t="shared" si="88"/>
        <v>489</v>
      </c>
      <c r="BF41" s="19">
        <f t="shared" si="89"/>
        <v>0</v>
      </c>
      <c r="BG41" s="19">
        <f t="shared" si="90"/>
        <v>0</v>
      </c>
      <c r="BH41" s="19">
        <f t="shared" si="91"/>
        <v>0</v>
      </c>
      <c r="BI41" s="19">
        <v>95</v>
      </c>
      <c r="BJ41" s="19">
        <f t="shared" si="92"/>
        <v>1634</v>
      </c>
      <c r="BK41" s="19">
        <v>0</v>
      </c>
      <c r="BL41" s="19">
        <v>0</v>
      </c>
      <c r="BM41" s="19">
        <f t="shared" si="93"/>
        <v>0</v>
      </c>
      <c r="BN41" s="19">
        <f t="shared" si="94"/>
        <v>1634</v>
      </c>
      <c r="BO41" s="19">
        <v>0</v>
      </c>
      <c r="BP41" s="19">
        <v>0</v>
      </c>
      <c r="BQ41" s="22">
        <f t="shared" si="95"/>
        <v>1634</v>
      </c>
      <c r="BR41" s="82">
        <f t="shared" si="96"/>
        <v>0</v>
      </c>
      <c r="BS41" s="19">
        <f t="shared" si="97"/>
        <v>0</v>
      </c>
      <c r="BT41" s="19">
        <f t="shared" si="98"/>
        <v>0</v>
      </c>
      <c r="BU41" s="19">
        <f t="shared" si="99"/>
        <v>0</v>
      </c>
      <c r="BV41" s="19">
        <f t="shared" si="100"/>
        <v>0</v>
      </c>
      <c r="BW41" s="19">
        <f t="shared" si="101"/>
        <v>0</v>
      </c>
      <c r="BX41" s="19">
        <f t="shared" si="102"/>
        <v>19</v>
      </c>
      <c r="BY41" s="19">
        <f t="shared" si="103"/>
        <v>38</v>
      </c>
      <c r="BZ41" s="19">
        <f t="shared" si="104"/>
        <v>0</v>
      </c>
      <c r="CA41" s="19">
        <f t="shared" si="105"/>
        <v>0</v>
      </c>
      <c r="CB41" s="19">
        <f t="shared" si="106"/>
        <v>4</v>
      </c>
      <c r="CC41" s="19">
        <f t="shared" si="107"/>
        <v>12</v>
      </c>
      <c r="CD41" s="19">
        <f t="shared" si="108"/>
        <v>0</v>
      </c>
      <c r="CE41" s="19">
        <f t="shared" si="109"/>
        <v>0</v>
      </c>
      <c r="CF41" s="19">
        <f t="shared" si="110"/>
        <v>0</v>
      </c>
      <c r="CG41" s="19">
        <f t="shared" si="111"/>
        <v>0</v>
      </c>
      <c r="CH41" s="19">
        <f t="shared" si="112"/>
        <v>1</v>
      </c>
      <c r="CI41" s="19">
        <f t="shared" si="113"/>
        <v>4.5</v>
      </c>
      <c r="CJ41" s="19">
        <f t="shared" si="114"/>
        <v>0</v>
      </c>
      <c r="CK41" s="19">
        <f t="shared" si="115"/>
        <v>0</v>
      </c>
      <c r="CL41" s="19">
        <f t="shared" si="116"/>
        <v>0</v>
      </c>
      <c r="CM41" s="19">
        <f t="shared" si="117"/>
        <v>0</v>
      </c>
      <c r="CN41" s="19">
        <f t="shared" si="118"/>
        <v>1</v>
      </c>
      <c r="CO41" s="19">
        <f t="shared" si="119"/>
        <v>6</v>
      </c>
      <c r="CP41" s="19">
        <f t="shared" si="120"/>
        <v>0</v>
      </c>
      <c r="CQ41" s="19">
        <f t="shared" si="121"/>
        <v>0</v>
      </c>
      <c r="CR41" s="19">
        <f t="shared" si="122"/>
        <v>0</v>
      </c>
      <c r="CS41" s="19">
        <f t="shared" si="123"/>
        <v>0</v>
      </c>
      <c r="CT41" s="19">
        <f t="shared" si="124"/>
        <v>0</v>
      </c>
      <c r="CU41" s="19">
        <f t="shared" si="125"/>
        <v>0</v>
      </c>
      <c r="CV41" s="19">
        <f t="shared" si="126"/>
        <v>0</v>
      </c>
      <c r="CW41" s="19">
        <f t="shared" si="127"/>
        <v>0</v>
      </c>
      <c r="CX41" s="19">
        <f t="shared" si="128"/>
        <v>0</v>
      </c>
      <c r="CY41" s="19">
        <f t="shared" si="129"/>
        <v>0</v>
      </c>
      <c r="CZ41" s="19">
        <f t="shared" si="130"/>
        <v>0</v>
      </c>
      <c r="DA41" s="19">
        <f t="shared" si="131"/>
        <v>0</v>
      </c>
      <c r="DB41" s="19">
        <f t="shared" si="132"/>
        <v>0</v>
      </c>
      <c r="DC41" s="19">
        <f t="shared" si="133"/>
        <v>0</v>
      </c>
      <c r="DD41" s="19">
        <f t="shared" si="134"/>
        <v>0</v>
      </c>
      <c r="DE41" s="19">
        <f t="shared" si="135"/>
        <v>0</v>
      </c>
      <c r="DF41" s="19">
        <f t="shared" si="136"/>
        <v>0</v>
      </c>
      <c r="DG41" s="19">
        <f t="shared" si="137"/>
        <v>0</v>
      </c>
      <c r="DH41" s="19">
        <f t="shared" si="138"/>
        <v>0</v>
      </c>
      <c r="DI41" s="19">
        <f t="shared" si="139"/>
        <v>0</v>
      </c>
      <c r="DJ41" s="19">
        <f t="shared" si="140"/>
        <v>0</v>
      </c>
      <c r="DK41" s="19">
        <f t="shared" si="141"/>
        <v>0</v>
      </c>
      <c r="DL41" s="19">
        <f t="shared" si="142"/>
        <v>0</v>
      </c>
      <c r="DM41" s="19">
        <f t="shared" si="143"/>
        <v>0</v>
      </c>
      <c r="DN41" s="19">
        <f t="shared" si="144"/>
        <v>0</v>
      </c>
      <c r="DO41" s="19">
        <f t="shared" si="145"/>
        <v>0</v>
      </c>
      <c r="DP41" s="19">
        <f t="shared" si="146"/>
        <v>0</v>
      </c>
      <c r="DQ41" s="19">
        <f t="shared" si="147"/>
        <v>0</v>
      </c>
      <c r="DR41" s="19">
        <f t="shared" si="148"/>
        <v>0</v>
      </c>
      <c r="DS41" s="19">
        <f t="shared" si="149"/>
        <v>0</v>
      </c>
      <c r="DT41" s="19">
        <f t="shared" si="150"/>
        <v>0</v>
      </c>
      <c r="DU41" s="19">
        <f t="shared" si="151"/>
        <v>0</v>
      </c>
      <c r="DV41" s="19">
        <f t="shared" si="152"/>
        <v>0</v>
      </c>
      <c r="DW41" s="19">
        <f t="shared" si="153"/>
        <v>0</v>
      </c>
      <c r="DX41" s="19">
        <f t="shared" si="154"/>
        <v>0</v>
      </c>
      <c r="DY41" s="19">
        <f t="shared" si="155"/>
        <v>0</v>
      </c>
      <c r="DZ41" s="19">
        <f t="shared" si="156"/>
        <v>0</v>
      </c>
      <c r="EA41" s="19">
        <f t="shared" si="157"/>
        <v>0</v>
      </c>
      <c r="EB41" s="19">
        <f t="shared" si="158"/>
        <v>0</v>
      </c>
      <c r="EC41" s="19">
        <f t="shared" si="159"/>
        <v>0</v>
      </c>
    </row>
    <row r="42" spans="1:133" s="78" customFormat="1" ht="18" customHeight="1" x14ac:dyDescent="0.25">
      <c r="A42" s="15">
        <v>39</v>
      </c>
      <c r="B42" s="108" t="s">
        <v>381</v>
      </c>
      <c r="C42" s="74" t="s">
        <v>337</v>
      </c>
      <c r="D42" s="16" t="s">
        <v>61</v>
      </c>
      <c r="E42" s="18">
        <v>45496</v>
      </c>
      <c r="F42" s="19">
        <v>10</v>
      </c>
      <c r="G42" s="19">
        <v>10</v>
      </c>
      <c r="H42" s="19">
        <v>10</v>
      </c>
      <c r="I42" s="19">
        <v>10</v>
      </c>
      <c r="J42" s="19" t="s">
        <v>603</v>
      </c>
      <c r="K42" s="19">
        <v>10</v>
      </c>
      <c r="L42" s="19" t="s">
        <v>15</v>
      </c>
      <c r="M42" s="19" t="s">
        <v>316</v>
      </c>
      <c r="N42" s="19">
        <v>10</v>
      </c>
      <c r="O42" s="19">
        <v>10</v>
      </c>
      <c r="P42" s="19">
        <v>10</v>
      </c>
      <c r="Q42" s="19">
        <v>10</v>
      </c>
      <c r="R42" s="19">
        <v>10</v>
      </c>
      <c r="S42" s="19" t="s">
        <v>316</v>
      </c>
      <c r="T42" s="19">
        <v>10</v>
      </c>
      <c r="U42" s="19">
        <v>10</v>
      </c>
      <c r="V42" s="19">
        <v>10</v>
      </c>
      <c r="W42" s="19">
        <v>10</v>
      </c>
      <c r="X42" s="19">
        <v>10</v>
      </c>
      <c r="Y42" s="19">
        <v>10</v>
      </c>
      <c r="Z42" s="19" t="s">
        <v>15</v>
      </c>
      <c r="AA42" s="19">
        <v>10</v>
      </c>
      <c r="AB42" s="19">
        <v>10</v>
      </c>
      <c r="AC42" s="19">
        <v>10</v>
      </c>
      <c r="AD42" s="19">
        <v>10</v>
      </c>
      <c r="AE42" s="19">
        <v>10</v>
      </c>
      <c r="AF42" s="19">
        <v>10</v>
      </c>
      <c r="AG42" s="19" t="s">
        <v>15</v>
      </c>
      <c r="AH42" s="19">
        <v>10</v>
      </c>
      <c r="AI42" s="19">
        <v>10</v>
      </c>
      <c r="AJ42" s="19">
        <v>0</v>
      </c>
      <c r="AK42" s="19">
        <v>0</v>
      </c>
      <c r="AL42" s="19">
        <v>0</v>
      </c>
      <c r="AM42" s="19">
        <v>10</v>
      </c>
      <c r="AN42" s="19">
        <v>0</v>
      </c>
      <c r="AO42" s="19">
        <v>6</v>
      </c>
      <c r="AP42" s="19"/>
      <c r="AQ42" s="19"/>
      <c r="AR42" s="19"/>
      <c r="AS42" s="19">
        <v>0</v>
      </c>
      <c r="AT42" s="19">
        <f t="shared" si="80"/>
        <v>48</v>
      </c>
      <c r="AU42" s="19">
        <f t="shared" si="81"/>
        <v>10</v>
      </c>
      <c r="AV42" s="19">
        <f t="shared" si="82"/>
        <v>6</v>
      </c>
      <c r="AW42" s="16">
        <f t="shared" si="83"/>
        <v>28</v>
      </c>
      <c r="AX42" s="16">
        <f t="shared" si="84"/>
        <v>2</v>
      </c>
      <c r="AY42" s="16">
        <f t="shared" si="85"/>
        <v>0</v>
      </c>
      <c r="AZ42" s="21">
        <v>900</v>
      </c>
      <c r="BA42" s="21">
        <v>100</v>
      </c>
      <c r="BB42" s="21">
        <v>0</v>
      </c>
      <c r="BC42" s="19">
        <f t="shared" si="86"/>
        <v>840</v>
      </c>
      <c r="BD42" s="19">
        <f t="shared" si="87"/>
        <v>93</v>
      </c>
      <c r="BE42" s="19">
        <f t="shared" si="88"/>
        <v>315</v>
      </c>
      <c r="BF42" s="19">
        <f t="shared" si="89"/>
        <v>0</v>
      </c>
      <c r="BG42" s="19">
        <f t="shared" si="90"/>
        <v>0</v>
      </c>
      <c r="BH42" s="19">
        <f t="shared" si="91"/>
        <v>0</v>
      </c>
      <c r="BI42" s="19">
        <v>0</v>
      </c>
      <c r="BJ42" s="19">
        <f t="shared" si="92"/>
        <v>1248</v>
      </c>
      <c r="BK42" s="19">
        <v>0</v>
      </c>
      <c r="BL42" s="19">
        <v>0</v>
      </c>
      <c r="BM42" s="19">
        <f t="shared" si="93"/>
        <v>0</v>
      </c>
      <c r="BN42" s="19">
        <f t="shared" si="94"/>
        <v>1248</v>
      </c>
      <c r="BO42" s="19">
        <v>0</v>
      </c>
      <c r="BP42" s="19">
        <v>0</v>
      </c>
      <c r="BQ42" s="22">
        <f t="shared" si="95"/>
        <v>1248</v>
      </c>
      <c r="BR42" s="82">
        <f t="shared" si="96"/>
        <v>0</v>
      </c>
      <c r="BS42" s="19">
        <f t="shared" si="97"/>
        <v>0</v>
      </c>
      <c r="BT42" s="19">
        <f t="shared" si="98"/>
        <v>0</v>
      </c>
      <c r="BU42" s="19">
        <f t="shared" si="99"/>
        <v>0</v>
      </c>
      <c r="BV42" s="19">
        <f t="shared" si="100"/>
        <v>0</v>
      </c>
      <c r="BW42" s="19">
        <f t="shared" si="101"/>
        <v>0</v>
      </c>
      <c r="BX42" s="19">
        <f t="shared" si="102"/>
        <v>24</v>
      </c>
      <c r="BY42" s="19">
        <f t="shared" si="103"/>
        <v>48</v>
      </c>
      <c r="BZ42" s="19">
        <f t="shared" si="104"/>
        <v>0</v>
      </c>
      <c r="CA42" s="19">
        <f t="shared" si="105"/>
        <v>0</v>
      </c>
      <c r="CB42" s="19">
        <f t="shared" si="106"/>
        <v>0</v>
      </c>
      <c r="CC42" s="19">
        <f t="shared" si="107"/>
        <v>0</v>
      </c>
      <c r="CD42" s="19">
        <f t="shared" si="108"/>
        <v>0</v>
      </c>
      <c r="CE42" s="19">
        <f t="shared" si="109"/>
        <v>0</v>
      </c>
      <c r="CF42" s="19">
        <f t="shared" si="110"/>
        <v>0</v>
      </c>
      <c r="CG42" s="19">
        <f t="shared" si="111"/>
        <v>0</v>
      </c>
      <c r="CH42" s="19">
        <f t="shared" si="112"/>
        <v>0</v>
      </c>
      <c r="CI42" s="19">
        <f t="shared" si="113"/>
        <v>0</v>
      </c>
      <c r="CJ42" s="19">
        <f t="shared" si="114"/>
        <v>0</v>
      </c>
      <c r="CK42" s="19">
        <f t="shared" si="115"/>
        <v>0</v>
      </c>
      <c r="CL42" s="19">
        <f t="shared" si="116"/>
        <v>0</v>
      </c>
      <c r="CM42" s="19">
        <f t="shared" si="117"/>
        <v>0</v>
      </c>
      <c r="CN42" s="19">
        <f t="shared" si="118"/>
        <v>0</v>
      </c>
      <c r="CO42" s="19">
        <f t="shared" si="119"/>
        <v>0</v>
      </c>
      <c r="CP42" s="19">
        <f t="shared" si="120"/>
        <v>0</v>
      </c>
      <c r="CQ42" s="19">
        <f t="shared" si="121"/>
        <v>0</v>
      </c>
      <c r="CR42" s="19">
        <f t="shared" si="122"/>
        <v>0</v>
      </c>
      <c r="CS42" s="19">
        <f t="shared" si="123"/>
        <v>0</v>
      </c>
      <c r="CT42" s="19">
        <f t="shared" si="124"/>
        <v>0</v>
      </c>
      <c r="CU42" s="19">
        <f t="shared" si="125"/>
        <v>0</v>
      </c>
      <c r="CV42" s="19">
        <f t="shared" si="126"/>
        <v>0</v>
      </c>
      <c r="CW42" s="19">
        <f t="shared" si="127"/>
        <v>0</v>
      </c>
      <c r="CX42" s="19">
        <f t="shared" si="128"/>
        <v>0</v>
      </c>
      <c r="CY42" s="19">
        <f t="shared" si="129"/>
        <v>0</v>
      </c>
      <c r="CZ42" s="19">
        <f t="shared" si="130"/>
        <v>0</v>
      </c>
      <c r="DA42" s="19">
        <f t="shared" si="131"/>
        <v>0</v>
      </c>
      <c r="DB42" s="19">
        <f t="shared" si="132"/>
        <v>0</v>
      </c>
      <c r="DC42" s="19">
        <f t="shared" si="133"/>
        <v>0</v>
      </c>
      <c r="DD42" s="19">
        <f t="shared" si="134"/>
        <v>0</v>
      </c>
      <c r="DE42" s="19">
        <f t="shared" si="135"/>
        <v>0</v>
      </c>
      <c r="DF42" s="19">
        <f t="shared" si="136"/>
        <v>0</v>
      </c>
      <c r="DG42" s="19">
        <f t="shared" si="137"/>
        <v>0</v>
      </c>
      <c r="DH42" s="19">
        <f t="shared" si="138"/>
        <v>0</v>
      </c>
      <c r="DI42" s="19">
        <f t="shared" si="139"/>
        <v>0</v>
      </c>
      <c r="DJ42" s="19">
        <f t="shared" si="140"/>
        <v>0</v>
      </c>
      <c r="DK42" s="19">
        <f t="shared" si="141"/>
        <v>0</v>
      </c>
      <c r="DL42" s="19">
        <f t="shared" si="142"/>
        <v>0</v>
      </c>
      <c r="DM42" s="19">
        <f t="shared" si="143"/>
        <v>0</v>
      </c>
      <c r="DN42" s="19">
        <f t="shared" si="144"/>
        <v>0</v>
      </c>
      <c r="DO42" s="19">
        <f t="shared" si="145"/>
        <v>0</v>
      </c>
      <c r="DP42" s="19">
        <f t="shared" si="146"/>
        <v>0</v>
      </c>
      <c r="DQ42" s="19">
        <f t="shared" si="147"/>
        <v>0</v>
      </c>
      <c r="DR42" s="19">
        <f t="shared" si="148"/>
        <v>0</v>
      </c>
      <c r="DS42" s="19">
        <f t="shared" si="149"/>
        <v>0</v>
      </c>
      <c r="DT42" s="19">
        <f t="shared" si="150"/>
        <v>0</v>
      </c>
      <c r="DU42" s="19">
        <f t="shared" si="151"/>
        <v>0</v>
      </c>
      <c r="DV42" s="19">
        <f t="shared" si="152"/>
        <v>0</v>
      </c>
      <c r="DW42" s="19">
        <f t="shared" si="153"/>
        <v>0</v>
      </c>
      <c r="DX42" s="19">
        <f t="shared" si="154"/>
        <v>0</v>
      </c>
      <c r="DY42" s="19">
        <f t="shared" si="155"/>
        <v>0</v>
      </c>
      <c r="DZ42" s="19">
        <f t="shared" si="156"/>
        <v>0</v>
      </c>
      <c r="EA42" s="19">
        <f t="shared" si="157"/>
        <v>0</v>
      </c>
      <c r="EB42" s="19">
        <f t="shared" si="158"/>
        <v>0</v>
      </c>
      <c r="EC42" s="19">
        <f t="shared" si="159"/>
        <v>0</v>
      </c>
    </row>
    <row r="43" spans="1:133" s="78" customFormat="1" ht="18" customHeight="1" x14ac:dyDescent="0.25">
      <c r="A43" s="15">
        <v>40</v>
      </c>
      <c r="B43" s="108" t="s">
        <v>382</v>
      </c>
      <c r="C43" s="74" t="s">
        <v>338</v>
      </c>
      <c r="D43" s="16" t="s">
        <v>61</v>
      </c>
      <c r="E43" s="18">
        <v>45496</v>
      </c>
      <c r="F43" s="19">
        <v>11</v>
      </c>
      <c r="G43" s="19">
        <v>12</v>
      </c>
      <c r="H43" s="19">
        <v>11</v>
      </c>
      <c r="I43" s="19">
        <v>11</v>
      </c>
      <c r="J43" s="19" t="s">
        <v>603</v>
      </c>
      <c r="K43" s="19">
        <v>11</v>
      </c>
      <c r="L43" s="19" t="s">
        <v>15</v>
      </c>
      <c r="M43" s="19">
        <v>11</v>
      </c>
      <c r="N43" s="19">
        <v>11</v>
      </c>
      <c r="O43" s="19">
        <v>11</v>
      </c>
      <c r="P43" s="19">
        <v>11</v>
      </c>
      <c r="Q43" s="19">
        <v>11</v>
      </c>
      <c r="R43" s="19">
        <v>11</v>
      </c>
      <c r="S43" s="19" t="s">
        <v>15</v>
      </c>
      <c r="T43" s="19">
        <v>11</v>
      </c>
      <c r="U43" s="19">
        <v>11</v>
      </c>
      <c r="V43" s="19" t="s">
        <v>316</v>
      </c>
      <c r="W43" s="19">
        <v>11</v>
      </c>
      <c r="X43" s="19">
        <v>11</v>
      </c>
      <c r="Y43" s="19">
        <v>11</v>
      </c>
      <c r="Z43" s="19" t="s">
        <v>316</v>
      </c>
      <c r="AA43" s="19">
        <v>11</v>
      </c>
      <c r="AB43" s="19">
        <v>11</v>
      </c>
      <c r="AC43" s="19">
        <v>12</v>
      </c>
      <c r="AD43" s="19">
        <v>11</v>
      </c>
      <c r="AE43" s="19">
        <v>11</v>
      </c>
      <c r="AF43" s="19">
        <v>11</v>
      </c>
      <c r="AG43" s="19" t="s">
        <v>15</v>
      </c>
      <c r="AH43" s="19">
        <v>11</v>
      </c>
      <c r="AI43" s="19">
        <v>11</v>
      </c>
      <c r="AJ43" s="19">
        <v>12</v>
      </c>
      <c r="AK43" s="19">
        <v>12</v>
      </c>
      <c r="AL43" s="19">
        <v>12</v>
      </c>
      <c r="AM43" s="19">
        <v>0</v>
      </c>
      <c r="AN43" s="19">
        <v>0</v>
      </c>
      <c r="AO43" s="19">
        <v>0</v>
      </c>
      <c r="AP43" s="19"/>
      <c r="AQ43" s="19"/>
      <c r="AR43" s="19"/>
      <c r="AS43" s="19">
        <v>0</v>
      </c>
      <c r="AT43" s="19">
        <f t="shared" si="80"/>
        <v>74</v>
      </c>
      <c r="AU43" s="19">
        <f t="shared" si="81"/>
        <v>36</v>
      </c>
      <c r="AV43" s="19">
        <f t="shared" si="82"/>
        <v>0</v>
      </c>
      <c r="AW43" s="16">
        <f t="shared" si="83"/>
        <v>28</v>
      </c>
      <c r="AX43" s="16">
        <f t="shared" si="84"/>
        <v>2</v>
      </c>
      <c r="AY43" s="16">
        <f t="shared" si="85"/>
        <v>0</v>
      </c>
      <c r="AZ43" s="21">
        <v>1000</v>
      </c>
      <c r="BA43" s="21">
        <v>100</v>
      </c>
      <c r="BB43" s="21">
        <v>0</v>
      </c>
      <c r="BC43" s="19">
        <f t="shared" si="86"/>
        <v>933</v>
      </c>
      <c r="BD43" s="19">
        <f t="shared" si="87"/>
        <v>93</v>
      </c>
      <c r="BE43" s="19">
        <f t="shared" si="88"/>
        <v>610</v>
      </c>
      <c r="BF43" s="19">
        <f t="shared" si="89"/>
        <v>0</v>
      </c>
      <c r="BG43" s="19">
        <f t="shared" si="90"/>
        <v>0</v>
      </c>
      <c r="BH43" s="19">
        <f t="shared" si="91"/>
        <v>0</v>
      </c>
      <c r="BI43" s="19">
        <v>0</v>
      </c>
      <c r="BJ43" s="19">
        <f t="shared" si="92"/>
        <v>1636</v>
      </c>
      <c r="BK43" s="19">
        <v>0</v>
      </c>
      <c r="BL43" s="19">
        <v>0</v>
      </c>
      <c r="BM43" s="19">
        <f t="shared" si="93"/>
        <v>0</v>
      </c>
      <c r="BN43" s="19">
        <f t="shared" si="94"/>
        <v>1636</v>
      </c>
      <c r="BO43" s="19">
        <v>0</v>
      </c>
      <c r="BP43" s="19">
        <v>0</v>
      </c>
      <c r="BQ43" s="22">
        <f t="shared" si="95"/>
        <v>1636</v>
      </c>
      <c r="BR43" s="82">
        <f t="shared" si="96"/>
        <v>0</v>
      </c>
      <c r="BS43" s="19">
        <f t="shared" si="97"/>
        <v>0</v>
      </c>
      <c r="BT43" s="19">
        <f t="shared" si="98"/>
        <v>0</v>
      </c>
      <c r="BU43" s="19">
        <f t="shared" si="99"/>
        <v>0</v>
      </c>
      <c r="BV43" s="19">
        <f t="shared" si="100"/>
        <v>0</v>
      </c>
      <c r="BW43" s="19">
        <f t="shared" si="101"/>
        <v>0</v>
      </c>
      <c r="BX43" s="19">
        <f t="shared" si="102"/>
        <v>0</v>
      </c>
      <c r="BY43" s="19">
        <f t="shared" si="103"/>
        <v>0</v>
      </c>
      <c r="BZ43" s="19">
        <f t="shared" si="104"/>
        <v>0</v>
      </c>
      <c r="CA43" s="19">
        <f t="shared" si="105"/>
        <v>0</v>
      </c>
      <c r="CB43" s="19">
        <f t="shared" si="106"/>
        <v>22</v>
      </c>
      <c r="CC43" s="19">
        <f t="shared" si="107"/>
        <v>66</v>
      </c>
      <c r="CD43" s="19">
        <f t="shared" si="108"/>
        <v>0</v>
      </c>
      <c r="CE43" s="19">
        <f t="shared" si="109"/>
        <v>0</v>
      </c>
      <c r="CF43" s="19">
        <f t="shared" si="110"/>
        <v>2</v>
      </c>
      <c r="CG43" s="19">
        <f t="shared" si="111"/>
        <v>8</v>
      </c>
      <c r="CH43" s="19">
        <f t="shared" si="112"/>
        <v>0</v>
      </c>
      <c r="CI43" s="19">
        <f t="shared" si="113"/>
        <v>0</v>
      </c>
      <c r="CJ43" s="19">
        <f t="shared" si="114"/>
        <v>0</v>
      </c>
      <c r="CK43" s="19">
        <f t="shared" si="115"/>
        <v>0</v>
      </c>
      <c r="CL43" s="19">
        <f t="shared" si="116"/>
        <v>0</v>
      </c>
      <c r="CM43" s="19">
        <f t="shared" si="117"/>
        <v>0</v>
      </c>
      <c r="CN43" s="19">
        <f t="shared" si="118"/>
        <v>0</v>
      </c>
      <c r="CO43" s="19">
        <f t="shared" si="119"/>
        <v>0</v>
      </c>
      <c r="CP43" s="19">
        <f t="shared" si="120"/>
        <v>0</v>
      </c>
      <c r="CQ43" s="19">
        <f t="shared" si="121"/>
        <v>0</v>
      </c>
      <c r="CR43" s="19">
        <f t="shared" si="122"/>
        <v>0</v>
      </c>
      <c r="CS43" s="19">
        <f t="shared" si="123"/>
        <v>0</v>
      </c>
      <c r="CT43" s="19">
        <f t="shared" si="124"/>
        <v>0</v>
      </c>
      <c r="CU43" s="19">
        <f t="shared" si="125"/>
        <v>0</v>
      </c>
      <c r="CV43" s="19">
        <f t="shared" si="126"/>
        <v>0</v>
      </c>
      <c r="CW43" s="19">
        <f t="shared" si="127"/>
        <v>0</v>
      </c>
      <c r="CX43" s="19">
        <f t="shared" si="128"/>
        <v>0</v>
      </c>
      <c r="CY43" s="19">
        <f t="shared" si="129"/>
        <v>0</v>
      </c>
      <c r="CZ43" s="19">
        <f t="shared" si="130"/>
        <v>0</v>
      </c>
      <c r="DA43" s="19">
        <f t="shared" si="131"/>
        <v>0</v>
      </c>
      <c r="DB43" s="19">
        <f t="shared" si="132"/>
        <v>0</v>
      </c>
      <c r="DC43" s="19">
        <f t="shared" si="133"/>
        <v>0</v>
      </c>
      <c r="DD43" s="19">
        <f t="shared" si="134"/>
        <v>0</v>
      </c>
      <c r="DE43" s="19">
        <f t="shared" si="135"/>
        <v>0</v>
      </c>
      <c r="DF43" s="19">
        <f t="shared" si="136"/>
        <v>0</v>
      </c>
      <c r="DG43" s="19">
        <f t="shared" si="137"/>
        <v>0</v>
      </c>
      <c r="DH43" s="19">
        <f t="shared" si="138"/>
        <v>0</v>
      </c>
      <c r="DI43" s="19">
        <f t="shared" si="139"/>
        <v>0</v>
      </c>
      <c r="DJ43" s="19">
        <f t="shared" si="140"/>
        <v>0</v>
      </c>
      <c r="DK43" s="19">
        <f t="shared" si="141"/>
        <v>0</v>
      </c>
      <c r="DL43" s="19">
        <f t="shared" si="142"/>
        <v>0</v>
      </c>
      <c r="DM43" s="19">
        <f t="shared" si="143"/>
        <v>0</v>
      </c>
      <c r="DN43" s="19">
        <f t="shared" si="144"/>
        <v>0</v>
      </c>
      <c r="DO43" s="19">
        <f t="shared" si="145"/>
        <v>0</v>
      </c>
      <c r="DP43" s="19">
        <f t="shared" si="146"/>
        <v>0</v>
      </c>
      <c r="DQ43" s="19">
        <f t="shared" si="147"/>
        <v>0</v>
      </c>
      <c r="DR43" s="19">
        <f t="shared" si="148"/>
        <v>0</v>
      </c>
      <c r="DS43" s="19">
        <f t="shared" si="149"/>
        <v>0</v>
      </c>
      <c r="DT43" s="19">
        <f t="shared" si="150"/>
        <v>0</v>
      </c>
      <c r="DU43" s="19">
        <f t="shared" si="151"/>
        <v>0</v>
      </c>
      <c r="DV43" s="19">
        <f t="shared" si="152"/>
        <v>0</v>
      </c>
      <c r="DW43" s="19">
        <f t="shared" si="153"/>
        <v>0</v>
      </c>
      <c r="DX43" s="19">
        <f t="shared" si="154"/>
        <v>0</v>
      </c>
      <c r="DY43" s="19">
        <f t="shared" si="155"/>
        <v>0</v>
      </c>
      <c r="DZ43" s="19">
        <f t="shared" si="156"/>
        <v>0</v>
      </c>
      <c r="EA43" s="19">
        <f t="shared" si="157"/>
        <v>0</v>
      </c>
      <c r="EB43" s="19">
        <f t="shared" si="158"/>
        <v>0</v>
      </c>
      <c r="EC43" s="19">
        <f t="shared" si="159"/>
        <v>0</v>
      </c>
    </row>
    <row r="44" spans="1:133" s="78" customFormat="1" ht="18" customHeight="1" x14ac:dyDescent="0.25">
      <c r="A44" s="15">
        <v>41</v>
      </c>
      <c r="B44" s="108" t="s">
        <v>351</v>
      </c>
      <c r="C44" s="74" t="s">
        <v>358</v>
      </c>
      <c r="D44" s="16" t="s">
        <v>61</v>
      </c>
      <c r="E44" s="18">
        <v>45514</v>
      </c>
      <c r="F44" s="19">
        <v>11</v>
      </c>
      <c r="G44" s="19">
        <v>11</v>
      </c>
      <c r="H44" s="19">
        <v>11</v>
      </c>
      <c r="I44" s="19">
        <v>11</v>
      </c>
      <c r="J44" s="19" t="s">
        <v>603</v>
      </c>
      <c r="K44" s="19">
        <v>11</v>
      </c>
      <c r="L44" s="19" t="s">
        <v>15</v>
      </c>
      <c r="M44" s="19">
        <v>11</v>
      </c>
      <c r="N44" s="19">
        <v>11</v>
      </c>
      <c r="O44" s="19">
        <v>11</v>
      </c>
      <c r="P44" s="19">
        <v>11</v>
      </c>
      <c r="Q44" s="19">
        <v>11</v>
      </c>
      <c r="R44" s="19">
        <v>11</v>
      </c>
      <c r="S44" s="19" t="s">
        <v>15</v>
      </c>
      <c r="T44" s="19">
        <v>11</v>
      </c>
      <c r="U44" s="19">
        <v>11</v>
      </c>
      <c r="V44" s="19">
        <v>11</v>
      </c>
      <c r="W44" s="19">
        <v>11</v>
      </c>
      <c r="X44" s="19">
        <v>11</v>
      </c>
      <c r="Y44" s="19">
        <v>10</v>
      </c>
      <c r="Z44" s="19" t="s">
        <v>15</v>
      </c>
      <c r="AA44" s="19">
        <v>11</v>
      </c>
      <c r="AB44" s="19">
        <v>11</v>
      </c>
      <c r="AC44" s="19">
        <v>10</v>
      </c>
      <c r="AD44" s="19">
        <v>11</v>
      </c>
      <c r="AE44" s="19">
        <v>11</v>
      </c>
      <c r="AF44" s="19">
        <v>11</v>
      </c>
      <c r="AG44" s="19" t="s">
        <v>15</v>
      </c>
      <c r="AH44" s="19">
        <v>11</v>
      </c>
      <c r="AI44" s="19">
        <v>10</v>
      </c>
      <c r="AJ44" s="19">
        <v>0</v>
      </c>
      <c r="AK44" s="19">
        <v>0</v>
      </c>
      <c r="AL44" s="19">
        <v>0</v>
      </c>
      <c r="AM44" s="19">
        <v>11</v>
      </c>
      <c r="AN44" s="19">
        <v>0</v>
      </c>
      <c r="AO44" s="19">
        <v>0</v>
      </c>
      <c r="AP44" s="19"/>
      <c r="AQ44" s="19"/>
      <c r="AR44" s="19"/>
      <c r="AS44" s="19">
        <v>0</v>
      </c>
      <c r="AT44" s="19">
        <f t="shared" si="80"/>
        <v>72</v>
      </c>
      <c r="AU44" s="19">
        <f t="shared" si="81"/>
        <v>11</v>
      </c>
      <c r="AV44" s="19">
        <f t="shared" si="82"/>
        <v>0</v>
      </c>
      <c r="AW44" s="16">
        <f t="shared" si="83"/>
        <v>30</v>
      </c>
      <c r="AX44" s="16">
        <f t="shared" si="84"/>
        <v>0</v>
      </c>
      <c r="AY44" s="16">
        <f t="shared" si="85"/>
        <v>0</v>
      </c>
      <c r="AZ44" s="21">
        <v>1000</v>
      </c>
      <c r="BA44" s="21">
        <v>100</v>
      </c>
      <c r="BB44" s="21">
        <v>0</v>
      </c>
      <c r="BC44" s="19">
        <f t="shared" si="86"/>
        <v>1000</v>
      </c>
      <c r="BD44" s="19">
        <f t="shared" si="87"/>
        <v>100</v>
      </c>
      <c r="BE44" s="19">
        <f t="shared" si="88"/>
        <v>444</v>
      </c>
      <c r="BF44" s="19">
        <f t="shared" si="89"/>
        <v>0</v>
      </c>
      <c r="BG44" s="19">
        <f t="shared" si="90"/>
        <v>0</v>
      </c>
      <c r="BH44" s="19">
        <f t="shared" si="91"/>
        <v>0</v>
      </c>
      <c r="BI44" s="19">
        <v>95</v>
      </c>
      <c r="BJ44" s="19">
        <f t="shared" si="92"/>
        <v>1639</v>
      </c>
      <c r="BK44" s="19">
        <v>0</v>
      </c>
      <c r="BL44" s="19">
        <v>0</v>
      </c>
      <c r="BM44" s="19">
        <f t="shared" si="93"/>
        <v>0</v>
      </c>
      <c r="BN44" s="19">
        <f t="shared" si="94"/>
        <v>1639</v>
      </c>
      <c r="BO44" s="19">
        <v>0</v>
      </c>
      <c r="BP44" s="19">
        <v>0</v>
      </c>
      <c r="BQ44" s="22">
        <f t="shared" si="95"/>
        <v>1639</v>
      </c>
      <c r="BR44" s="82">
        <f t="shared" si="96"/>
        <v>0</v>
      </c>
      <c r="BS44" s="19">
        <f t="shared" si="97"/>
        <v>0</v>
      </c>
      <c r="BT44" s="19">
        <f t="shared" si="98"/>
        <v>0</v>
      </c>
      <c r="BU44" s="19">
        <f t="shared" si="99"/>
        <v>0</v>
      </c>
      <c r="BV44" s="19">
        <f t="shared" si="100"/>
        <v>0</v>
      </c>
      <c r="BW44" s="19">
        <f t="shared" si="101"/>
        <v>0</v>
      </c>
      <c r="BX44" s="19">
        <f t="shared" si="102"/>
        <v>3</v>
      </c>
      <c r="BY44" s="19">
        <f t="shared" si="103"/>
        <v>6</v>
      </c>
      <c r="BZ44" s="19">
        <f t="shared" si="104"/>
        <v>0</v>
      </c>
      <c r="CA44" s="19">
        <f t="shared" si="105"/>
        <v>0</v>
      </c>
      <c r="CB44" s="19">
        <f t="shared" si="106"/>
        <v>22</v>
      </c>
      <c r="CC44" s="19">
        <f t="shared" si="107"/>
        <v>66</v>
      </c>
      <c r="CD44" s="19">
        <f t="shared" si="108"/>
        <v>0</v>
      </c>
      <c r="CE44" s="19">
        <f t="shared" si="109"/>
        <v>0</v>
      </c>
      <c r="CF44" s="19">
        <f t="shared" si="110"/>
        <v>0</v>
      </c>
      <c r="CG44" s="19">
        <f t="shared" si="111"/>
        <v>0</v>
      </c>
      <c r="CH44" s="19">
        <f t="shared" si="112"/>
        <v>0</v>
      </c>
      <c r="CI44" s="19">
        <f t="shared" si="113"/>
        <v>0</v>
      </c>
      <c r="CJ44" s="19">
        <f t="shared" si="114"/>
        <v>0</v>
      </c>
      <c r="CK44" s="19">
        <f t="shared" si="115"/>
        <v>0</v>
      </c>
      <c r="CL44" s="19">
        <f t="shared" si="116"/>
        <v>0</v>
      </c>
      <c r="CM44" s="19">
        <f t="shared" si="117"/>
        <v>0</v>
      </c>
      <c r="CN44" s="19">
        <f t="shared" si="118"/>
        <v>0</v>
      </c>
      <c r="CO44" s="19">
        <f t="shared" si="119"/>
        <v>0</v>
      </c>
      <c r="CP44" s="19">
        <f t="shared" si="120"/>
        <v>0</v>
      </c>
      <c r="CQ44" s="19">
        <f t="shared" si="121"/>
        <v>0</v>
      </c>
      <c r="CR44" s="19">
        <f t="shared" si="122"/>
        <v>0</v>
      </c>
      <c r="CS44" s="19">
        <f t="shared" si="123"/>
        <v>0</v>
      </c>
      <c r="CT44" s="19">
        <f t="shared" si="124"/>
        <v>0</v>
      </c>
      <c r="CU44" s="19">
        <f t="shared" si="125"/>
        <v>0</v>
      </c>
      <c r="CV44" s="19">
        <f t="shared" si="126"/>
        <v>0</v>
      </c>
      <c r="CW44" s="19">
        <f t="shared" si="127"/>
        <v>0</v>
      </c>
      <c r="CX44" s="19">
        <f t="shared" si="128"/>
        <v>0</v>
      </c>
      <c r="CY44" s="19">
        <f t="shared" si="129"/>
        <v>0</v>
      </c>
      <c r="CZ44" s="19">
        <f t="shared" si="130"/>
        <v>0</v>
      </c>
      <c r="DA44" s="19">
        <f t="shared" si="131"/>
        <v>0</v>
      </c>
      <c r="DB44" s="19">
        <f t="shared" si="132"/>
        <v>0</v>
      </c>
      <c r="DC44" s="19">
        <f t="shared" si="133"/>
        <v>0</v>
      </c>
      <c r="DD44" s="19">
        <f t="shared" si="134"/>
        <v>0</v>
      </c>
      <c r="DE44" s="19">
        <f t="shared" si="135"/>
        <v>0</v>
      </c>
      <c r="DF44" s="19">
        <f t="shared" si="136"/>
        <v>0</v>
      </c>
      <c r="DG44" s="19">
        <f t="shared" si="137"/>
        <v>0</v>
      </c>
      <c r="DH44" s="19">
        <f t="shared" si="138"/>
        <v>0</v>
      </c>
      <c r="DI44" s="19">
        <f t="shared" si="139"/>
        <v>0</v>
      </c>
      <c r="DJ44" s="19">
        <f t="shared" si="140"/>
        <v>0</v>
      </c>
      <c r="DK44" s="19">
        <f t="shared" si="141"/>
        <v>0</v>
      </c>
      <c r="DL44" s="19">
        <f t="shared" si="142"/>
        <v>0</v>
      </c>
      <c r="DM44" s="19">
        <f t="shared" si="143"/>
        <v>0</v>
      </c>
      <c r="DN44" s="19">
        <f t="shared" si="144"/>
        <v>0</v>
      </c>
      <c r="DO44" s="19">
        <f t="shared" si="145"/>
        <v>0</v>
      </c>
      <c r="DP44" s="19">
        <f t="shared" si="146"/>
        <v>0</v>
      </c>
      <c r="DQ44" s="19">
        <f t="shared" si="147"/>
        <v>0</v>
      </c>
      <c r="DR44" s="19">
        <f t="shared" si="148"/>
        <v>0</v>
      </c>
      <c r="DS44" s="19">
        <f t="shared" si="149"/>
        <v>0</v>
      </c>
      <c r="DT44" s="19">
        <f t="shared" si="150"/>
        <v>0</v>
      </c>
      <c r="DU44" s="19">
        <f t="shared" si="151"/>
        <v>0</v>
      </c>
      <c r="DV44" s="19">
        <f t="shared" si="152"/>
        <v>0</v>
      </c>
      <c r="DW44" s="19">
        <f t="shared" si="153"/>
        <v>0</v>
      </c>
      <c r="DX44" s="19">
        <f t="shared" si="154"/>
        <v>0</v>
      </c>
      <c r="DY44" s="19">
        <f t="shared" si="155"/>
        <v>0</v>
      </c>
      <c r="DZ44" s="19">
        <f t="shared" si="156"/>
        <v>0</v>
      </c>
      <c r="EA44" s="19">
        <f t="shared" si="157"/>
        <v>0</v>
      </c>
      <c r="EB44" s="19">
        <f t="shared" si="158"/>
        <v>0</v>
      </c>
      <c r="EC44" s="19">
        <f t="shared" si="159"/>
        <v>0</v>
      </c>
    </row>
    <row r="45" spans="1:133" s="78" customFormat="1" ht="18" customHeight="1" x14ac:dyDescent="0.25">
      <c r="A45" s="15">
        <v>42</v>
      </c>
      <c r="B45" s="108" t="s">
        <v>352</v>
      </c>
      <c r="C45" s="74" t="s">
        <v>359</v>
      </c>
      <c r="D45" s="16" t="s">
        <v>61</v>
      </c>
      <c r="E45" s="18">
        <v>45515</v>
      </c>
      <c r="F45" s="19">
        <v>11</v>
      </c>
      <c r="G45" s="19">
        <v>11</v>
      </c>
      <c r="H45" s="19">
        <v>11</v>
      </c>
      <c r="I45" s="19">
        <v>11</v>
      </c>
      <c r="J45" s="19" t="s">
        <v>603</v>
      </c>
      <c r="K45" s="19">
        <v>11</v>
      </c>
      <c r="L45" s="19" t="s">
        <v>15</v>
      </c>
      <c r="M45" s="19">
        <v>11</v>
      </c>
      <c r="N45" s="19">
        <v>11</v>
      </c>
      <c r="O45" s="19">
        <v>11</v>
      </c>
      <c r="P45" s="19">
        <v>11</v>
      </c>
      <c r="Q45" s="19">
        <v>11</v>
      </c>
      <c r="R45" s="19">
        <v>11</v>
      </c>
      <c r="S45" s="19" t="s">
        <v>15</v>
      </c>
      <c r="T45" s="19" t="s">
        <v>316</v>
      </c>
      <c r="U45" s="19">
        <v>11</v>
      </c>
      <c r="V45" s="19">
        <v>11</v>
      </c>
      <c r="W45" s="19">
        <v>11</v>
      </c>
      <c r="X45" s="19">
        <v>11</v>
      </c>
      <c r="Y45" s="19">
        <v>11</v>
      </c>
      <c r="Z45" s="19" t="s">
        <v>316</v>
      </c>
      <c r="AA45" s="19">
        <v>11</v>
      </c>
      <c r="AB45" s="19">
        <v>11</v>
      </c>
      <c r="AC45" s="19">
        <v>11</v>
      </c>
      <c r="AD45" s="19">
        <v>11</v>
      </c>
      <c r="AE45" s="19">
        <v>11</v>
      </c>
      <c r="AF45" s="19">
        <v>11</v>
      </c>
      <c r="AG45" s="19" t="s">
        <v>15</v>
      </c>
      <c r="AH45" s="19">
        <v>11</v>
      </c>
      <c r="AI45" s="19">
        <v>11</v>
      </c>
      <c r="AJ45" s="19">
        <v>11</v>
      </c>
      <c r="AK45" s="19">
        <v>11</v>
      </c>
      <c r="AL45" s="19">
        <v>11</v>
      </c>
      <c r="AM45" s="19">
        <v>0</v>
      </c>
      <c r="AN45" s="19">
        <v>0</v>
      </c>
      <c r="AO45" s="19">
        <v>11</v>
      </c>
      <c r="AP45" s="19"/>
      <c r="AQ45" s="19"/>
      <c r="AR45" s="19"/>
      <c r="AS45" s="19">
        <v>0</v>
      </c>
      <c r="AT45" s="19">
        <f t="shared" si="80"/>
        <v>72</v>
      </c>
      <c r="AU45" s="19">
        <f t="shared" si="81"/>
        <v>33</v>
      </c>
      <c r="AV45" s="19">
        <f t="shared" si="82"/>
        <v>11</v>
      </c>
      <c r="AW45" s="16">
        <f t="shared" si="83"/>
        <v>28</v>
      </c>
      <c r="AX45" s="16">
        <f t="shared" si="84"/>
        <v>2</v>
      </c>
      <c r="AY45" s="16">
        <f t="shared" si="85"/>
        <v>0</v>
      </c>
      <c r="AZ45" s="21">
        <v>950</v>
      </c>
      <c r="BA45" s="21">
        <v>100</v>
      </c>
      <c r="BB45" s="21">
        <v>0</v>
      </c>
      <c r="BC45" s="19">
        <f t="shared" si="86"/>
        <v>887</v>
      </c>
      <c r="BD45" s="19">
        <f t="shared" si="87"/>
        <v>93</v>
      </c>
      <c r="BE45" s="19">
        <f t="shared" si="88"/>
        <v>618</v>
      </c>
      <c r="BF45" s="19">
        <f t="shared" si="89"/>
        <v>0</v>
      </c>
      <c r="BG45" s="19">
        <f t="shared" si="90"/>
        <v>0</v>
      </c>
      <c r="BH45" s="19">
        <f t="shared" si="91"/>
        <v>0</v>
      </c>
      <c r="BI45" s="19">
        <v>0</v>
      </c>
      <c r="BJ45" s="19">
        <f t="shared" si="92"/>
        <v>1598</v>
      </c>
      <c r="BK45" s="19">
        <v>0</v>
      </c>
      <c r="BL45" s="19">
        <v>0</v>
      </c>
      <c r="BM45" s="19">
        <f t="shared" si="93"/>
        <v>0</v>
      </c>
      <c r="BN45" s="19">
        <f t="shared" si="94"/>
        <v>1598</v>
      </c>
      <c r="BO45" s="19">
        <v>0</v>
      </c>
      <c r="BP45" s="19">
        <v>0</v>
      </c>
      <c r="BQ45" s="22">
        <f t="shared" si="95"/>
        <v>1598</v>
      </c>
      <c r="BR45" s="82">
        <f t="shared" si="96"/>
        <v>0</v>
      </c>
      <c r="BS45" s="19">
        <f t="shared" si="97"/>
        <v>0</v>
      </c>
      <c r="BT45" s="19">
        <f t="shared" si="98"/>
        <v>0</v>
      </c>
      <c r="BU45" s="19">
        <f t="shared" si="99"/>
        <v>0</v>
      </c>
      <c r="BV45" s="19">
        <f t="shared" si="100"/>
        <v>0</v>
      </c>
      <c r="BW45" s="19">
        <f t="shared" si="101"/>
        <v>0</v>
      </c>
      <c r="BX45" s="19">
        <f t="shared" si="102"/>
        <v>0</v>
      </c>
      <c r="BY45" s="19">
        <f t="shared" si="103"/>
        <v>0</v>
      </c>
      <c r="BZ45" s="19">
        <f t="shared" si="104"/>
        <v>0</v>
      </c>
      <c r="CA45" s="19">
        <f t="shared" si="105"/>
        <v>0</v>
      </c>
      <c r="CB45" s="19">
        <f t="shared" si="106"/>
        <v>24</v>
      </c>
      <c r="CC45" s="19">
        <f t="shared" si="107"/>
        <v>72</v>
      </c>
      <c r="CD45" s="19">
        <f t="shared" si="108"/>
        <v>0</v>
      </c>
      <c r="CE45" s="19">
        <f t="shared" si="109"/>
        <v>0</v>
      </c>
      <c r="CF45" s="19">
        <f t="shared" si="110"/>
        <v>0</v>
      </c>
      <c r="CG45" s="19">
        <f t="shared" si="111"/>
        <v>0</v>
      </c>
      <c r="CH45" s="19">
        <f t="shared" si="112"/>
        <v>0</v>
      </c>
      <c r="CI45" s="19">
        <f t="shared" si="113"/>
        <v>0</v>
      </c>
      <c r="CJ45" s="19">
        <f t="shared" si="114"/>
        <v>0</v>
      </c>
      <c r="CK45" s="19">
        <f t="shared" si="115"/>
        <v>0</v>
      </c>
      <c r="CL45" s="19">
        <f t="shared" si="116"/>
        <v>0</v>
      </c>
      <c r="CM45" s="19">
        <f t="shared" si="117"/>
        <v>0</v>
      </c>
      <c r="CN45" s="19">
        <f t="shared" si="118"/>
        <v>0</v>
      </c>
      <c r="CO45" s="19">
        <f t="shared" si="119"/>
        <v>0</v>
      </c>
      <c r="CP45" s="19">
        <f t="shared" si="120"/>
        <v>0</v>
      </c>
      <c r="CQ45" s="19">
        <f t="shared" si="121"/>
        <v>0</v>
      </c>
      <c r="CR45" s="19">
        <f t="shared" si="122"/>
        <v>0</v>
      </c>
      <c r="CS45" s="19">
        <f t="shared" si="123"/>
        <v>0</v>
      </c>
      <c r="CT45" s="19">
        <f t="shared" si="124"/>
        <v>0</v>
      </c>
      <c r="CU45" s="19">
        <f t="shared" si="125"/>
        <v>0</v>
      </c>
      <c r="CV45" s="19">
        <f t="shared" si="126"/>
        <v>0</v>
      </c>
      <c r="CW45" s="19">
        <f t="shared" si="127"/>
        <v>0</v>
      </c>
      <c r="CX45" s="19">
        <f t="shared" si="128"/>
        <v>0</v>
      </c>
      <c r="CY45" s="19">
        <f t="shared" si="129"/>
        <v>0</v>
      </c>
      <c r="CZ45" s="19">
        <f t="shared" si="130"/>
        <v>0</v>
      </c>
      <c r="DA45" s="19">
        <f t="shared" si="131"/>
        <v>0</v>
      </c>
      <c r="DB45" s="19">
        <f t="shared" si="132"/>
        <v>0</v>
      </c>
      <c r="DC45" s="19">
        <f t="shared" si="133"/>
        <v>0</v>
      </c>
      <c r="DD45" s="19">
        <f t="shared" si="134"/>
        <v>0</v>
      </c>
      <c r="DE45" s="19">
        <f t="shared" si="135"/>
        <v>0</v>
      </c>
      <c r="DF45" s="19">
        <f t="shared" si="136"/>
        <v>0</v>
      </c>
      <c r="DG45" s="19">
        <f t="shared" si="137"/>
        <v>0</v>
      </c>
      <c r="DH45" s="19">
        <f t="shared" si="138"/>
        <v>0</v>
      </c>
      <c r="DI45" s="19">
        <f t="shared" si="139"/>
        <v>0</v>
      </c>
      <c r="DJ45" s="19">
        <f t="shared" si="140"/>
        <v>0</v>
      </c>
      <c r="DK45" s="19">
        <f t="shared" si="141"/>
        <v>0</v>
      </c>
      <c r="DL45" s="19">
        <f t="shared" si="142"/>
        <v>0</v>
      </c>
      <c r="DM45" s="19">
        <f t="shared" si="143"/>
        <v>0</v>
      </c>
      <c r="DN45" s="19">
        <f t="shared" si="144"/>
        <v>0</v>
      </c>
      <c r="DO45" s="19">
        <f t="shared" si="145"/>
        <v>0</v>
      </c>
      <c r="DP45" s="19">
        <f t="shared" si="146"/>
        <v>0</v>
      </c>
      <c r="DQ45" s="19">
        <f t="shared" si="147"/>
        <v>0</v>
      </c>
      <c r="DR45" s="19">
        <f t="shared" si="148"/>
        <v>0</v>
      </c>
      <c r="DS45" s="19">
        <f t="shared" si="149"/>
        <v>0</v>
      </c>
      <c r="DT45" s="19">
        <f t="shared" si="150"/>
        <v>0</v>
      </c>
      <c r="DU45" s="19">
        <f t="shared" si="151"/>
        <v>0</v>
      </c>
      <c r="DV45" s="19">
        <f t="shared" si="152"/>
        <v>0</v>
      </c>
      <c r="DW45" s="19">
        <f t="shared" si="153"/>
        <v>0</v>
      </c>
      <c r="DX45" s="19">
        <f t="shared" si="154"/>
        <v>0</v>
      </c>
      <c r="DY45" s="19">
        <f t="shared" si="155"/>
        <v>0</v>
      </c>
      <c r="DZ45" s="19">
        <f t="shared" si="156"/>
        <v>0</v>
      </c>
      <c r="EA45" s="19">
        <f t="shared" si="157"/>
        <v>0</v>
      </c>
      <c r="EB45" s="19">
        <f t="shared" si="158"/>
        <v>0</v>
      </c>
      <c r="EC45" s="19">
        <f t="shared" si="159"/>
        <v>0</v>
      </c>
    </row>
    <row r="46" spans="1:133" s="78" customFormat="1" ht="18" customHeight="1" x14ac:dyDescent="0.25">
      <c r="A46" s="15">
        <v>43</v>
      </c>
      <c r="B46" s="108" t="s">
        <v>353</v>
      </c>
      <c r="C46" s="74" t="s">
        <v>360</v>
      </c>
      <c r="D46" s="16" t="s">
        <v>61</v>
      </c>
      <c r="E46" s="18">
        <v>45515</v>
      </c>
      <c r="F46" s="19">
        <v>13</v>
      </c>
      <c r="G46" s="19">
        <v>12</v>
      </c>
      <c r="H46" s="19">
        <v>12</v>
      </c>
      <c r="I46" s="19">
        <v>12</v>
      </c>
      <c r="J46" s="19" t="s">
        <v>603</v>
      </c>
      <c r="K46" s="19">
        <v>12</v>
      </c>
      <c r="L46" s="19" t="s">
        <v>15</v>
      </c>
      <c r="M46" s="19">
        <v>10</v>
      </c>
      <c r="N46" s="19">
        <v>12</v>
      </c>
      <c r="O46" s="19">
        <v>10</v>
      </c>
      <c r="P46" s="19">
        <v>10</v>
      </c>
      <c r="Q46" s="19">
        <v>10</v>
      </c>
      <c r="R46" s="19">
        <v>10</v>
      </c>
      <c r="S46" s="19" t="s">
        <v>15</v>
      </c>
      <c r="T46" s="19">
        <v>10</v>
      </c>
      <c r="U46" s="19">
        <v>10</v>
      </c>
      <c r="V46" s="19">
        <v>8</v>
      </c>
      <c r="W46" s="19">
        <v>10</v>
      </c>
      <c r="X46" s="19">
        <v>10</v>
      </c>
      <c r="Y46" s="19">
        <v>10</v>
      </c>
      <c r="Z46" s="19" t="s">
        <v>15</v>
      </c>
      <c r="AA46" s="19">
        <v>10</v>
      </c>
      <c r="AB46" s="19">
        <v>12</v>
      </c>
      <c r="AC46" s="19">
        <v>11</v>
      </c>
      <c r="AD46" s="19">
        <v>10</v>
      </c>
      <c r="AE46" s="19">
        <v>12</v>
      </c>
      <c r="AF46" s="19">
        <v>11</v>
      </c>
      <c r="AG46" s="19" t="s">
        <v>15</v>
      </c>
      <c r="AH46" s="19">
        <v>11</v>
      </c>
      <c r="AI46" s="19">
        <v>11</v>
      </c>
      <c r="AJ46" s="19">
        <v>0</v>
      </c>
      <c r="AK46" s="19">
        <v>0</v>
      </c>
      <c r="AL46" s="19">
        <v>10</v>
      </c>
      <c r="AM46" s="19">
        <v>11</v>
      </c>
      <c r="AN46" s="19">
        <v>0</v>
      </c>
      <c r="AO46" s="19">
        <v>12</v>
      </c>
      <c r="AP46" s="19"/>
      <c r="AQ46" s="19"/>
      <c r="AR46" s="19"/>
      <c r="AS46" s="19">
        <v>0</v>
      </c>
      <c r="AT46" s="19">
        <f t="shared" si="80"/>
        <v>69</v>
      </c>
      <c r="AU46" s="19">
        <f t="shared" si="81"/>
        <v>21</v>
      </c>
      <c r="AV46" s="19">
        <f t="shared" si="82"/>
        <v>12</v>
      </c>
      <c r="AW46" s="16">
        <f t="shared" si="83"/>
        <v>30</v>
      </c>
      <c r="AX46" s="16">
        <f t="shared" si="84"/>
        <v>0</v>
      </c>
      <c r="AY46" s="16">
        <f t="shared" si="85"/>
        <v>0</v>
      </c>
      <c r="AZ46" s="21">
        <v>1050</v>
      </c>
      <c r="BA46" s="21">
        <v>100</v>
      </c>
      <c r="BB46" s="21">
        <v>0</v>
      </c>
      <c r="BC46" s="19">
        <f t="shared" si="86"/>
        <v>1050</v>
      </c>
      <c r="BD46" s="19">
        <f t="shared" si="87"/>
        <v>100</v>
      </c>
      <c r="BE46" s="19">
        <f t="shared" si="88"/>
        <v>594</v>
      </c>
      <c r="BF46" s="19">
        <f t="shared" si="89"/>
        <v>0</v>
      </c>
      <c r="BG46" s="19">
        <f t="shared" si="90"/>
        <v>0</v>
      </c>
      <c r="BH46" s="19">
        <f t="shared" si="91"/>
        <v>0</v>
      </c>
      <c r="BI46" s="19">
        <v>95</v>
      </c>
      <c r="BJ46" s="19">
        <f t="shared" si="92"/>
        <v>1839</v>
      </c>
      <c r="BK46" s="19">
        <v>0</v>
      </c>
      <c r="BL46" s="19">
        <v>0</v>
      </c>
      <c r="BM46" s="19">
        <f t="shared" si="93"/>
        <v>0</v>
      </c>
      <c r="BN46" s="19">
        <f t="shared" si="94"/>
        <v>1839</v>
      </c>
      <c r="BO46" s="19">
        <v>0</v>
      </c>
      <c r="BP46" s="19">
        <v>0</v>
      </c>
      <c r="BQ46" s="22">
        <f t="shared" si="95"/>
        <v>1839</v>
      </c>
      <c r="BR46" s="82">
        <f t="shared" si="96"/>
        <v>0</v>
      </c>
      <c r="BS46" s="19">
        <f t="shared" si="97"/>
        <v>0</v>
      </c>
      <c r="BT46" s="19">
        <f t="shared" si="98"/>
        <v>0</v>
      </c>
      <c r="BU46" s="19">
        <f t="shared" si="99"/>
        <v>0</v>
      </c>
      <c r="BV46" s="19">
        <f t="shared" si="100"/>
        <v>0</v>
      </c>
      <c r="BW46" s="19">
        <f t="shared" si="101"/>
        <v>0</v>
      </c>
      <c r="BX46" s="19">
        <f t="shared" si="102"/>
        <v>12</v>
      </c>
      <c r="BY46" s="19">
        <f t="shared" si="103"/>
        <v>24</v>
      </c>
      <c r="BZ46" s="19">
        <f t="shared" si="104"/>
        <v>0</v>
      </c>
      <c r="CA46" s="19">
        <f t="shared" si="105"/>
        <v>0</v>
      </c>
      <c r="CB46" s="19">
        <f t="shared" si="106"/>
        <v>4</v>
      </c>
      <c r="CC46" s="19">
        <f t="shared" si="107"/>
        <v>12</v>
      </c>
      <c r="CD46" s="19">
        <f t="shared" si="108"/>
        <v>0</v>
      </c>
      <c r="CE46" s="19">
        <f t="shared" si="109"/>
        <v>0</v>
      </c>
      <c r="CF46" s="19">
        <f t="shared" si="110"/>
        <v>7</v>
      </c>
      <c r="CG46" s="19">
        <f t="shared" si="111"/>
        <v>28</v>
      </c>
      <c r="CH46" s="19">
        <f t="shared" si="112"/>
        <v>0</v>
      </c>
      <c r="CI46" s="19">
        <f t="shared" si="113"/>
        <v>0</v>
      </c>
      <c r="CJ46" s="19">
        <f t="shared" si="114"/>
        <v>1</v>
      </c>
      <c r="CK46" s="19">
        <f t="shared" si="115"/>
        <v>5</v>
      </c>
      <c r="CL46" s="19">
        <f t="shared" si="116"/>
        <v>0</v>
      </c>
      <c r="CM46" s="19">
        <f t="shared" si="117"/>
        <v>0</v>
      </c>
      <c r="CN46" s="19">
        <f t="shared" si="118"/>
        <v>0</v>
      </c>
      <c r="CO46" s="19">
        <f t="shared" si="119"/>
        <v>0</v>
      </c>
      <c r="CP46" s="19">
        <f t="shared" si="120"/>
        <v>0</v>
      </c>
      <c r="CQ46" s="19">
        <f t="shared" si="121"/>
        <v>0</v>
      </c>
      <c r="CR46" s="19">
        <f t="shared" si="122"/>
        <v>0</v>
      </c>
      <c r="CS46" s="19">
        <f t="shared" si="123"/>
        <v>0</v>
      </c>
      <c r="CT46" s="19">
        <f t="shared" si="124"/>
        <v>0</v>
      </c>
      <c r="CU46" s="19">
        <f t="shared" si="125"/>
        <v>0</v>
      </c>
      <c r="CV46" s="19">
        <f t="shared" si="126"/>
        <v>0</v>
      </c>
      <c r="CW46" s="19">
        <f t="shared" si="127"/>
        <v>0</v>
      </c>
      <c r="CX46" s="19">
        <f t="shared" si="128"/>
        <v>0</v>
      </c>
      <c r="CY46" s="19">
        <f t="shared" si="129"/>
        <v>0</v>
      </c>
      <c r="CZ46" s="19">
        <f t="shared" si="130"/>
        <v>0</v>
      </c>
      <c r="DA46" s="19">
        <f t="shared" si="131"/>
        <v>0</v>
      </c>
      <c r="DB46" s="19">
        <f t="shared" si="132"/>
        <v>0</v>
      </c>
      <c r="DC46" s="19">
        <f t="shared" si="133"/>
        <v>0</v>
      </c>
      <c r="DD46" s="19">
        <f t="shared" si="134"/>
        <v>0</v>
      </c>
      <c r="DE46" s="19">
        <f t="shared" si="135"/>
        <v>0</v>
      </c>
      <c r="DF46" s="19">
        <f t="shared" si="136"/>
        <v>0</v>
      </c>
      <c r="DG46" s="19">
        <f t="shared" si="137"/>
        <v>0</v>
      </c>
      <c r="DH46" s="19">
        <f t="shared" si="138"/>
        <v>0</v>
      </c>
      <c r="DI46" s="19">
        <f t="shared" si="139"/>
        <v>0</v>
      </c>
      <c r="DJ46" s="19">
        <f t="shared" si="140"/>
        <v>0</v>
      </c>
      <c r="DK46" s="19">
        <f t="shared" si="141"/>
        <v>0</v>
      </c>
      <c r="DL46" s="19">
        <f t="shared" si="142"/>
        <v>0</v>
      </c>
      <c r="DM46" s="19">
        <f t="shared" si="143"/>
        <v>0</v>
      </c>
      <c r="DN46" s="19">
        <f t="shared" si="144"/>
        <v>0</v>
      </c>
      <c r="DO46" s="19">
        <f t="shared" si="145"/>
        <v>0</v>
      </c>
      <c r="DP46" s="19">
        <f t="shared" si="146"/>
        <v>0</v>
      </c>
      <c r="DQ46" s="19">
        <f t="shared" si="147"/>
        <v>0</v>
      </c>
      <c r="DR46" s="19">
        <f t="shared" si="148"/>
        <v>0</v>
      </c>
      <c r="DS46" s="19">
        <f t="shared" si="149"/>
        <v>0</v>
      </c>
      <c r="DT46" s="19">
        <f t="shared" si="150"/>
        <v>0</v>
      </c>
      <c r="DU46" s="19">
        <f t="shared" si="151"/>
        <v>0</v>
      </c>
      <c r="DV46" s="19">
        <f t="shared" si="152"/>
        <v>0</v>
      </c>
      <c r="DW46" s="19">
        <f t="shared" si="153"/>
        <v>0</v>
      </c>
      <c r="DX46" s="19">
        <f t="shared" si="154"/>
        <v>0</v>
      </c>
      <c r="DY46" s="19">
        <f t="shared" si="155"/>
        <v>0</v>
      </c>
      <c r="DZ46" s="19">
        <f t="shared" si="156"/>
        <v>0</v>
      </c>
      <c r="EA46" s="19">
        <f t="shared" si="157"/>
        <v>0</v>
      </c>
      <c r="EB46" s="19">
        <f t="shared" si="158"/>
        <v>0</v>
      </c>
      <c r="EC46" s="19">
        <f t="shared" si="159"/>
        <v>0</v>
      </c>
    </row>
    <row r="47" spans="1:133" s="78" customFormat="1" ht="18" customHeight="1" x14ac:dyDescent="0.25">
      <c r="A47" s="15">
        <v>44</v>
      </c>
      <c r="B47" s="108" t="s">
        <v>354</v>
      </c>
      <c r="C47" s="74" t="s">
        <v>361</v>
      </c>
      <c r="D47" s="16" t="s">
        <v>61</v>
      </c>
      <c r="E47" s="18">
        <v>45516</v>
      </c>
      <c r="F47" s="19">
        <v>11</v>
      </c>
      <c r="G47" s="19">
        <v>12</v>
      </c>
      <c r="H47" s="19">
        <v>11</v>
      </c>
      <c r="I47" s="19">
        <v>11</v>
      </c>
      <c r="J47" s="19" t="s">
        <v>603</v>
      </c>
      <c r="K47" s="19">
        <v>11</v>
      </c>
      <c r="L47" s="19" t="s">
        <v>15</v>
      </c>
      <c r="M47" s="19">
        <v>8</v>
      </c>
      <c r="N47" s="19" t="s">
        <v>316</v>
      </c>
      <c r="O47" s="19">
        <v>11</v>
      </c>
      <c r="P47" s="19">
        <v>11</v>
      </c>
      <c r="Q47" s="19">
        <v>11</v>
      </c>
      <c r="R47" s="19">
        <v>11</v>
      </c>
      <c r="S47" s="19" t="s">
        <v>316</v>
      </c>
      <c r="T47" s="19">
        <v>11</v>
      </c>
      <c r="U47" s="19">
        <v>11</v>
      </c>
      <c r="V47" s="19">
        <v>11</v>
      </c>
      <c r="W47" s="19">
        <v>11</v>
      </c>
      <c r="X47" s="19">
        <v>11</v>
      </c>
      <c r="Y47" s="19">
        <v>11</v>
      </c>
      <c r="Z47" s="19" t="s">
        <v>15</v>
      </c>
      <c r="AA47" s="19">
        <v>11</v>
      </c>
      <c r="AB47" s="19" t="s">
        <v>316</v>
      </c>
      <c r="AC47" s="19">
        <v>11</v>
      </c>
      <c r="AD47" s="19">
        <v>11</v>
      </c>
      <c r="AE47" s="19">
        <v>11</v>
      </c>
      <c r="AF47" s="19">
        <v>11</v>
      </c>
      <c r="AG47" s="19" t="s">
        <v>15</v>
      </c>
      <c r="AH47" s="19">
        <v>11</v>
      </c>
      <c r="AI47" s="19" t="s">
        <v>316</v>
      </c>
      <c r="AJ47" s="19">
        <v>12</v>
      </c>
      <c r="AK47" s="19">
        <v>11</v>
      </c>
      <c r="AL47" s="19">
        <v>12</v>
      </c>
      <c r="AM47" s="19">
        <v>11</v>
      </c>
      <c r="AN47" s="19">
        <v>0</v>
      </c>
      <c r="AO47" s="19">
        <v>11</v>
      </c>
      <c r="AP47" s="19"/>
      <c r="AQ47" s="19"/>
      <c r="AR47" s="19"/>
      <c r="AS47" s="19">
        <v>0</v>
      </c>
      <c r="AT47" s="19">
        <f t="shared" si="80"/>
        <v>64</v>
      </c>
      <c r="AU47" s="19">
        <f t="shared" si="81"/>
        <v>46</v>
      </c>
      <c r="AV47" s="19">
        <f t="shared" si="82"/>
        <v>11</v>
      </c>
      <c r="AW47" s="16">
        <f t="shared" si="83"/>
        <v>26</v>
      </c>
      <c r="AX47" s="16">
        <f t="shared" si="84"/>
        <v>4</v>
      </c>
      <c r="AY47" s="16">
        <f t="shared" si="85"/>
        <v>0</v>
      </c>
      <c r="AZ47" s="21">
        <v>900</v>
      </c>
      <c r="BA47" s="21">
        <v>100</v>
      </c>
      <c r="BB47" s="21">
        <v>0</v>
      </c>
      <c r="BC47" s="19">
        <f t="shared" si="86"/>
        <v>780</v>
      </c>
      <c r="BD47" s="19">
        <f t="shared" si="87"/>
        <v>87</v>
      </c>
      <c r="BE47" s="19">
        <f t="shared" si="88"/>
        <v>621</v>
      </c>
      <c r="BF47" s="19">
        <f t="shared" si="89"/>
        <v>0</v>
      </c>
      <c r="BG47" s="19">
        <f t="shared" si="90"/>
        <v>0</v>
      </c>
      <c r="BH47" s="19">
        <f t="shared" si="91"/>
        <v>0</v>
      </c>
      <c r="BI47" s="19">
        <v>0</v>
      </c>
      <c r="BJ47" s="19">
        <f t="shared" si="92"/>
        <v>1488</v>
      </c>
      <c r="BK47" s="19">
        <v>0</v>
      </c>
      <c r="BL47" s="19">
        <v>0</v>
      </c>
      <c r="BM47" s="19">
        <f t="shared" si="93"/>
        <v>0</v>
      </c>
      <c r="BN47" s="19">
        <f t="shared" si="94"/>
        <v>1488</v>
      </c>
      <c r="BO47" s="19">
        <v>0</v>
      </c>
      <c r="BP47" s="19">
        <v>0</v>
      </c>
      <c r="BQ47" s="22">
        <f t="shared" si="95"/>
        <v>1488</v>
      </c>
      <c r="BR47" s="82">
        <f t="shared" si="96"/>
        <v>0</v>
      </c>
      <c r="BS47" s="19">
        <f t="shared" si="97"/>
        <v>0</v>
      </c>
      <c r="BT47" s="19">
        <f t="shared" si="98"/>
        <v>0</v>
      </c>
      <c r="BU47" s="19">
        <f t="shared" si="99"/>
        <v>0</v>
      </c>
      <c r="BV47" s="19">
        <f t="shared" si="100"/>
        <v>0</v>
      </c>
      <c r="BW47" s="19">
        <f t="shared" si="101"/>
        <v>0</v>
      </c>
      <c r="BX47" s="19">
        <f t="shared" si="102"/>
        <v>0</v>
      </c>
      <c r="BY47" s="19">
        <f t="shared" si="103"/>
        <v>0</v>
      </c>
      <c r="BZ47" s="19">
        <f t="shared" si="104"/>
        <v>0</v>
      </c>
      <c r="CA47" s="19">
        <f t="shared" si="105"/>
        <v>0</v>
      </c>
      <c r="CB47" s="19">
        <f t="shared" si="106"/>
        <v>20</v>
      </c>
      <c r="CC47" s="19">
        <f t="shared" si="107"/>
        <v>60</v>
      </c>
      <c r="CD47" s="19">
        <f t="shared" si="108"/>
        <v>0</v>
      </c>
      <c r="CE47" s="19">
        <f t="shared" si="109"/>
        <v>0</v>
      </c>
      <c r="CF47" s="19">
        <f t="shared" si="110"/>
        <v>1</v>
      </c>
      <c r="CG47" s="19">
        <f t="shared" si="111"/>
        <v>4</v>
      </c>
      <c r="CH47" s="19">
        <f t="shared" si="112"/>
        <v>0</v>
      </c>
      <c r="CI47" s="19">
        <f t="shared" si="113"/>
        <v>0</v>
      </c>
      <c r="CJ47" s="19">
        <f t="shared" si="114"/>
        <v>0</v>
      </c>
      <c r="CK47" s="19">
        <f t="shared" si="115"/>
        <v>0</v>
      </c>
      <c r="CL47" s="19">
        <f t="shared" si="116"/>
        <v>0</v>
      </c>
      <c r="CM47" s="19">
        <f t="shared" si="117"/>
        <v>0</v>
      </c>
      <c r="CN47" s="19">
        <f t="shared" si="118"/>
        <v>0</v>
      </c>
      <c r="CO47" s="19">
        <f t="shared" si="119"/>
        <v>0</v>
      </c>
      <c r="CP47" s="19">
        <f t="shared" si="120"/>
        <v>0</v>
      </c>
      <c r="CQ47" s="19">
        <f t="shared" si="121"/>
        <v>0</v>
      </c>
      <c r="CR47" s="19">
        <f t="shared" si="122"/>
        <v>0</v>
      </c>
      <c r="CS47" s="19">
        <f t="shared" si="123"/>
        <v>0</v>
      </c>
      <c r="CT47" s="19">
        <f t="shared" si="124"/>
        <v>0</v>
      </c>
      <c r="CU47" s="19">
        <f t="shared" si="125"/>
        <v>0</v>
      </c>
      <c r="CV47" s="19">
        <f t="shared" si="126"/>
        <v>0</v>
      </c>
      <c r="CW47" s="19">
        <f t="shared" si="127"/>
        <v>0</v>
      </c>
      <c r="CX47" s="19">
        <f t="shared" si="128"/>
        <v>0</v>
      </c>
      <c r="CY47" s="19">
        <f t="shared" si="129"/>
        <v>0</v>
      </c>
      <c r="CZ47" s="19">
        <f t="shared" si="130"/>
        <v>0</v>
      </c>
      <c r="DA47" s="19">
        <f t="shared" si="131"/>
        <v>0</v>
      </c>
      <c r="DB47" s="19">
        <f t="shared" si="132"/>
        <v>0</v>
      </c>
      <c r="DC47" s="19">
        <f t="shared" si="133"/>
        <v>0</v>
      </c>
      <c r="DD47" s="19">
        <f t="shared" si="134"/>
        <v>0</v>
      </c>
      <c r="DE47" s="19">
        <f t="shared" si="135"/>
        <v>0</v>
      </c>
      <c r="DF47" s="19">
        <f t="shared" si="136"/>
        <v>0</v>
      </c>
      <c r="DG47" s="19">
        <f t="shared" si="137"/>
        <v>0</v>
      </c>
      <c r="DH47" s="19">
        <f t="shared" si="138"/>
        <v>0</v>
      </c>
      <c r="DI47" s="19">
        <f t="shared" si="139"/>
        <v>0</v>
      </c>
      <c r="DJ47" s="19">
        <f t="shared" si="140"/>
        <v>0</v>
      </c>
      <c r="DK47" s="19">
        <f t="shared" si="141"/>
        <v>0</v>
      </c>
      <c r="DL47" s="19">
        <f t="shared" si="142"/>
        <v>0</v>
      </c>
      <c r="DM47" s="19">
        <f t="shared" si="143"/>
        <v>0</v>
      </c>
      <c r="DN47" s="19">
        <f t="shared" si="144"/>
        <v>0</v>
      </c>
      <c r="DO47" s="19">
        <f t="shared" si="145"/>
        <v>0</v>
      </c>
      <c r="DP47" s="19">
        <f t="shared" si="146"/>
        <v>0</v>
      </c>
      <c r="DQ47" s="19">
        <f t="shared" si="147"/>
        <v>0</v>
      </c>
      <c r="DR47" s="19">
        <f t="shared" si="148"/>
        <v>0</v>
      </c>
      <c r="DS47" s="19">
        <f t="shared" si="149"/>
        <v>0</v>
      </c>
      <c r="DT47" s="19">
        <f t="shared" si="150"/>
        <v>0</v>
      </c>
      <c r="DU47" s="19">
        <f t="shared" si="151"/>
        <v>0</v>
      </c>
      <c r="DV47" s="19">
        <f t="shared" si="152"/>
        <v>0</v>
      </c>
      <c r="DW47" s="19">
        <f t="shared" si="153"/>
        <v>0</v>
      </c>
      <c r="DX47" s="19">
        <f t="shared" si="154"/>
        <v>0</v>
      </c>
      <c r="DY47" s="19">
        <f t="shared" si="155"/>
        <v>0</v>
      </c>
      <c r="DZ47" s="19">
        <f t="shared" si="156"/>
        <v>0</v>
      </c>
      <c r="EA47" s="19">
        <f t="shared" si="157"/>
        <v>0</v>
      </c>
      <c r="EB47" s="19">
        <f t="shared" si="158"/>
        <v>0</v>
      </c>
      <c r="EC47" s="19">
        <f t="shared" si="159"/>
        <v>0</v>
      </c>
    </row>
    <row r="48" spans="1:133" s="78" customFormat="1" ht="18" customHeight="1" x14ac:dyDescent="0.25">
      <c r="A48" s="15">
        <v>45</v>
      </c>
      <c r="B48" s="108" t="s">
        <v>355</v>
      </c>
      <c r="C48" s="74" t="s">
        <v>362</v>
      </c>
      <c r="D48" s="16" t="s">
        <v>61</v>
      </c>
      <c r="E48" s="18">
        <v>45517</v>
      </c>
      <c r="F48" s="19">
        <v>11</v>
      </c>
      <c r="G48" s="19">
        <v>11</v>
      </c>
      <c r="H48" s="19">
        <v>11</v>
      </c>
      <c r="I48" s="19">
        <v>11</v>
      </c>
      <c r="J48" s="19" t="s">
        <v>603</v>
      </c>
      <c r="K48" s="19">
        <v>11</v>
      </c>
      <c r="L48" s="19" t="s">
        <v>15</v>
      </c>
      <c r="M48" s="19">
        <v>11</v>
      </c>
      <c r="N48" s="19">
        <v>11</v>
      </c>
      <c r="O48" s="19">
        <v>11</v>
      </c>
      <c r="P48" s="19">
        <v>11</v>
      </c>
      <c r="Q48" s="19">
        <v>11</v>
      </c>
      <c r="R48" s="19">
        <v>11</v>
      </c>
      <c r="S48" s="19" t="s">
        <v>15</v>
      </c>
      <c r="T48" s="19">
        <v>11</v>
      </c>
      <c r="U48" s="19">
        <v>11</v>
      </c>
      <c r="V48" s="19">
        <v>11</v>
      </c>
      <c r="W48" s="19">
        <v>11</v>
      </c>
      <c r="X48" s="19">
        <v>11</v>
      </c>
      <c r="Y48" s="19">
        <v>11</v>
      </c>
      <c r="Z48" s="19" t="s">
        <v>15</v>
      </c>
      <c r="AA48" s="19">
        <v>11</v>
      </c>
      <c r="AB48" s="19">
        <v>11</v>
      </c>
      <c r="AC48" s="19">
        <v>11</v>
      </c>
      <c r="AD48" s="19">
        <v>11</v>
      </c>
      <c r="AE48" s="19">
        <v>11</v>
      </c>
      <c r="AF48" s="19">
        <v>11</v>
      </c>
      <c r="AG48" s="19" t="s">
        <v>15</v>
      </c>
      <c r="AH48" s="19">
        <v>11</v>
      </c>
      <c r="AI48" s="19">
        <v>11</v>
      </c>
      <c r="AJ48" s="19">
        <v>0</v>
      </c>
      <c r="AK48" s="19">
        <v>11</v>
      </c>
      <c r="AL48" s="19">
        <v>0</v>
      </c>
      <c r="AM48" s="19">
        <v>0</v>
      </c>
      <c r="AN48" s="19">
        <v>0</v>
      </c>
      <c r="AO48" s="19">
        <v>11</v>
      </c>
      <c r="AP48" s="19"/>
      <c r="AQ48" s="19"/>
      <c r="AR48" s="19"/>
      <c r="AS48" s="19">
        <v>0</v>
      </c>
      <c r="AT48" s="19">
        <f t="shared" si="80"/>
        <v>75</v>
      </c>
      <c r="AU48" s="19">
        <f t="shared" si="81"/>
        <v>11</v>
      </c>
      <c r="AV48" s="19">
        <f t="shared" si="82"/>
        <v>11</v>
      </c>
      <c r="AW48" s="16">
        <f t="shared" si="83"/>
        <v>30</v>
      </c>
      <c r="AX48" s="16">
        <f t="shared" si="84"/>
        <v>0</v>
      </c>
      <c r="AY48" s="16">
        <f t="shared" si="85"/>
        <v>0</v>
      </c>
      <c r="AZ48" s="21">
        <v>1000</v>
      </c>
      <c r="BA48" s="21">
        <v>100</v>
      </c>
      <c r="BB48" s="21">
        <v>0</v>
      </c>
      <c r="BC48" s="19">
        <f t="shared" si="86"/>
        <v>1000</v>
      </c>
      <c r="BD48" s="19">
        <f t="shared" si="87"/>
        <v>100</v>
      </c>
      <c r="BE48" s="19">
        <f t="shared" si="88"/>
        <v>528</v>
      </c>
      <c r="BF48" s="19">
        <f t="shared" si="89"/>
        <v>0</v>
      </c>
      <c r="BG48" s="19">
        <f t="shared" si="90"/>
        <v>0</v>
      </c>
      <c r="BH48" s="19">
        <f t="shared" si="91"/>
        <v>0</v>
      </c>
      <c r="BI48" s="19">
        <v>95</v>
      </c>
      <c r="BJ48" s="19">
        <f t="shared" si="92"/>
        <v>1723</v>
      </c>
      <c r="BK48" s="19">
        <v>0</v>
      </c>
      <c r="BL48" s="19">
        <v>0</v>
      </c>
      <c r="BM48" s="19">
        <f t="shared" si="93"/>
        <v>0</v>
      </c>
      <c r="BN48" s="19">
        <f t="shared" si="94"/>
        <v>1723</v>
      </c>
      <c r="BO48" s="19">
        <v>0</v>
      </c>
      <c r="BP48" s="19">
        <v>0</v>
      </c>
      <c r="BQ48" s="22">
        <f t="shared" si="95"/>
        <v>1723</v>
      </c>
      <c r="BR48" s="82">
        <f t="shared" si="96"/>
        <v>0</v>
      </c>
      <c r="BS48" s="19">
        <f t="shared" si="97"/>
        <v>0</v>
      </c>
      <c r="BT48" s="19">
        <f t="shared" si="98"/>
        <v>0</v>
      </c>
      <c r="BU48" s="19">
        <f t="shared" si="99"/>
        <v>0</v>
      </c>
      <c r="BV48" s="19">
        <f t="shared" si="100"/>
        <v>0</v>
      </c>
      <c r="BW48" s="19">
        <f t="shared" si="101"/>
        <v>0</v>
      </c>
      <c r="BX48" s="19">
        <f t="shared" si="102"/>
        <v>0</v>
      </c>
      <c r="BY48" s="19">
        <f t="shared" si="103"/>
        <v>0</v>
      </c>
      <c r="BZ48" s="19">
        <f t="shared" si="104"/>
        <v>0</v>
      </c>
      <c r="CA48" s="19">
        <f t="shared" si="105"/>
        <v>0</v>
      </c>
      <c r="CB48" s="19">
        <f t="shared" si="106"/>
        <v>25</v>
      </c>
      <c r="CC48" s="19">
        <f t="shared" si="107"/>
        <v>75</v>
      </c>
      <c r="CD48" s="19">
        <f t="shared" si="108"/>
        <v>0</v>
      </c>
      <c r="CE48" s="19">
        <f t="shared" si="109"/>
        <v>0</v>
      </c>
      <c r="CF48" s="19">
        <f t="shared" si="110"/>
        <v>0</v>
      </c>
      <c r="CG48" s="19">
        <f t="shared" si="111"/>
        <v>0</v>
      </c>
      <c r="CH48" s="19">
        <f t="shared" si="112"/>
        <v>0</v>
      </c>
      <c r="CI48" s="19">
        <f t="shared" si="113"/>
        <v>0</v>
      </c>
      <c r="CJ48" s="19">
        <f t="shared" si="114"/>
        <v>0</v>
      </c>
      <c r="CK48" s="19">
        <f t="shared" si="115"/>
        <v>0</v>
      </c>
      <c r="CL48" s="19">
        <f t="shared" si="116"/>
        <v>0</v>
      </c>
      <c r="CM48" s="19">
        <f t="shared" si="117"/>
        <v>0</v>
      </c>
      <c r="CN48" s="19">
        <f t="shared" si="118"/>
        <v>0</v>
      </c>
      <c r="CO48" s="19">
        <f t="shared" si="119"/>
        <v>0</v>
      </c>
      <c r="CP48" s="19">
        <f t="shared" si="120"/>
        <v>0</v>
      </c>
      <c r="CQ48" s="19">
        <f t="shared" si="121"/>
        <v>0</v>
      </c>
      <c r="CR48" s="19">
        <f t="shared" si="122"/>
        <v>0</v>
      </c>
      <c r="CS48" s="19">
        <f t="shared" si="123"/>
        <v>0</v>
      </c>
      <c r="CT48" s="19">
        <f t="shared" si="124"/>
        <v>0</v>
      </c>
      <c r="CU48" s="19">
        <f t="shared" si="125"/>
        <v>0</v>
      </c>
      <c r="CV48" s="19">
        <f t="shared" si="126"/>
        <v>0</v>
      </c>
      <c r="CW48" s="19">
        <f t="shared" si="127"/>
        <v>0</v>
      </c>
      <c r="CX48" s="19">
        <f t="shared" si="128"/>
        <v>0</v>
      </c>
      <c r="CY48" s="19">
        <f t="shared" si="129"/>
        <v>0</v>
      </c>
      <c r="CZ48" s="19">
        <f t="shared" si="130"/>
        <v>0</v>
      </c>
      <c r="DA48" s="19">
        <f t="shared" si="131"/>
        <v>0</v>
      </c>
      <c r="DB48" s="19">
        <f t="shared" si="132"/>
        <v>0</v>
      </c>
      <c r="DC48" s="19">
        <f t="shared" si="133"/>
        <v>0</v>
      </c>
      <c r="DD48" s="19">
        <f t="shared" si="134"/>
        <v>0</v>
      </c>
      <c r="DE48" s="19">
        <f t="shared" si="135"/>
        <v>0</v>
      </c>
      <c r="DF48" s="19">
        <f t="shared" si="136"/>
        <v>0</v>
      </c>
      <c r="DG48" s="19">
        <f t="shared" si="137"/>
        <v>0</v>
      </c>
      <c r="DH48" s="19">
        <f t="shared" si="138"/>
        <v>0</v>
      </c>
      <c r="DI48" s="19">
        <f t="shared" si="139"/>
        <v>0</v>
      </c>
      <c r="DJ48" s="19">
        <f t="shared" si="140"/>
        <v>0</v>
      </c>
      <c r="DK48" s="19">
        <f t="shared" si="141"/>
        <v>0</v>
      </c>
      <c r="DL48" s="19">
        <f t="shared" si="142"/>
        <v>0</v>
      </c>
      <c r="DM48" s="19">
        <f t="shared" si="143"/>
        <v>0</v>
      </c>
      <c r="DN48" s="19">
        <f t="shared" si="144"/>
        <v>0</v>
      </c>
      <c r="DO48" s="19">
        <f t="shared" si="145"/>
        <v>0</v>
      </c>
      <c r="DP48" s="19">
        <f t="shared" si="146"/>
        <v>0</v>
      </c>
      <c r="DQ48" s="19">
        <f t="shared" si="147"/>
        <v>0</v>
      </c>
      <c r="DR48" s="19">
        <f t="shared" si="148"/>
        <v>0</v>
      </c>
      <c r="DS48" s="19">
        <f t="shared" si="149"/>
        <v>0</v>
      </c>
      <c r="DT48" s="19">
        <f t="shared" si="150"/>
        <v>0</v>
      </c>
      <c r="DU48" s="19">
        <f t="shared" si="151"/>
        <v>0</v>
      </c>
      <c r="DV48" s="19">
        <f t="shared" si="152"/>
        <v>0</v>
      </c>
      <c r="DW48" s="19">
        <f t="shared" si="153"/>
        <v>0</v>
      </c>
      <c r="DX48" s="19">
        <f t="shared" si="154"/>
        <v>0</v>
      </c>
      <c r="DY48" s="19">
        <f t="shared" si="155"/>
        <v>0</v>
      </c>
      <c r="DZ48" s="19">
        <f t="shared" si="156"/>
        <v>0</v>
      </c>
      <c r="EA48" s="19">
        <f t="shared" si="157"/>
        <v>0</v>
      </c>
      <c r="EB48" s="19">
        <f t="shared" si="158"/>
        <v>0</v>
      </c>
      <c r="EC48" s="19">
        <f t="shared" si="159"/>
        <v>0</v>
      </c>
    </row>
    <row r="49" spans="1:133" s="78" customFormat="1" ht="18" customHeight="1" x14ac:dyDescent="0.25">
      <c r="A49" s="15">
        <v>46</v>
      </c>
      <c r="B49" s="108" t="s">
        <v>356</v>
      </c>
      <c r="C49" s="74" t="s">
        <v>363</v>
      </c>
      <c r="D49" s="16" t="s">
        <v>61</v>
      </c>
      <c r="E49" s="18">
        <v>45517</v>
      </c>
      <c r="F49" s="19">
        <v>11</v>
      </c>
      <c r="G49" s="19">
        <v>12</v>
      </c>
      <c r="H49" s="19">
        <v>11</v>
      </c>
      <c r="I49" s="19">
        <v>11</v>
      </c>
      <c r="J49" s="19" t="s">
        <v>603</v>
      </c>
      <c r="K49" s="19">
        <v>11</v>
      </c>
      <c r="L49" s="19" t="s">
        <v>15</v>
      </c>
      <c r="M49" s="19">
        <v>11</v>
      </c>
      <c r="N49" s="19">
        <v>11</v>
      </c>
      <c r="O49" s="19">
        <v>11</v>
      </c>
      <c r="P49" s="19">
        <v>11</v>
      </c>
      <c r="Q49" s="19">
        <v>11</v>
      </c>
      <c r="R49" s="19">
        <v>11</v>
      </c>
      <c r="S49" s="19" t="s">
        <v>15</v>
      </c>
      <c r="T49" s="19">
        <v>11</v>
      </c>
      <c r="U49" s="19">
        <v>11</v>
      </c>
      <c r="V49" s="19">
        <v>11</v>
      </c>
      <c r="W49" s="19">
        <v>11</v>
      </c>
      <c r="X49" s="19">
        <v>11</v>
      </c>
      <c r="Y49" s="19">
        <v>11</v>
      </c>
      <c r="Z49" s="19" t="s">
        <v>15</v>
      </c>
      <c r="AA49" s="19">
        <v>11</v>
      </c>
      <c r="AB49" s="19">
        <v>11</v>
      </c>
      <c r="AC49" s="19">
        <v>12</v>
      </c>
      <c r="AD49" s="19">
        <v>11</v>
      </c>
      <c r="AE49" s="19">
        <v>11</v>
      </c>
      <c r="AF49" s="19">
        <v>11</v>
      </c>
      <c r="AG49" s="19" t="s">
        <v>15</v>
      </c>
      <c r="AH49" s="19">
        <v>11</v>
      </c>
      <c r="AI49" s="19">
        <v>11</v>
      </c>
      <c r="AJ49" s="19">
        <v>12</v>
      </c>
      <c r="AK49" s="19">
        <v>12</v>
      </c>
      <c r="AL49" s="19">
        <v>12</v>
      </c>
      <c r="AM49" s="19">
        <v>0</v>
      </c>
      <c r="AN49" s="19">
        <v>0</v>
      </c>
      <c r="AO49" s="19">
        <v>11</v>
      </c>
      <c r="AP49" s="19"/>
      <c r="AQ49" s="19"/>
      <c r="AR49" s="19"/>
      <c r="AS49" s="19">
        <v>0</v>
      </c>
      <c r="AT49" s="19">
        <f t="shared" si="80"/>
        <v>77</v>
      </c>
      <c r="AU49" s="19">
        <f t="shared" si="81"/>
        <v>36</v>
      </c>
      <c r="AV49" s="19">
        <f t="shared" si="82"/>
        <v>11</v>
      </c>
      <c r="AW49" s="16">
        <f t="shared" si="83"/>
        <v>30</v>
      </c>
      <c r="AX49" s="16">
        <f t="shared" si="84"/>
        <v>0</v>
      </c>
      <c r="AY49" s="16">
        <f t="shared" si="85"/>
        <v>0</v>
      </c>
      <c r="AZ49" s="21">
        <v>950</v>
      </c>
      <c r="BA49" s="21">
        <v>100</v>
      </c>
      <c r="BB49" s="21">
        <v>0</v>
      </c>
      <c r="BC49" s="19">
        <f t="shared" si="86"/>
        <v>950</v>
      </c>
      <c r="BD49" s="19">
        <f t="shared" si="87"/>
        <v>100</v>
      </c>
      <c r="BE49" s="19">
        <f t="shared" si="88"/>
        <v>660</v>
      </c>
      <c r="BF49" s="19">
        <f t="shared" si="89"/>
        <v>0</v>
      </c>
      <c r="BG49" s="19">
        <f t="shared" si="90"/>
        <v>0</v>
      </c>
      <c r="BH49" s="19">
        <f t="shared" si="91"/>
        <v>0</v>
      </c>
      <c r="BI49" s="19">
        <v>95</v>
      </c>
      <c r="BJ49" s="19">
        <f t="shared" si="92"/>
        <v>1805</v>
      </c>
      <c r="BK49" s="19">
        <v>0</v>
      </c>
      <c r="BL49" s="19">
        <v>0</v>
      </c>
      <c r="BM49" s="19">
        <f t="shared" si="93"/>
        <v>0</v>
      </c>
      <c r="BN49" s="19">
        <f t="shared" si="94"/>
        <v>1805</v>
      </c>
      <c r="BO49" s="19">
        <v>0</v>
      </c>
      <c r="BP49" s="19">
        <v>0</v>
      </c>
      <c r="BQ49" s="22">
        <f t="shared" si="95"/>
        <v>1805</v>
      </c>
      <c r="BR49" s="82">
        <f t="shared" si="96"/>
        <v>0</v>
      </c>
      <c r="BS49" s="19">
        <f t="shared" si="97"/>
        <v>0</v>
      </c>
      <c r="BT49" s="19">
        <f t="shared" si="98"/>
        <v>0</v>
      </c>
      <c r="BU49" s="19">
        <f t="shared" si="99"/>
        <v>0</v>
      </c>
      <c r="BV49" s="19">
        <f t="shared" si="100"/>
        <v>0</v>
      </c>
      <c r="BW49" s="19">
        <f t="shared" si="101"/>
        <v>0</v>
      </c>
      <c r="BX49" s="19">
        <f t="shared" si="102"/>
        <v>0</v>
      </c>
      <c r="BY49" s="19">
        <f t="shared" si="103"/>
        <v>0</v>
      </c>
      <c r="BZ49" s="19">
        <f t="shared" si="104"/>
        <v>0</v>
      </c>
      <c r="CA49" s="19">
        <f t="shared" si="105"/>
        <v>0</v>
      </c>
      <c r="CB49" s="19">
        <f t="shared" si="106"/>
        <v>23</v>
      </c>
      <c r="CC49" s="19">
        <f t="shared" si="107"/>
        <v>69</v>
      </c>
      <c r="CD49" s="19">
        <f t="shared" si="108"/>
        <v>0</v>
      </c>
      <c r="CE49" s="19">
        <f t="shared" si="109"/>
        <v>0</v>
      </c>
      <c r="CF49" s="19">
        <f t="shared" si="110"/>
        <v>2</v>
      </c>
      <c r="CG49" s="19">
        <f t="shared" si="111"/>
        <v>8</v>
      </c>
      <c r="CH49" s="19">
        <f t="shared" si="112"/>
        <v>0</v>
      </c>
      <c r="CI49" s="19">
        <f t="shared" si="113"/>
        <v>0</v>
      </c>
      <c r="CJ49" s="19">
        <f t="shared" si="114"/>
        <v>0</v>
      </c>
      <c r="CK49" s="19">
        <f t="shared" si="115"/>
        <v>0</v>
      </c>
      <c r="CL49" s="19">
        <f t="shared" si="116"/>
        <v>0</v>
      </c>
      <c r="CM49" s="19">
        <f t="shared" si="117"/>
        <v>0</v>
      </c>
      <c r="CN49" s="19">
        <f t="shared" si="118"/>
        <v>0</v>
      </c>
      <c r="CO49" s="19">
        <f t="shared" si="119"/>
        <v>0</v>
      </c>
      <c r="CP49" s="19">
        <f t="shared" si="120"/>
        <v>0</v>
      </c>
      <c r="CQ49" s="19">
        <f t="shared" si="121"/>
        <v>0</v>
      </c>
      <c r="CR49" s="19">
        <f t="shared" si="122"/>
        <v>0</v>
      </c>
      <c r="CS49" s="19">
        <f t="shared" si="123"/>
        <v>0</v>
      </c>
      <c r="CT49" s="19">
        <f t="shared" si="124"/>
        <v>0</v>
      </c>
      <c r="CU49" s="19">
        <f t="shared" si="125"/>
        <v>0</v>
      </c>
      <c r="CV49" s="19">
        <f t="shared" si="126"/>
        <v>0</v>
      </c>
      <c r="CW49" s="19">
        <f t="shared" si="127"/>
        <v>0</v>
      </c>
      <c r="CX49" s="19">
        <f t="shared" si="128"/>
        <v>0</v>
      </c>
      <c r="CY49" s="19">
        <f t="shared" si="129"/>
        <v>0</v>
      </c>
      <c r="CZ49" s="19">
        <f t="shared" si="130"/>
        <v>0</v>
      </c>
      <c r="DA49" s="19">
        <f t="shared" si="131"/>
        <v>0</v>
      </c>
      <c r="DB49" s="19">
        <f t="shared" si="132"/>
        <v>0</v>
      </c>
      <c r="DC49" s="19">
        <f t="shared" si="133"/>
        <v>0</v>
      </c>
      <c r="DD49" s="19">
        <f t="shared" si="134"/>
        <v>0</v>
      </c>
      <c r="DE49" s="19">
        <f t="shared" si="135"/>
        <v>0</v>
      </c>
      <c r="DF49" s="19">
        <f t="shared" si="136"/>
        <v>0</v>
      </c>
      <c r="DG49" s="19">
        <f t="shared" si="137"/>
        <v>0</v>
      </c>
      <c r="DH49" s="19">
        <f t="shared" si="138"/>
        <v>0</v>
      </c>
      <c r="DI49" s="19">
        <f t="shared" si="139"/>
        <v>0</v>
      </c>
      <c r="DJ49" s="19">
        <f t="shared" si="140"/>
        <v>0</v>
      </c>
      <c r="DK49" s="19">
        <f t="shared" si="141"/>
        <v>0</v>
      </c>
      <c r="DL49" s="19">
        <f t="shared" si="142"/>
        <v>0</v>
      </c>
      <c r="DM49" s="19">
        <f t="shared" si="143"/>
        <v>0</v>
      </c>
      <c r="DN49" s="19">
        <f t="shared" si="144"/>
        <v>0</v>
      </c>
      <c r="DO49" s="19">
        <f t="shared" si="145"/>
        <v>0</v>
      </c>
      <c r="DP49" s="19">
        <f t="shared" si="146"/>
        <v>0</v>
      </c>
      <c r="DQ49" s="19">
        <f t="shared" si="147"/>
        <v>0</v>
      </c>
      <c r="DR49" s="19">
        <f t="shared" si="148"/>
        <v>0</v>
      </c>
      <c r="DS49" s="19">
        <f t="shared" si="149"/>
        <v>0</v>
      </c>
      <c r="DT49" s="19">
        <f t="shared" si="150"/>
        <v>0</v>
      </c>
      <c r="DU49" s="19">
        <f t="shared" si="151"/>
        <v>0</v>
      </c>
      <c r="DV49" s="19">
        <f t="shared" si="152"/>
        <v>0</v>
      </c>
      <c r="DW49" s="19">
        <f t="shared" si="153"/>
        <v>0</v>
      </c>
      <c r="DX49" s="19">
        <f t="shared" si="154"/>
        <v>0</v>
      </c>
      <c r="DY49" s="19">
        <f t="shared" si="155"/>
        <v>0</v>
      </c>
      <c r="DZ49" s="19">
        <f t="shared" si="156"/>
        <v>0</v>
      </c>
      <c r="EA49" s="19">
        <f t="shared" si="157"/>
        <v>0</v>
      </c>
      <c r="EB49" s="19">
        <f t="shared" si="158"/>
        <v>0</v>
      </c>
      <c r="EC49" s="19">
        <f t="shared" si="159"/>
        <v>0</v>
      </c>
    </row>
    <row r="50" spans="1:133" s="78" customFormat="1" ht="18" customHeight="1" x14ac:dyDescent="0.25">
      <c r="A50" s="15">
        <v>47</v>
      </c>
      <c r="B50" s="108" t="s">
        <v>357</v>
      </c>
      <c r="C50" s="74" t="s">
        <v>364</v>
      </c>
      <c r="D50" s="16" t="s">
        <v>61</v>
      </c>
      <c r="E50" s="18">
        <v>45520</v>
      </c>
      <c r="F50" s="19">
        <v>10.5</v>
      </c>
      <c r="G50" s="19">
        <v>10.5</v>
      </c>
      <c r="H50" s="19">
        <v>10.5</v>
      </c>
      <c r="I50" s="19">
        <v>10.5</v>
      </c>
      <c r="J50" s="19" t="s">
        <v>603</v>
      </c>
      <c r="K50" s="19">
        <v>10.5</v>
      </c>
      <c r="L50" s="19" t="s">
        <v>15</v>
      </c>
      <c r="M50" s="19">
        <v>10.5</v>
      </c>
      <c r="N50" s="19">
        <v>10.5</v>
      </c>
      <c r="O50" s="19">
        <v>10.5</v>
      </c>
      <c r="P50" s="19">
        <v>10.5</v>
      </c>
      <c r="Q50" s="19">
        <v>10.5</v>
      </c>
      <c r="R50" s="19">
        <v>10.5</v>
      </c>
      <c r="S50" s="19" t="s">
        <v>15</v>
      </c>
      <c r="T50" s="19">
        <v>10</v>
      </c>
      <c r="U50" s="19">
        <v>10.5</v>
      </c>
      <c r="V50" s="19">
        <v>10.5</v>
      </c>
      <c r="W50" s="19">
        <v>10.5</v>
      </c>
      <c r="X50" s="19">
        <v>10.5</v>
      </c>
      <c r="Y50" s="19">
        <v>10.5</v>
      </c>
      <c r="Z50" s="19" t="s">
        <v>15</v>
      </c>
      <c r="AA50" s="19">
        <v>10.5</v>
      </c>
      <c r="AB50" s="19">
        <v>10.5</v>
      </c>
      <c r="AC50" s="19">
        <v>10.5</v>
      </c>
      <c r="AD50" s="19">
        <v>10.5</v>
      </c>
      <c r="AE50" s="19">
        <v>10.5</v>
      </c>
      <c r="AF50" s="19">
        <v>10.5</v>
      </c>
      <c r="AG50" s="19" t="s">
        <v>15</v>
      </c>
      <c r="AH50" s="19">
        <v>10.5</v>
      </c>
      <c r="AI50" s="19">
        <v>10.5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10.5</v>
      </c>
      <c r="AP50" s="19"/>
      <c r="AQ50" s="19"/>
      <c r="AR50" s="19"/>
      <c r="AS50" s="19">
        <v>0</v>
      </c>
      <c r="AT50" s="19">
        <f t="shared" si="80"/>
        <v>62</v>
      </c>
      <c r="AU50" s="19">
        <f t="shared" si="81"/>
        <v>0</v>
      </c>
      <c r="AV50" s="19">
        <f t="shared" si="82"/>
        <v>10.5</v>
      </c>
      <c r="AW50" s="16">
        <f t="shared" si="83"/>
        <v>30</v>
      </c>
      <c r="AX50" s="16">
        <f t="shared" si="84"/>
        <v>0</v>
      </c>
      <c r="AY50" s="16">
        <f t="shared" si="85"/>
        <v>0</v>
      </c>
      <c r="AZ50" s="21">
        <v>900</v>
      </c>
      <c r="BA50" s="21">
        <v>100</v>
      </c>
      <c r="BB50" s="21">
        <v>0</v>
      </c>
      <c r="BC50" s="19">
        <f t="shared" si="86"/>
        <v>900</v>
      </c>
      <c r="BD50" s="19">
        <f t="shared" si="87"/>
        <v>100</v>
      </c>
      <c r="BE50" s="19">
        <f t="shared" si="88"/>
        <v>350</v>
      </c>
      <c r="BF50" s="19">
        <f t="shared" si="89"/>
        <v>0</v>
      </c>
      <c r="BG50" s="19">
        <f t="shared" si="90"/>
        <v>0</v>
      </c>
      <c r="BH50" s="19">
        <f t="shared" si="91"/>
        <v>0</v>
      </c>
      <c r="BI50" s="19">
        <v>95</v>
      </c>
      <c r="BJ50" s="19">
        <f t="shared" si="92"/>
        <v>1445</v>
      </c>
      <c r="BK50" s="19">
        <v>0</v>
      </c>
      <c r="BL50" s="19">
        <v>0</v>
      </c>
      <c r="BM50" s="19">
        <f t="shared" si="93"/>
        <v>0</v>
      </c>
      <c r="BN50" s="19">
        <f t="shared" si="94"/>
        <v>1445</v>
      </c>
      <c r="BO50" s="19">
        <v>0</v>
      </c>
      <c r="BP50" s="19">
        <v>0</v>
      </c>
      <c r="BQ50" s="22">
        <f t="shared" si="95"/>
        <v>1445</v>
      </c>
      <c r="BR50" s="82">
        <f t="shared" si="96"/>
        <v>0</v>
      </c>
      <c r="BS50" s="19">
        <f t="shared" si="97"/>
        <v>0</v>
      </c>
      <c r="BT50" s="19">
        <f t="shared" si="98"/>
        <v>0</v>
      </c>
      <c r="BU50" s="19">
        <f t="shared" si="99"/>
        <v>0</v>
      </c>
      <c r="BV50" s="19">
        <f t="shared" si="100"/>
        <v>0</v>
      </c>
      <c r="BW50" s="19">
        <f t="shared" si="101"/>
        <v>0</v>
      </c>
      <c r="BX50" s="19">
        <f t="shared" si="102"/>
        <v>1</v>
      </c>
      <c r="BY50" s="19">
        <f t="shared" si="103"/>
        <v>2</v>
      </c>
      <c r="BZ50" s="19">
        <f t="shared" si="104"/>
        <v>24</v>
      </c>
      <c r="CA50" s="19">
        <f t="shared" si="105"/>
        <v>60</v>
      </c>
      <c r="CB50" s="19">
        <f t="shared" si="106"/>
        <v>0</v>
      </c>
      <c r="CC50" s="19">
        <f t="shared" si="107"/>
        <v>0</v>
      </c>
      <c r="CD50" s="19">
        <f t="shared" si="108"/>
        <v>0</v>
      </c>
      <c r="CE50" s="19">
        <f t="shared" si="109"/>
        <v>0</v>
      </c>
      <c r="CF50" s="19">
        <f t="shared" si="110"/>
        <v>0</v>
      </c>
      <c r="CG50" s="19">
        <f t="shared" si="111"/>
        <v>0</v>
      </c>
      <c r="CH50" s="19">
        <f t="shared" si="112"/>
        <v>0</v>
      </c>
      <c r="CI50" s="19">
        <f t="shared" si="113"/>
        <v>0</v>
      </c>
      <c r="CJ50" s="19">
        <f t="shared" si="114"/>
        <v>0</v>
      </c>
      <c r="CK50" s="19">
        <f t="shared" si="115"/>
        <v>0</v>
      </c>
      <c r="CL50" s="19">
        <f t="shared" si="116"/>
        <v>0</v>
      </c>
      <c r="CM50" s="19">
        <f t="shared" si="117"/>
        <v>0</v>
      </c>
      <c r="CN50" s="19">
        <f t="shared" si="118"/>
        <v>0</v>
      </c>
      <c r="CO50" s="19">
        <f t="shared" si="119"/>
        <v>0</v>
      </c>
      <c r="CP50" s="19">
        <f t="shared" si="120"/>
        <v>0</v>
      </c>
      <c r="CQ50" s="19">
        <f t="shared" si="121"/>
        <v>0</v>
      </c>
      <c r="CR50" s="19">
        <f t="shared" si="122"/>
        <v>0</v>
      </c>
      <c r="CS50" s="19">
        <f t="shared" si="123"/>
        <v>0</v>
      </c>
      <c r="CT50" s="19">
        <f t="shared" si="124"/>
        <v>0</v>
      </c>
      <c r="CU50" s="19">
        <f t="shared" si="125"/>
        <v>0</v>
      </c>
      <c r="CV50" s="19">
        <f t="shared" si="126"/>
        <v>0</v>
      </c>
      <c r="CW50" s="19">
        <f t="shared" si="127"/>
        <v>0</v>
      </c>
      <c r="CX50" s="19">
        <f t="shared" si="128"/>
        <v>0</v>
      </c>
      <c r="CY50" s="19">
        <f t="shared" si="129"/>
        <v>0</v>
      </c>
      <c r="CZ50" s="19">
        <f t="shared" si="130"/>
        <v>0</v>
      </c>
      <c r="DA50" s="19">
        <f t="shared" si="131"/>
        <v>0</v>
      </c>
      <c r="DB50" s="19">
        <f t="shared" si="132"/>
        <v>0</v>
      </c>
      <c r="DC50" s="19">
        <f t="shared" si="133"/>
        <v>0</v>
      </c>
      <c r="DD50" s="19">
        <f t="shared" si="134"/>
        <v>0</v>
      </c>
      <c r="DE50" s="19">
        <f t="shared" si="135"/>
        <v>0</v>
      </c>
      <c r="DF50" s="19">
        <f t="shared" si="136"/>
        <v>0</v>
      </c>
      <c r="DG50" s="19">
        <f t="shared" si="137"/>
        <v>0</v>
      </c>
      <c r="DH50" s="19">
        <f t="shared" si="138"/>
        <v>0</v>
      </c>
      <c r="DI50" s="19">
        <f t="shared" si="139"/>
        <v>0</v>
      </c>
      <c r="DJ50" s="19">
        <f t="shared" si="140"/>
        <v>0</v>
      </c>
      <c r="DK50" s="19">
        <f t="shared" si="141"/>
        <v>0</v>
      </c>
      <c r="DL50" s="19">
        <f t="shared" si="142"/>
        <v>0</v>
      </c>
      <c r="DM50" s="19">
        <f t="shared" si="143"/>
        <v>0</v>
      </c>
      <c r="DN50" s="19">
        <f t="shared" si="144"/>
        <v>0</v>
      </c>
      <c r="DO50" s="19">
        <f t="shared" si="145"/>
        <v>0</v>
      </c>
      <c r="DP50" s="19">
        <f t="shared" si="146"/>
        <v>0</v>
      </c>
      <c r="DQ50" s="19">
        <f t="shared" si="147"/>
        <v>0</v>
      </c>
      <c r="DR50" s="19">
        <f t="shared" si="148"/>
        <v>0</v>
      </c>
      <c r="DS50" s="19">
        <f t="shared" si="149"/>
        <v>0</v>
      </c>
      <c r="DT50" s="19">
        <f t="shared" si="150"/>
        <v>0</v>
      </c>
      <c r="DU50" s="19">
        <f t="shared" si="151"/>
        <v>0</v>
      </c>
      <c r="DV50" s="19">
        <f t="shared" si="152"/>
        <v>0</v>
      </c>
      <c r="DW50" s="19">
        <f t="shared" si="153"/>
        <v>0</v>
      </c>
      <c r="DX50" s="19">
        <f t="shared" si="154"/>
        <v>0</v>
      </c>
      <c r="DY50" s="19">
        <f t="shared" si="155"/>
        <v>0</v>
      </c>
      <c r="DZ50" s="19">
        <f t="shared" si="156"/>
        <v>0</v>
      </c>
      <c r="EA50" s="19">
        <f t="shared" si="157"/>
        <v>0</v>
      </c>
      <c r="EB50" s="19">
        <f t="shared" si="158"/>
        <v>0</v>
      </c>
      <c r="EC50" s="19">
        <f t="shared" si="159"/>
        <v>0</v>
      </c>
    </row>
    <row r="51" spans="1:133" s="78" customFormat="1" ht="18" customHeight="1" x14ac:dyDescent="0.25">
      <c r="A51" s="15">
        <v>48</v>
      </c>
      <c r="B51" s="108" t="s">
        <v>384</v>
      </c>
      <c r="C51" s="74" t="s">
        <v>368</v>
      </c>
      <c r="D51" s="16" t="s">
        <v>61</v>
      </c>
      <c r="E51" s="18">
        <v>45535</v>
      </c>
      <c r="F51" s="19">
        <v>9</v>
      </c>
      <c r="G51" s="19">
        <v>9</v>
      </c>
      <c r="H51" s="19">
        <v>9</v>
      </c>
      <c r="I51" s="19">
        <v>9</v>
      </c>
      <c r="J51" s="19" t="s">
        <v>603</v>
      </c>
      <c r="K51" s="19">
        <v>9</v>
      </c>
      <c r="L51" s="19" t="s">
        <v>15</v>
      </c>
      <c r="M51" s="19">
        <v>9</v>
      </c>
      <c r="N51" s="19">
        <v>9</v>
      </c>
      <c r="O51" s="19">
        <v>9</v>
      </c>
      <c r="P51" s="19">
        <v>10.5</v>
      </c>
      <c r="Q51" s="19">
        <v>10.5</v>
      </c>
      <c r="R51" s="19">
        <v>10.5</v>
      </c>
      <c r="S51" s="19" t="s">
        <v>15</v>
      </c>
      <c r="T51" s="19">
        <v>9</v>
      </c>
      <c r="U51" s="19">
        <v>10.5</v>
      </c>
      <c r="V51" s="19">
        <v>10.5</v>
      </c>
      <c r="W51" s="19">
        <v>10.5</v>
      </c>
      <c r="X51" s="19">
        <v>10.5</v>
      </c>
      <c r="Y51" s="19">
        <v>10.5</v>
      </c>
      <c r="Z51" s="19" t="s">
        <v>15</v>
      </c>
      <c r="AA51" s="19">
        <v>10.5</v>
      </c>
      <c r="AB51" s="19">
        <v>10.5</v>
      </c>
      <c r="AC51" s="19">
        <v>10.5</v>
      </c>
      <c r="AD51" s="19">
        <v>10.5</v>
      </c>
      <c r="AE51" s="19">
        <v>10.5</v>
      </c>
      <c r="AF51" s="19">
        <v>10.5</v>
      </c>
      <c r="AG51" s="19" t="s">
        <v>15</v>
      </c>
      <c r="AH51" s="19">
        <v>10.5</v>
      </c>
      <c r="AI51" s="19">
        <v>10.5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9</v>
      </c>
      <c r="AP51" s="19"/>
      <c r="AQ51" s="19"/>
      <c r="AR51" s="19"/>
      <c r="AS51" s="19">
        <v>0</v>
      </c>
      <c r="AT51" s="19">
        <f t="shared" si="80"/>
        <v>49</v>
      </c>
      <c r="AU51" s="19">
        <f t="shared" si="81"/>
        <v>0</v>
      </c>
      <c r="AV51" s="19">
        <f t="shared" si="82"/>
        <v>9</v>
      </c>
      <c r="AW51" s="16">
        <f t="shared" si="83"/>
        <v>30</v>
      </c>
      <c r="AX51" s="16">
        <f t="shared" si="84"/>
        <v>0</v>
      </c>
      <c r="AY51" s="16">
        <f t="shared" si="85"/>
        <v>0</v>
      </c>
      <c r="AZ51" s="21">
        <v>1000</v>
      </c>
      <c r="BA51" s="21">
        <v>100</v>
      </c>
      <c r="BB51" s="21">
        <v>0</v>
      </c>
      <c r="BC51" s="19">
        <f t="shared" si="86"/>
        <v>1000</v>
      </c>
      <c r="BD51" s="19">
        <f t="shared" si="87"/>
        <v>100</v>
      </c>
      <c r="BE51" s="19">
        <f t="shared" si="88"/>
        <v>311</v>
      </c>
      <c r="BF51" s="19">
        <f t="shared" si="89"/>
        <v>0</v>
      </c>
      <c r="BG51" s="19">
        <f t="shared" si="90"/>
        <v>0</v>
      </c>
      <c r="BH51" s="19">
        <f t="shared" si="91"/>
        <v>0</v>
      </c>
      <c r="BI51" s="19">
        <v>95</v>
      </c>
      <c r="BJ51" s="19">
        <f t="shared" si="92"/>
        <v>1506</v>
      </c>
      <c r="BK51" s="19">
        <v>0</v>
      </c>
      <c r="BL51" s="19">
        <v>0</v>
      </c>
      <c r="BM51" s="19">
        <f t="shared" si="93"/>
        <v>0</v>
      </c>
      <c r="BN51" s="19">
        <f t="shared" si="94"/>
        <v>1506</v>
      </c>
      <c r="BO51" s="19">
        <v>0</v>
      </c>
      <c r="BP51" s="19">
        <v>0</v>
      </c>
      <c r="BQ51" s="22">
        <f t="shared" si="95"/>
        <v>1506</v>
      </c>
      <c r="BR51" s="82">
        <f t="shared" si="96"/>
        <v>0</v>
      </c>
      <c r="BS51" s="19">
        <f t="shared" si="97"/>
        <v>0</v>
      </c>
      <c r="BT51" s="19">
        <f t="shared" si="98"/>
        <v>9</v>
      </c>
      <c r="BU51" s="19">
        <f t="shared" si="99"/>
        <v>9</v>
      </c>
      <c r="BV51" s="19">
        <f t="shared" si="100"/>
        <v>0</v>
      </c>
      <c r="BW51" s="19">
        <f t="shared" si="101"/>
        <v>0</v>
      </c>
      <c r="BX51" s="19">
        <f t="shared" si="102"/>
        <v>0</v>
      </c>
      <c r="BY51" s="19">
        <f t="shared" si="103"/>
        <v>0</v>
      </c>
      <c r="BZ51" s="19">
        <f t="shared" si="104"/>
        <v>16</v>
      </c>
      <c r="CA51" s="19">
        <f t="shared" si="105"/>
        <v>40</v>
      </c>
      <c r="CB51" s="19">
        <f t="shared" si="106"/>
        <v>0</v>
      </c>
      <c r="CC51" s="19">
        <f t="shared" si="107"/>
        <v>0</v>
      </c>
      <c r="CD51" s="19">
        <f t="shared" si="108"/>
        <v>0</v>
      </c>
      <c r="CE51" s="19">
        <f t="shared" si="109"/>
        <v>0</v>
      </c>
      <c r="CF51" s="19">
        <f t="shared" si="110"/>
        <v>0</v>
      </c>
      <c r="CG51" s="19">
        <f t="shared" si="111"/>
        <v>0</v>
      </c>
      <c r="CH51" s="19">
        <f t="shared" si="112"/>
        <v>0</v>
      </c>
      <c r="CI51" s="19">
        <f t="shared" si="113"/>
        <v>0</v>
      </c>
      <c r="CJ51" s="19">
        <f t="shared" si="114"/>
        <v>0</v>
      </c>
      <c r="CK51" s="19">
        <f t="shared" si="115"/>
        <v>0</v>
      </c>
      <c r="CL51" s="19">
        <f t="shared" si="116"/>
        <v>0</v>
      </c>
      <c r="CM51" s="19">
        <f t="shared" si="117"/>
        <v>0</v>
      </c>
      <c r="CN51" s="19">
        <f t="shared" si="118"/>
        <v>0</v>
      </c>
      <c r="CO51" s="19">
        <f t="shared" si="119"/>
        <v>0</v>
      </c>
      <c r="CP51" s="19">
        <f t="shared" si="120"/>
        <v>0</v>
      </c>
      <c r="CQ51" s="19">
        <f t="shared" si="121"/>
        <v>0</v>
      </c>
      <c r="CR51" s="19">
        <f t="shared" si="122"/>
        <v>0</v>
      </c>
      <c r="CS51" s="19">
        <f t="shared" si="123"/>
        <v>0</v>
      </c>
      <c r="CT51" s="19">
        <f t="shared" si="124"/>
        <v>0</v>
      </c>
      <c r="CU51" s="19">
        <f t="shared" si="125"/>
        <v>0</v>
      </c>
      <c r="CV51" s="19">
        <f t="shared" si="126"/>
        <v>0</v>
      </c>
      <c r="CW51" s="19">
        <f t="shared" si="127"/>
        <v>0</v>
      </c>
      <c r="CX51" s="19">
        <f t="shared" si="128"/>
        <v>0</v>
      </c>
      <c r="CY51" s="19">
        <f t="shared" si="129"/>
        <v>0</v>
      </c>
      <c r="CZ51" s="19">
        <f t="shared" si="130"/>
        <v>0</v>
      </c>
      <c r="DA51" s="19">
        <f t="shared" si="131"/>
        <v>0</v>
      </c>
      <c r="DB51" s="19">
        <f t="shared" si="132"/>
        <v>0</v>
      </c>
      <c r="DC51" s="19">
        <f t="shared" si="133"/>
        <v>0</v>
      </c>
      <c r="DD51" s="19">
        <f t="shared" si="134"/>
        <v>0</v>
      </c>
      <c r="DE51" s="19">
        <f t="shared" si="135"/>
        <v>0</v>
      </c>
      <c r="DF51" s="19">
        <f t="shared" si="136"/>
        <v>0</v>
      </c>
      <c r="DG51" s="19">
        <f t="shared" si="137"/>
        <v>0</v>
      </c>
      <c r="DH51" s="19">
        <f t="shared" si="138"/>
        <v>0</v>
      </c>
      <c r="DI51" s="19">
        <f t="shared" si="139"/>
        <v>0</v>
      </c>
      <c r="DJ51" s="19">
        <f t="shared" si="140"/>
        <v>0</v>
      </c>
      <c r="DK51" s="19">
        <f t="shared" si="141"/>
        <v>0</v>
      </c>
      <c r="DL51" s="19">
        <f t="shared" si="142"/>
        <v>0</v>
      </c>
      <c r="DM51" s="19">
        <f t="shared" si="143"/>
        <v>0</v>
      </c>
      <c r="DN51" s="19">
        <f t="shared" si="144"/>
        <v>0</v>
      </c>
      <c r="DO51" s="19">
        <f t="shared" si="145"/>
        <v>0</v>
      </c>
      <c r="DP51" s="19">
        <f t="shared" si="146"/>
        <v>0</v>
      </c>
      <c r="DQ51" s="19">
        <f t="shared" si="147"/>
        <v>0</v>
      </c>
      <c r="DR51" s="19">
        <f t="shared" si="148"/>
        <v>0</v>
      </c>
      <c r="DS51" s="19">
        <f t="shared" si="149"/>
        <v>0</v>
      </c>
      <c r="DT51" s="19">
        <f t="shared" si="150"/>
        <v>0</v>
      </c>
      <c r="DU51" s="19">
        <f t="shared" si="151"/>
        <v>0</v>
      </c>
      <c r="DV51" s="19">
        <f t="shared" si="152"/>
        <v>0</v>
      </c>
      <c r="DW51" s="19">
        <f t="shared" si="153"/>
        <v>0</v>
      </c>
      <c r="DX51" s="19">
        <f t="shared" si="154"/>
        <v>0</v>
      </c>
      <c r="DY51" s="19">
        <f t="shared" si="155"/>
        <v>0</v>
      </c>
      <c r="DZ51" s="19">
        <f t="shared" si="156"/>
        <v>0</v>
      </c>
      <c r="EA51" s="19">
        <f t="shared" si="157"/>
        <v>0</v>
      </c>
      <c r="EB51" s="19">
        <f t="shared" si="158"/>
        <v>0</v>
      </c>
      <c r="EC51" s="19">
        <f t="shared" si="159"/>
        <v>0</v>
      </c>
    </row>
    <row r="52" spans="1:133" s="78" customFormat="1" ht="18" customHeight="1" x14ac:dyDescent="0.25">
      <c r="A52" s="15">
        <v>49</v>
      </c>
      <c r="B52" s="108" t="s">
        <v>385</v>
      </c>
      <c r="C52" s="74" t="s">
        <v>369</v>
      </c>
      <c r="D52" s="16" t="s">
        <v>61</v>
      </c>
      <c r="E52" s="18">
        <v>45535</v>
      </c>
      <c r="F52" s="19">
        <v>10</v>
      </c>
      <c r="G52" s="19">
        <v>10</v>
      </c>
      <c r="H52" s="19">
        <v>10</v>
      </c>
      <c r="I52" s="19">
        <v>10</v>
      </c>
      <c r="J52" s="19" t="s">
        <v>603</v>
      </c>
      <c r="K52" s="19">
        <v>10</v>
      </c>
      <c r="L52" s="19" t="s">
        <v>15</v>
      </c>
      <c r="M52" s="19">
        <v>10</v>
      </c>
      <c r="N52" s="19">
        <v>10</v>
      </c>
      <c r="O52" s="19">
        <v>10</v>
      </c>
      <c r="P52" s="19">
        <v>10</v>
      </c>
      <c r="Q52" s="19">
        <v>10</v>
      </c>
      <c r="R52" s="19">
        <v>10</v>
      </c>
      <c r="S52" s="19" t="s">
        <v>15</v>
      </c>
      <c r="T52" s="19">
        <v>10</v>
      </c>
      <c r="U52" s="19">
        <v>10</v>
      </c>
      <c r="V52" s="19">
        <v>10</v>
      </c>
      <c r="W52" s="19">
        <v>10</v>
      </c>
      <c r="X52" s="19">
        <v>10</v>
      </c>
      <c r="Y52" s="19">
        <v>10</v>
      </c>
      <c r="Z52" s="19" t="s">
        <v>15</v>
      </c>
      <c r="AA52" s="19">
        <v>10</v>
      </c>
      <c r="AB52" s="19">
        <v>10</v>
      </c>
      <c r="AC52" s="19">
        <v>10</v>
      </c>
      <c r="AD52" s="19">
        <v>10</v>
      </c>
      <c r="AE52" s="19">
        <v>10</v>
      </c>
      <c r="AF52" s="19">
        <v>10</v>
      </c>
      <c r="AG52" s="19" t="s">
        <v>15</v>
      </c>
      <c r="AH52" s="19">
        <v>10</v>
      </c>
      <c r="AI52" s="19">
        <v>10</v>
      </c>
      <c r="AJ52" s="19">
        <v>6</v>
      </c>
      <c r="AK52" s="19">
        <v>0</v>
      </c>
      <c r="AL52" s="19">
        <v>0</v>
      </c>
      <c r="AM52" s="19">
        <v>0</v>
      </c>
      <c r="AN52" s="19">
        <v>0</v>
      </c>
      <c r="AO52" s="19">
        <v>10</v>
      </c>
      <c r="AP52" s="19"/>
      <c r="AQ52" s="19"/>
      <c r="AR52" s="19"/>
      <c r="AS52" s="19">
        <v>0</v>
      </c>
      <c r="AT52" s="19">
        <f t="shared" si="80"/>
        <v>50</v>
      </c>
      <c r="AU52" s="19">
        <f t="shared" si="81"/>
        <v>6</v>
      </c>
      <c r="AV52" s="19">
        <f t="shared" si="82"/>
        <v>10</v>
      </c>
      <c r="AW52" s="16">
        <f t="shared" si="83"/>
        <v>30</v>
      </c>
      <c r="AX52" s="16">
        <f t="shared" si="84"/>
        <v>0</v>
      </c>
      <c r="AY52" s="16">
        <f t="shared" si="85"/>
        <v>0</v>
      </c>
      <c r="AZ52" s="21">
        <v>1000</v>
      </c>
      <c r="BA52" s="21">
        <v>100</v>
      </c>
      <c r="BB52" s="21">
        <v>0</v>
      </c>
      <c r="BC52" s="19">
        <f t="shared" si="86"/>
        <v>1000</v>
      </c>
      <c r="BD52" s="19">
        <f t="shared" si="87"/>
        <v>100</v>
      </c>
      <c r="BE52" s="19">
        <f t="shared" si="88"/>
        <v>360</v>
      </c>
      <c r="BF52" s="19">
        <f t="shared" si="89"/>
        <v>0</v>
      </c>
      <c r="BG52" s="19">
        <f t="shared" si="90"/>
        <v>0</v>
      </c>
      <c r="BH52" s="19">
        <f t="shared" si="91"/>
        <v>0</v>
      </c>
      <c r="BI52" s="19">
        <v>95</v>
      </c>
      <c r="BJ52" s="19">
        <f t="shared" si="92"/>
        <v>1555</v>
      </c>
      <c r="BK52" s="19">
        <v>0</v>
      </c>
      <c r="BL52" s="19">
        <v>0</v>
      </c>
      <c r="BM52" s="19">
        <f t="shared" si="93"/>
        <v>0</v>
      </c>
      <c r="BN52" s="19">
        <f t="shared" si="94"/>
        <v>1555</v>
      </c>
      <c r="BO52" s="19">
        <v>0</v>
      </c>
      <c r="BP52" s="19">
        <v>0</v>
      </c>
      <c r="BQ52" s="22">
        <f t="shared" si="95"/>
        <v>1555</v>
      </c>
      <c r="BR52" s="82">
        <f t="shared" si="96"/>
        <v>0</v>
      </c>
      <c r="BS52" s="19">
        <f t="shared" si="97"/>
        <v>0</v>
      </c>
      <c r="BT52" s="19">
        <f t="shared" si="98"/>
        <v>0</v>
      </c>
      <c r="BU52" s="19">
        <f t="shared" si="99"/>
        <v>0</v>
      </c>
      <c r="BV52" s="19">
        <f t="shared" si="100"/>
        <v>0</v>
      </c>
      <c r="BW52" s="19">
        <f t="shared" si="101"/>
        <v>0</v>
      </c>
      <c r="BX52" s="19">
        <f t="shared" si="102"/>
        <v>25</v>
      </c>
      <c r="BY52" s="19">
        <f t="shared" si="103"/>
        <v>50</v>
      </c>
      <c r="BZ52" s="19">
        <f t="shared" si="104"/>
        <v>0</v>
      </c>
      <c r="CA52" s="19">
        <f t="shared" si="105"/>
        <v>0</v>
      </c>
      <c r="CB52" s="19">
        <f t="shared" si="106"/>
        <v>0</v>
      </c>
      <c r="CC52" s="19">
        <f t="shared" si="107"/>
        <v>0</v>
      </c>
      <c r="CD52" s="19">
        <f t="shared" si="108"/>
        <v>0</v>
      </c>
      <c r="CE52" s="19">
        <f t="shared" si="109"/>
        <v>0</v>
      </c>
      <c r="CF52" s="19">
        <f t="shared" si="110"/>
        <v>0</v>
      </c>
      <c r="CG52" s="19">
        <f t="shared" si="111"/>
        <v>0</v>
      </c>
      <c r="CH52" s="19">
        <f t="shared" si="112"/>
        <v>0</v>
      </c>
      <c r="CI52" s="19">
        <f t="shared" si="113"/>
        <v>0</v>
      </c>
      <c r="CJ52" s="19">
        <f t="shared" si="114"/>
        <v>0</v>
      </c>
      <c r="CK52" s="19">
        <f t="shared" si="115"/>
        <v>0</v>
      </c>
      <c r="CL52" s="19">
        <f t="shared" si="116"/>
        <v>0</v>
      </c>
      <c r="CM52" s="19">
        <f t="shared" si="117"/>
        <v>0</v>
      </c>
      <c r="CN52" s="19">
        <f t="shared" si="118"/>
        <v>0</v>
      </c>
      <c r="CO52" s="19">
        <f t="shared" si="119"/>
        <v>0</v>
      </c>
      <c r="CP52" s="19">
        <f t="shared" si="120"/>
        <v>0</v>
      </c>
      <c r="CQ52" s="19">
        <f t="shared" si="121"/>
        <v>0</v>
      </c>
      <c r="CR52" s="19">
        <f t="shared" si="122"/>
        <v>0</v>
      </c>
      <c r="CS52" s="19">
        <f t="shared" si="123"/>
        <v>0</v>
      </c>
      <c r="CT52" s="19">
        <f t="shared" si="124"/>
        <v>0</v>
      </c>
      <c r="CU52" s="19">
        <f t="shared" si="125"/>
        <v>0</v>
      </c>
      <c r="CV52" s="19">
        <f t="shared" si="126"/>
        <v>0</v>
      </c>
      <c r="CW52" s="19">
        <f t="shared" si="127"/>
        <v>0</v>
      </c>
      <c r="CX52" s="19">
        <f t="shared" si="128"/>
        <v>0</v>
      </c>
      <c r="CY52" s="19">
        <f t="shared" si="129"/>
        <v>0</v>
      </c>
      <c r="CZ52" s="19">
        <f t="shared" si="130"/>
        <v>0</v>
      </c>
      <c r="DA52" s="19">
        <f t="shared" si="131"/>
        <v>0</v>
      </c>
      <c r="DB52" s="19">
        <f t="shared" si="132"/>
        <v>0</v>
      </c>
      <c r="DC52" s="19">
        <f t="shared" si="133"/>
        <v>0</v>
      </c>
      <c r="DD52" s="19">
        <f t="shared" si="134"/>
        <v>0</v>
      </c>
      <c r="DE52" s="19">
        <f t="shared" si="135"/>
        <v>0</v>
      </c>
      <c r="DF52" s="19">
        <f t="shared" si="136"/>
        <v>0</v>
      </c>
      <c r="DG52" s="19">
        <f t="shared" si="137"/>
        <v>0</v>
      </c>
      <c r="DH52" s="19">
        <f t="shared" si="138"/>
        <v>0</v>
      </c>
      <c r="DI52" s="19">
        <f t="shared" si="139"/>
        <v>0</v>
      </c>
      <c r="DJ52" s="19">
        <f t="shared" si="140"/>
        <v>0</v>
      </c>
      <c r="DK52" s="19">
        <f t="shared" si="141"/>
        <v>0</v>
      </c>
      <c r="DL52" s="19">
        <f t="shared" si="142"/>
        <v>0</v>
      </c>
      <c r="DM52" s="19">
        <f t="shared" si="143"/>
        <v>0</v>
      </c>
      <c r="DN52" s="19">
        <f t="shared" si="144"/>
        <v>0</v>
      </c>
      <c r="DO52" s="19">
        <f t="shared" si="145"/>
        <v>0</v>
      </c>
      <c r="DP52" s="19">
        <f t="shared" si="146"/>
        <v>0</v>
      </c>
      <c r="DQ52" s="19">
        <f t="shared" si="147"/>
        <v>0</v>
      </c>
      <c r="DR52" s="19">
        <f t="shared" si="148"/>
        <v>0</v>
      </c>
      <c r="DS52" s="19">
        <f t="shared" si="149"/>
        <v>0</v>
      </c>
      <c r="DT52" s="19">
        <f t="shared" si="150"/>
        <v>0</v>
      </c>
      <c r="DU52" s="19">
        <f t="shared" si="151"/>
        <v>0</v>
      </c>
      <c r="DV52" s="19">
        <f t="shared" si="152"/>
        <v>0</v>
      </c>
      <c r="DW52" s="19">
        <f t="shared" si="153"/>
        <v>0</v>
      </c>
      <c r="DX52" s="19">
        <f t="shared" si="154"/>
        <v>0</v>
      </c>
      <c r="DY52" s="19">
        <f t="shared" si="155"/>
        <v>0</v>
      </c>
      <c r="DZ52" s="19">
        <f t="shared" si="156"/>
        <v>0</v>
      </c>
      <c r="EA52" s="19">
        <f t="shared" si="157"/>
        <v>0</v>
      </c>
      <c r="EB52" s="19">
        <f t="shared" si="158"/>
        <v>0</v>
      </c>
      <c r="EC52" s="19">
        <f t="shared" si="159"/>
        <v>0</v>
      </c>
    </row>
    <row r="53" spans="1:133" s="78" customFormat="1" ht="18" customHeight="1" x14ac:dyDescent="0.25">
      <c r="A53" s="15">
        <v>50</v>
      </c>
      <c r="B53" s="108" t="s">
        <v>386</v>
      </c>
      <c r="C53" s="74" t="s">
        <v>370</v>
      </c>
      <c r="D53" s="16" t="s">
        <v>61</v>
      </c>
      <c r="E53" s="18">
        <v>45535</v>
      </c>
      <c r="F53" s="19">
        <v>10</v>
      </c>
      <c r="G53" s="19">
        <v>10</v>
      </c>
      <c r="H53" s="19">
        <v>10</v>
      </c>
      <c r="I53" s="19">
        <v>10</v>
      </c>
      <c r="J53" s="19" t="s">
        <v>603</v>
      </c>
      <c r="K53" s="19">
        <v>10</v>
      </c>
      <c r="L53" s="19" t="s">
        <v>15</v>
      </c>
      <c r="M53" s="19">
        <v>10</v>
      </c>
      <c r="N53" s="19">
        <v>10</v>
      </c>
      <c r="O53" s="19">
        <v>10</v>
      </c>
      <c r="P53" s="19">
        <v>10</v>
      </c>
      <c r="Q53" s="19">
        <v>10</v>
      </c>
      <c r="R53" s="19">
        <v>10</v>
      </c>
      <c r="S53" s="19" t="s">
        <v>15</v>
      </c>
      <c r="T53" s="19">
        <v>10</v>
      </c>
      <c r="U53" s="19">
        <v>10</v>
      </c>
      <c r="V53" s="19">
        <v>10</v>
      </c>
      <c r="W53" s="19">
        <v>10</v>
      </c>
      <c r="X53" s="19">
        <v>10</v>
      </c>
      <c r="Y53" s="19">
        <v>10</v>
      </c>
      <c r="Z53" s="19" t="s">
        <v>15</v>
      </c>
      <c r="AA53" s="19">
        <v>10</v>
      </c>
      <c r="AB53" s="19">
        <v>10</v>
      </c>
      <c r="AC53" s="19">
        <v>10</v>
      </c>
      <c r="AD53" s="19">
        <v>10</v>
      </c>
      <c r="AE53" s="19">
        <v>10</v>
      </c>
      <c r="AF53" s="19">
        <v>10</v>
      </c>
      <c r="AG53" s="19" t="s">
        <v>15</v>
      </c>
      <c r="AH53" s="19">
        <v>10</v>
      </c>
      <c r="AI53" s="19">
        <v>10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/>
      <c r="AQ53" s="19"/>
      <c r="AR53" s="19"/>
      <c r="AS53" s="19">
        <v>0</v>
      </c>
      <c r="AT53" s="19">
        <f t="shared" si="80"/>
        <v>50</v>
      </c>
      <c r="AU53" s="19">
        <f t="shared" si="81"/>
        <v>0</v>
      </c>
      <c r="AV53" s="19">
        <f t="shared" si="82"/>
        <v>0</v>
      </c>
      <c r="AW53" s="16">
        <f t="shared" si="83"/>
        <v>30</v>
      </c>
      <c r="AX53" s="16">
        <f t="shared" si="84"/>
        <v>0</v>
      </c>
      <c r="AY53" s="16">
        <f t="shared" si="85"/>
        <v>0</v>
      </c>
      <c r="AZ53" s="21">
        <v>950</v>
      </c>
      <c r="BA53" s="21">
        <v>100</v>
      </c>
      <c r="BB53" s="21">
        <v>0</v>
      </c>
      <c r="BC53" s="19">
        <f t="shared" si="86"/>
        <v>950</v>
      </c>
      <c r="BD53" s="19">
        <f t="shared" si="87"/>
        <v>100</v>
      </c>
      <c r="BE53" s="19">
        <f t="shared" si="88"/>
        <v>247</v>
      </c>
      <c r="BF53" s="19">
        <f t="shared" si="89"/>
        <v>0</v>
      </c>
      <c r="BG53" s="19">
        <f t="shared" si="90"/>
        <v>0</v>
      </c>
      <c r="BH53" s="19">
        <f t="shared" si="91"/>
        <v>0</v>
      </c>
      <c r="BI53" s="19">
        <v>95</v>
      </c>
      <c r="BJ53" s="19">
        <f t="shared" si="92"/>
        <v>1392</v>
      </c>
      <c r="BK53" s="19">
        <v>0</v>
      </c>
      <c r="BL53" s="19">
        <v>0</v>
      </c>
      <c r="BM53" s="19">
        <f t="shared" si="93"/>
        <v>0</v>
      </c>
      <c r="BN53" s="19">
        <f t="shared" si="94"/>
        <v>1392</v>
      </c>
      <c r="BO53" s="19">
        <v>0</v>
      </c>
      <c r="BP53" s="19">
        <v>0</v>
      </c>
      <c r="BQ53" s="22">
        <f t="shared" si="95"/>
        <v>1392</v>
      </c>
      <c r="BR53" s="82">
        <f t="shared" si="96"/>
        <v>0</v>
      </c>
      <c r="BS53" s="19">
        <f t="shared" si="97"/>
        <v>0</v>
      </c>
      <c r="BT53" s="19">
        <f t="shared" si="98"/>
        <v>0</v>
      </c>
      <c r="BU53" s="19">
        <f t="shared" si="99"/>
        <v>0</v>
      </c>
      <c r="BV53" s="19">
        <f t="shared" si="100"/>
        <v>0</v>
      </c>
      <c r="BW53" s="19">
        <f t="shared" si="101"/>
        <v>0</v>
      </c>
      <c r="BX53" s="19">
        <f t="shared" si="102"/>
        <v>25</v>
      </c>
      <c r="BY53" s="19">
        <f t="shared" si="103"/>
        <v>50</v>
      </c>
      <c r="BZ53" s="19">
        <f t="shared" si="104"/>
        <v>0</v>
      </c>
      <c r="CA53" s="19">
        <f t="shared" si="105"/>
        <v>0</v>
      </c>
      <c r="CB53" s="19">
        <f t="shared" si="106"/>
        <v>0</v>
      </c>
      <c r="CC53" s="19">
        <f t="shared" si="107"/>
        <v>0</v>
      </c>
      <c r="CD53" s="19">
        <f t="shared" si="108"/>
        <v>0</v>
      </c>
      <c r="CE53" s="19">
        <f t="shared" si="109"/>
        <v>0</v>
      </c>
      <c r="CF53" s="19">
        <f t="shared" si="110"/>
        <v>0</v>
      </c>
      <c r="CG53" s="19">
        <f t="shared" si="111"/>
        <v>0</v>
      </c>
      <c r="CH53" s="19">
        <f t="shared" si="112"/>
        <v>0</v>
      </c>
      <c r="CI53" s="19">
        <f t="shared" si="113"/>
        <v>0</v>
      </c>
      <c r="CJ53" s="19">
        <f t="shared" si="114"/>
        <v>0</v>
      </c>
      <c r="CK53" s="19">
        <f t="shared" si="115"/>
        <v>0</v>
      </c>
      <c r="CL53" s="19">
        <f t="shared" si="116"/>
        <v>0</v>
      </c>
      <c r="CM53" s="19">
        <f t="shared" si="117"/>
        <v>0</v>
      </c>
      <c r="CN53" s="19">
        <f t="shared" si="118"/>
        <v>0</v>
      </c>
      <c r="CO53" s="19">
        <f t="shared" si="119"/>
        <v>0</v>
      </c>
      <c r="CP53" s="19">
        <f t="shared" si="120"/>
        <v>0</v>
      </c>
      <c r="CQ53" s="19">
        <f t="shared" si="121"/>
        <v>0</v>
      </c>
      <c r="CR53" s="19">
        <f t="shared" si="122"/>
        <v>0</v>
      </c>
      <c r="CS53" s="19">
        <f t="shared" si="123"/>
        <v>0</v>
      </c>
      <c r="CT53" s="19">
        <f t="shared" si="124"/>
        <v>0</v>
      </c>
      <c r="CU53" s="19">
        <f t="shared" si="125"/>
        <v>0</v>
      </c>
      <c r="CV53" s="19">
        <f t="shared" si="126"/>
        <v>0</v>
      </c>
      <c r="CW53" s="19">
        <f t="shared" si="127"/>
        <v>0</v>
      </c>
      <c r="CX53" s="19">
        <f t="shared" si="128"/>
        <v>0</v>
      </c>
      <c r="CY53" s="19">
        <f t="shared" si="129"/>
        <v>0</v>
      </c>
      <c r="CZ53" s="19">
        <f t="shared" si="130"/>
        <v>0</v>
      </c>
      <c r="DA53" s="19">
        <f t="shared" si="131"/>
        <v>0</v>
      </c>
      <c r="DB53" s="19">
        <f t="shared" si="132"/>
        <v>0</v>
      </c>
      <c r="DC53" s="19">
        <f t="shared" si="133"/>
        <v>0</v>
      </c>
      <c r="DD53" s="19">
        <f t="shared" si="134"/>
        <v>0</v>
      </c>
      <c r="DE53" s="19">
        <f t="shared" si="135"/>
        <v>0</v>
      </c>
      <c r="DF53" s="19">
        <f t="shared" si="136"/>
        <v>0</v>
      </c>
      <c r="DG53" s="19">
        <f t="shared" si="137"/>
        <v>0</v>
      </c>
      <c r="DH53" s="19">
        <f t="shared" si="138"/>
        <v>0</v>
      </c>
      <c r="DI53" s="19">
        <f t="shared" si="139"/>
        <v>0</v>
      </c>
      <c r="DJ53" s="19">
        <f t="shared" si="140"/>
        <v>0</v>
      </c>
      <c r="DK53" s="19">
        <f t="shared" si="141"/>
        <v>0</v>
      </c>
      <c r="DL53" s="19">
        <f t="shared" si="142"/>
        <v>0</v>
      </c>
      <c r="DM53" s="19">
        <f t="shared" si="143"/>
        <v>0</v>
      </c>
      <c r="DN53" s="19">
        <f t="shared" si="144"/>
        <v>0</v>
      </c>
      <c r="DO53" s="19">
        <f t="shared" si="145"/>
        <v>0</v>
      </c>
      <c r="DP53" s="19">
        <f t="shared" si="146"/>
        <v>0</v>
      </c>
      <c r="DQ53" s="19">
        <f t="shared" si="147"/>
        <v>0</v>
      </c>
      <c r="DR53" s="19">
        <f t="shared" si="148"/>
        <v>0</v>
      </c>
      <c r="DS53" s="19">
        <f t="shared" si="149"/>
        <v>0</v>
      </c>
      <c r="DT53" s="19">
        <f t="shared" si="150"/>
        <v>0</v>
      </c>
      <c r="DU53" s="19">
        <f t="shared" si="151"/>
        <v>0</v>
      </c>
      <c r="DV53" s="19">
        <f t="shared" si="152"/>
        <v>0</v>
      </c>
      <c r="DW53" s="19">
        <f t="shared" si="153"/>
        <v>0</v>
      </c>
      <c r="DX53" s="19">
        <f t="shared" si="154"/>
        <v>0</v>
      </c>
      <c r="DY53" s="19">
        <f t="shared" si="155"/>
        <v>0</v>
      </c>
      <c r="DZ53" s="19">
        <f t="shared" si="156"/>
        <v>0</v>
      </c>
      <c r="EA53" s="19">
        <f t="shared" si="157"/>
        <v>0</v>
      </c>
      <c r="EB53" s="19">
        <f t="shared" si="158"/>
        <v>0</v>
      </c>
      <c r="EC53" s="19">
        <f t="shared" si="159"/>
        <v>0</v>
      </c>
    </row>
    <row r="54" spans="1:133" s="78" customFormat="1" ht="18" customHeight="1" x14ac:dyDescent="0.25">
      <c r="A54" s="15">
        <v>51</v>
      </c>
      <c r="B54" s="108" t="s">
        <v>387</v>
      </c>
      <c r="C54" s="74" t="s">
        <v>372</v>
      </c>
      <c r="D54" s="16" t="s">
        <v>61</v>
      </c>
      <c r="E54" s="18">
        <v>45535</v>
      </c>
      <c r="F54" s="19">
        <v>9</v>
      </c>
      <c r="G54" s="19">
        <v>9</v>
      </c>
      <c r="H54" s="19">
        <v>9</v>
      </c>
      <c r="I54" s="19">
        <v>9</v>
      </c>
      <c r="J54" s="19" t="s">
        <v>603</v>
      </c>
      <c r="K54" s="19">
        <v>9</v>
      </c>
      <c r="L54" s="19" t="s">
        <v>15</v>
      </c>
      <c r="M54" s="19">
        <v>9</v>
      </c>
      <c r="N54" s="19">
        <v>9</v>
      </c>
      <c r="O54" s="19">
        <v>9</v>
      </c>
      <c r="P54" s="19">
        <v>9</v>
      </c>
      <c r="Q54" s="19">
        <v>9</v>
      </c>
      <c r="R54" s="19">
        <v>10.5</v>
      </c>
      <c r="S54" s="19" t="s">
        <v>15</v>
      </c>
      <c r="T54" s="19">
        <v>9</v>
      </c>
      <c r="U54" s="19">
        <v>10.5</v>
      </c>
      <c r="V54" s="19">
        <v>10.5</v>
      </c>
      <c r="W54" s="19">
        <v>10.5</v>
      </c>
      <c r="X54" s="19">
        <v>10.5</v>
      </c>
      <c r="Y54" s="19">
        <v>10.5</v>
      </c>
      <c r="Z54" s="19" t="s">
        <v>15</v>
      </c>
      <c r="AA54" s="19">
        <v>10.5</v>
      </c>
      <c r="AB54" s="19">
        <v>10.5</v>
      </c>
      <c r="AC54" s="19">
        <v>10.5</v>
      </c>
      <c r="AD54" s="19">
        <v>10.5</v>
      </c>
      <c r="AE54" s="19">
        <v>10.5</v>
      </c>
      <c r="AF54" s="19">
        <v>10.5</v>
      </c>
      <c r="AG54" s="19" t="s">
        <v>15</v>
      </c>
      <c r="AH54" s="19">
        <v>10.5</v>
      </c>
      <c r="AI54" s="19">
        <v>10.5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9</v>
      </c>
      <c r="AP54" s="19"/>
      <c r="AQ54" s="19"/>
      <c r="AR54" s="19"/>
      <c r="AS54" s="19">
        <v>0</v>
      </c>
      <c r="AT54" s="19">
        <f t="shared" si="80"/>
        <v>46</v>
      </c>
      <c r="AU54" s="19">
        <f t="shared" si="81"/>
        <v>0</v>
      </c>
      <c r="AV54" s="19">
        <f t="shared" si="82"/>
        <v>9</v>
      </c>
      <c r="AW54" s="16">
        <f t="shared" si="83"/>
        <v>30</v>
      </c>
      <c r="AX54" s="16">
        <f t="shared" si="84"/>
        <v>0</v>
      </c>
      <c r="AY54" s="16">
        <f t="shared" si="85"/>
        <v>0</v>
      </c>
      <c r="AZ54" s="21">
        <v>1000</v>
      </c>
      <c r="BA54" s="21">
        <v>100</v>
      </c>
      <c r="BB54" s="21">
        <v>0</v>
      </c>
      <c r="BC54" s="19">
        <f t="shared" si="86"/>
        <v>1000</v>
      </c>
      <c r="BD54" s="19">
        <f t="shared" si="87"/>
        <v>100</v>
      </c>
      <c r="BE54" s="19">
        <f t="shared" si="88"/>
        <v>296</v>
      </c>
      <c r="BF54" s="19">
        <f t="shared" si="89"/>
        <v>0</v>
      </c>
      <c r="BG54" s="19">
        <f t="shared" si="90"/>
        <v>0</v>
      </c>
      <c r="BH54" s="19">
        <f t="shared" si="91"/>
        <v>0</v>
      </c>
      <c r="BI54" s="19">
        <v>95</v>
      </c>
      <c r="BJ54" s="19">
        <f t="shared" si="92"/>
        <v>1491</v>
      </c>
      <c r="BK54" s="19">
        <v>0</v>
      </c>
      <c r="BL54" s="19">
        <v>0</v>
      </c>
      <c r="BM54" s="19">
        <f t="shared" si="93"/>
        <v>0</v>
      </c>
      <c r="BN54" s="19">
        <f t="shared" si="94"/>
        <v>1491</v>
      </c>
      <c r="BO54" s="19">
        <v>0</v>
      </c>
      <c r="BP54" s="19">
        <v>0</v>
      </c>
      <c r="BQ54" s="22">
        <f t="shared" si="95"/>
        <v>1491</v>
      </c>
      <c r="BR54" s="82">
        <f t="shared" si="96"/>
        <v>0</v>
      </c>
      <c r="BS54" s="19">
        <f t="shared" si="97"/>
        <v>0</v>
      </c>
      <c r="BT54" s="19">
        <f t="shared" si="98"/>
        <v>11</v>
      </c>
      <c r="BU54" s="19">
        <f t="shared" si="99"/>
        <v>11</v>
      </c>
      <c r="BV54" s="19">
        <f t="shared" si="100"/>
        <v>0</v>
      </c>
      <c r="BW54" s="19">
        <f t="shared" si="101"/>
        <v>0</v>
      </c>
      <c r="BX54" s="19">
        <f t="shared" si="102"/>
        <v>0</v>
      </c>
      <c r="BY54" s="19">
        <f t="shared" si="103"/>
        <v>0</v>
      </c>
      <c r="BZ54" s="19">
        <f t="shared" si="104"/>
        <v>14</v>
      </c>
      <c r="CA54" s="19">
        <f t="shared" si="105"/>
        <v>35</v>
      </c>
      <c r="CB54" s="19">
        <f t="shared" si="106"/>
        <v>0</v>
      </c>
      <c r="CC54" s="19">
        <f t="shared" si="107"/>
        <v>0</v>
      </c>
      <c r="CD54" s="19">
        <f t="shared" si="108"/>
        <v>0</v>
      </c>
      <c r="CE54" s="19">
        <f t="shared" si="109"/>
        <v>0</v>
      </c>
      <c r="CF54" s="19">
        <f t="shared" si="110"/>
        <v>0</v>
      </c>
      <c r="CG54" s="19">
        <f t="shared" si="111"/>
        <v>0</v>
      </c>
      <c r="CH54" s="19">
        <f t="shared" si="112"/>
        <v>0</v>
      </c>
      <c r="CI54" s="19">
        <f t="shared" si="113"/>
        <v>0</v>
      </c>
      <c r="CJ54" s="19">
        <f t="shared" si="114"/>
        <v>0</v>
      </c>
      <c r="CK54" s="19">
        <f t="shared" si="115"/>
        <v>0</v>
      </c>
      <c r="CL54" s="19">
        <f t="shared" si="116"/>
        <v>0</v>
      </c>
      <c r="CM54" s="19">
        <f t="shared" si="117"/>
        <v>0</v>
      </c>
      <c r="CN54" s="19">
        <f t="shared" si="118"/>
        <v>0</v>
      </c>
      <c r="CO54" s="19">
        <f t="shared" si="119"/>
        <v>0</v>
      </c>
      <c r="CP54" s="19">
        <f t="shared" si="120"/>
        <v>0</v>
      </c>
      <c r="CQ54" s="19">
        <f t="shared" si="121"/>
        <v>0</v>
      </c>
      <c r="CR54" s="19">
        <f t="shared" si="122"/>
        <v>0</v>
      </c>
      <c r="CS54" s="19">
        <f t="shared" si="123"/>
        <v>0</v>
      </c>
      <c r="CT54" s="19">
        <f t="shared" si="124"/>
        <v>0</v>
      </c>
      <c r="CU54" s="19">
        <f t="shared" si="125"/>
        <v>0</v>
      </c>
      <c r="CV54" s="19">
        <f t="shared" si="126"/>
        <v>0</v>
      </c>
      <c r="CW54" s="19">
        <f t="shared" si="127"/>
        <v>0</v>
      </c>
      <c r="CX54" s="19">
        <f t="shared" si="128"/>
        <v>0</v>
      </c>
      <c r="CY54" s="19">
        <f t="shared" si="129"/>
        <v>0</v>
      </c>
      <c r="CZ54" s="19">
        <f t="shared" si="130"/>
        <v>0</v>
      </c>
      <c r="DA54" s="19">
        <f t="shared" si="131"/>
        <v>0</v>
      </c>
      <c r="DB54" s="19">
        <f t="shared" si="132"/>
        <v>0</v>
      </c>
      <c r="DC54" s="19">
        <f t="shared" si="133"/>
        <v>0</v>
      </c>
      <c r="DD54" s="19">
        <f t="shared" si="134"/>
        <v>0</v>
      </c>
      <c r="DE54" s="19">
        <f t="shared" si="135"/>
        <v>0</v>
      </c>
      <c r="DF54" s="19">
        <f t="shared" si="136"/>
        <v>0</v>
      </c>
      <c r="DG54" s="19">
        <f t="shared" si="137"/>
        <v>0</v>
      </c>
      <c r="DH54" s="19">
        <f t="shared" si="138"/>
        <v>0</v>
      </c>
      <c r="DI54" s="19">
        <f t="shared" si="139"/>
        <v>0</v>
      </c>
      <c r="DJ54" s="19">
        <f t="shared" si="140"/>
        <v>0</v>
      </c>
      <c r="DK54" s="19">
        <f t="shared" si="141"/>
        <v>0</v>
      </c>
      <c r="DL54" s="19">
        <f t="shared" si="142"/>
        <v>0</v>
      </c>
      <c r="DM54" s="19">
        <f t="shared" si="143"/>
        <v>0</v>
      </c>
      <c r="DN54" s="19">
        <f t="shared" si="144"/>
        <v>0</v>
      </c>
      <c r="DO54" s="19">
        <f t="shared" si="145"/>
        <v>0</v>
      </c>
      <c r="DP54" s="19">
        <f t="shared" si="146"/>
        <v>0</v>
      </c>
      <c r="DQ54" s="19">
        <f t="shared" si="147"/>
        <v>0</v>
      </c>
      <c r="DR54" s="19">
        <f t="shared" si="148"/>
        <v>0</v>
      </c>
      <c r="DS54" s="19">
        <f t="shared" si="149"/>
        <v>0</v>
      </c>
      <c r="DT54" s="19">
        <f t="shared" si="150"/>
        <v>0</v>
      </c>
      <c r="DU54" s="19">
        <f t="shared" si="151"/>
        <v>0</v>
      </c>
      <c r="DV54" s="19">
        <f t="shared" si="152"/>
        <v>0</v>
      </c>
      <c r="DW54" s="19">
        <f t="shared" si="153"/>
        <v>0</v>
      </c>
      <c r="DX54" s="19">
        <f t="shared" si="154"/>
        <v>0</v>
      </c>
      <c r="DY54" s="19">
        <f t="shared" si="155"/>
        <v>0</v>
      </c>
      <c r="DZ54" s="19">
        <f t="shared" si="156"/>
        <v>0</v>
      </c>
      <c r="EA54" s="19">
        <f t="shared" si="157"/>
        <v>0</v>
      </c>
      <c r="EB54" s="19">
        <f t="shared" si="158"/>
        <v>0</v>
      </c>
      <c r="EC54" s="19">
        <f t="shared" si="159"/>
        <v>0</v>
      </c>
    </row>
    <row r="55" spans="1:133" s="78" customFormat="1" ht="18" customHeight="1" x14ac:dyDescent="0.25">
      <c r="A55" s="15">
        <v>52</v>
      </c>
      <c r="B55" s="108" t="s">
        <v>388</v>
      </c>
      <c r="C55" s="74" t="s">
        <v>390</v>
      </c>
      <c r="D55" s="16" t="s">
        <v>61</v>
      </c>
      <c r="E55" s="18">
        <v>45544</v>
      </c>
      <c r="F55" s="19">
        <v>10</v>
      </c>
      <c r="G55" s="19">
        <v>10</v>
      </c>
      <c r="H55" s="19">
        <v>10</v>
      </c>
      <c r="I55" s="19">
        <v>10</v>
      </c>
      <c r="J55" s="19" t="s">
        <v>603</v>
      </c>
      <c r="K55" s="19">
        <v>10</v>
      </c>
      <c r="L55" s="19" t="s">
        <v>15</v>
      </c>
      <c r="M55" s="19">
        <v>10</v>
      </c>
      <c r="N55" s="19">
        <v>10</v>
      </c>
      <c r="O55" s="19">
        <v>10</v>
      </c>
      <c r="P55" s="19">
        <v>10</v>
      </c>
      <c r="Q55" s="19">
        <v>10</v>
      </c>
      <c r="R55" s="19">
        <v>10</v>
      </c>
      <c r="S55" s="19" t="s">
        <v>15</v>
      </c>
      <c r="T55" s="19">
        <v>10</v>
      </c>
      <c r="U55" s="19">
        <v>10</v>
      </c>
      <c r="V55" s="19">
        <v>10</v>
      </c>
      <c r="W55" s="19">
        <v>10</v>
      </c>
      <c r="X55" s="19">
        <v>10</v>
      </c>
      <c r="Y55" s="19">
        <v>10</v>
      </c>
      <c r="Z55" s="19" t="s">
        <v>15</v>
      </c>
      <c r="AA55" s="19">
        <v>10</v>
      </c>
      <c r="AB55" s="19">
        <v>10</v>
      </c>
      <c r="AC55" s="19">
        <v>10</v>
      </c>
      <c r="AD55" s="19">
        <v>10</v>
      </c>
      <c r="AE55" s="19">
        <v>10</v>
      </c>
      <c r="AF55" s="19">
        <v>10</v>
      </c>
      <c r="AG55" s="19" t="s">
        <v>15</v>
      </c>
      <c r="AH55" s="19">
        <v>10</v>
      </c>
      <c r="AI55" s="19">
        <v>10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/>
      <c r="AQ55" s="19"/>
      <c r="AR55" s="19"/>
      <c r="AS55" s="19">
        <v>0</v>
      </c>
      <c r="AT55" s="19">
        <f t="shared" si="80"/>
        <v>50</v>
      </c>
      <c r="AU55" s="19">
        <f t="shared" si="81"/>
        <v>0</v>
      </c>
      <c r="AV55" s="19">
        <f t="shared" si="82"/>
        <v>0</v>
      </c>
      <c r="AW55" s="16">
        <f t="shared" si="83"/>
        <v>30</v>
      </c>
      <c r="AX55" s="16">
        <f t="shared" si="84"/>
        <v>0</v>
      </c>
      <c r="AY55" s="16">
        <f t="shared" si="85"/>
        <v>0</v>
      </c>
      <c r="AZ55" s="21">
        <v>1000</v>
      </c>
      <c r="BA55" s="21">
        <v>100</v>
      </c>
      <c r="BB55" s="21">
        <v>0</v>
      </c>
      <c r="BC55" s="19">
        <f t="shared" si="86"/>
        <v>1000</v>
      </c>
      <c r="BD55" s="19">
        <f t="shared" si="87"/>
        <v>100</v>
      </c>
      <c r="BE55" s="19">
        <f t="shared" si="88"/>
        <v>260</v>
      </c>
      <c r="BF55" s="19">
        <f t="shared" si="89"/>
        <v>0</v>
      </c>
      <c r="BG55" s="19">
        <f t="shared" si="90"/>
        <v>0</v>
      </c>
      <c r="BH55" s="19">
        <f t="shared" si="91"/>
        <v>0</v>
      </c>
      <c r="BI55" s="19">
        <v>95</v>
      </c>
      <c r="BJ55" s="19">
        <f t="shared" si="92"/>
        <v>1455</v>
      </c>
      <c r="BK55" s="19">
        <v>0</v>
      </c>
      <c r="BL55" s="19">
        <v>0</v>
      </c>
      <c r="BM55" s="19">
        <f t="shared" si="93"/>
        <v>0</v>
      </c>
      <c r="BN55" s="19">
        <f t="shared" si="94"/>
        <v>1455</v>
      </c>
      <c r="BO55" s="19">
        <v>0</v>
      </c>
      <c r="BP55" s="19">
        <v>0</v>
      </c>
      <c r="BQ55" s="22">
        <f t="shared" si="95"/>
        <v>1455</v>
      </c>
      <c r="BR55" s="82">
        <f t="shared" si="96"/>
        <v>0</v>
      </c>
      <c r="BS55" s="19">
        <f t="shared" si="97"/>
        <v>0</v>
      </c>
      <c r="BT55" s="19">
        <f t="shared" si="98"/>
        <v>0</v>
      </c>
      <c r="BU55" s="19">
        <f t="shared" si="99"/>
        <v>0</v>
      </c>
      <c r="BV55" s="19">
        <f t="shared" si="100"/>
        <v>0</v>
      </c>
      <c r="BW55" s="19">
        <f t="shared" si="101"/>
        <v>0</v>
      </c>
      <c r="BX55" s="19">
        <f t="shared" si="102"/>
        <v>25</v>
      </c>
      <c r="BY55" s="19">
        <f t="shared" si="103"/>
        <v>50</v>
      </c>
      <c r="BZ55" s="19">
        <f t="shared" si="104"/>
        <v>0</v>
      </c>
      <c r="CA55" s="19">
        <f t="shared" si="105"/>
        <v>0</v>
      </c>
      <c r="CB55" s="19">
        <f t="shared" si="106"/>
        <v>0</v>
      </c>
      <c r="CC55" s="19">
        <f t="shared" si="107"/>
        <v>0</v>
      </c>
      <c r="CD55" s="19">
        <f t="shared" si="108"/>
        <v>0</v>
      </c>
      <c r="CE55" s="19">
        <f t="shared" si="109"/>
        <v>0</v>
      </c>
      <c r="CF55" s="19">
        <f t="shared" si="110"/>
        <v>0</v>
      </c>
      <c r="CG55" s="19">
        <f t="shared" si="111"/>
        <v>0</v>
      </c>
      <c r="CH55" s="19">
        <f t="shared" si="112"/>
        <v>0</v>
      </c>
      <c r="CI55" s="19">
        <f t="shared" si="113"/>
        <v>0</v>
      </c>
      <c r="CJ55" s="19">
        <f t="shared" si="114"/>
        <v>0</v>
      </c>
      <c r="CK55" s="19">
        <f t="shared" si="115"/>
        <v>0</v>
      </c>
      <c r="CL55" s="19">
        <f t="shared" si="116"/>
        <v>0</v>
      </c>
      <c r="CM55" s="19">
        <f t="shared" si="117"/>
        <v>0</v>
      </c>
      <c r="CN55" s="19">
        <f t="shared" si="118"/>
        <v>0</v>
      </c>
      <c r="CO55" s="19">
        <f t="shared" si="119"/>
        <v>0</v>
      </c>
      <c r="CP55" s="19">
        <f t="shared" si="120"/>
        <v>0</v>
      </c>
      <c r="CQ55" s="19">
        <f t="shared" si="121"/>
        <v>0</v>
      </c>
      <c r="CR55" s="19">
        <f t="shared" si="122"/>
        <v>0</v>
      </c>
      <c r="CS55" s="19">
        <f t="shared" si="123"/>
        <v>0</v>
      </c>
      <c r="CT55" s="19">
        <f t="shared" si="124"/>
        <v>0</v>
      </c>
      <c r="CU55" s="19">
        <f t="shared" si="125"/>
        <v>0</v>
      </c>
      <c r="CV55" s="19">
        <f t="shared" si="126"/>
        <v>0</v>
      </c>
      <c r="CW55" s="19">
        <f t="shared" si="127"/>
        <v>0</v>
      </c>
      <c r="CX55" s="19">
        <f t="shared" si="128"/>
        <v>0</v>
      </c>
      <c r="CY55" s="19">
        <f t="shared" si="129"/>
        <v>0</v>
      </c>
      <c r="CZ55" s="19">
        <f t="shared" si="130"/>
        <v>0</v>
      </c>
      <c r="DA55" s="19">
        <f t="shared" si="131"/>
        <v>0</v>
      </c>
      <c r="DB55" s="19">
        <f t="shared" si="132"/>
        <v>0</v>
      </c>
      <c r="DC55" s="19">
        <f t="shared" si="133"/>
        <v>0</v>
      </c>
      <c r="DD55" s="19">
        <f t="shared" si="134"/>
        <v>0</v>
      </c>
      <c r="DE55" s="19">
        <f t="shared" si="135"/>
        <v>0</v>
      </c>
      <c r="DF55" s="19">
        <f t="shared" si="136"/>
        <v>0</v>
      </c>
      <c r="DG55" s="19">
        <f t="shared" si="137"/>
        <v>0</v>
      </c>
      <c r="DH55" s="19">
        <f t="shared" si="138"/>
        <v>0</v>
      </c>
      <c r="DI55" s="19">
        <f t="shared" si="139"/>
        <v>0</v>
      </c>
      <c r="DJ55" s="19">
        <f t="shared" si="140"/>
        <v>0</v>
      </c>
      <c r="DK55" s="19">
        <f t="shared" si="141"/>
        <v>0</v>
      </c>
      <c r="DL55" s="19">
        <f t="shared" si="142"/>
        <v>0</v>
      </c>
      <c r="DM55" s="19">
        <f t="shared" si="143"/>
        <v>0</v>
      </c>
      <c r="DN55" s="19">
        <f t="shared" si="144"/>
        <v>0</v>
      </c>
      <c r="DO55" s="19">
        <f t="shared" si="145"/>
        <v>0</v>
      </c>
      <c r="DP55" s="19">
        <f t="shared" si="146"/>
        <v>0</v>
      </c>
      <c r="DQ55" s="19">
        <f t="shared" si="147"/>
        <v>0</v>
      </c>
      <c r="DR55" s="19">
        <f t="shared" si="148"/>
        <v>0</v>
      </c>
      <c r="DS55" s="19">
        <f t="shared" si="149"/>
        <v>0</v>
      </c>
      <c r="DT55" s="19">
        <f t="shared" si="150"/>
        <v>0</v>
      </c>
      <c r="DU55" s="19">
        <f t="shared" si="151"/>
        <v>0</v>
      </c>
      <c r="DV55" s="19">
        <f t="shared" si="152"/>
        <v>0</v>
      </c>
      <c r="DW55" s="19">
        <f t="shared" si="153"/>
        <v>0</v>
      </c>
      <c r="DX55" s="19">
        <f t="shared" si="154"/>
        <v>0</v>
      </c>
      <c r="DY55" s="19">
        <f t="shared" si="155"/>
        <v>0</v>
      </c>
      <c r="DZ55" s="19">
        <f t="shared" si="156"/>
        <v>0</v>
      </c>
      <c r="EA55" s="19">
        <f t="shared" si="157"/>
        <v>0</v>
      </c>
      <c r="EB55" s="19">
        <f t="shared" si="158"/>
        <v>0</v>
      </c>
      <c r="EC55" s="19">
        <f t="shared" si="159"/>
        <v>0</v>
      </c>
    </row>
    <row r="56" spans="1:133" s="78" customFormat="1" ht="18" customHeight="1" x14ac:dyDescent="0.25">
      <c r="A56" s="15">
        <v>53</v>
      </c>
      <c r="B56" s="108" t="s">
        <v>509</v>
      </c>
      <c r="C56" s="74" t="s">
        <v>420</v>
      </c>
      <c r="D56" s="16" t="s">
        <v>61</v>
      </c>
      <c r="E56" s="18">
        <v>45576</v>
      </c>
      <c r="F56" s="19" t="s">
        <v>316</v>
      </c>
      <c r="G56" s="19">
        <v>10</v>
      </c>
      <c r="H56" s="19">
        <v>10</v>
      </c>
      <c r="I56" s="19">
        <v>10</v>
      </c>
      <c r="J56" s="19" t="s">
        <v>603</v>
      </c>
      <c r="K56" s="19">
        <v>10</v>
      </c>
      <c r="L56" s="19" t="s">
        <v>316</v>
      </c>
      <c r="M56" s="19">
        <v>10</v>
      </c>
      <c r="N56" s="19">
        <v>10</v>
      </c>
      <c r="O56" s="19">
        <v>10</v>
      </c>
      <c r="P56" s="19">
        <v>10</v>
      </c>
      <c r="Q56" s="19">
        <v>10</v>
      </c>
      <c r="R56" s="19">
        <v>10</v>
      </c>
      <c r="S56" s="19" t="s">
        <v>15</v>
      </c>
      <c r="T56" s="19">
        <v>10</v>
      </c>
      <c r="U56" s="19">
        <v>10</v>
      </c>
      <c r="V56" s="19">
        <v>10</v>
      </c>
      <c r="W56" s="19">
        <v>10</v>
      </c>
      <c r="X56" s="19">
        <v>12</v>
      </c>
      <c r="Y56" s="19">
        <v>11</v>
      </c>
      <c r="Z56" s="19" t="s">
        <v>15</v>
      </c>
      <c r="AA56" s="19">
        <v>10</v>
      </c>
      <c r="AB56" s="19">
        <v>10</v>
      </c>
      <c r="AC56" s="19">
        <v>10</v>
      </c>
      <c r="AD56" s="19">
        <v>10</v>
      </c>
      <c r="AE56" s="19">
        <v>11</v>
      </c>
      <c r="AF56" s="19">
        <v>10</v>
      </c>
      <c r="AG56" s="19" t="s">
        <v>15</v>
      </c>
      <c r="AH56" s="19">
        <v>10</v>
      </c>
      <c r="AI56" s="19">
        <v>10</v>
      </c>
      <c r="AJ56" s="19">
        <v>6</v>
      </c>
      <c r="AK56" s="19">
        <v>0</v>
      </c>
      <c r="AL56" s="19">
        <v>0</v>
      </c>
      <c r="AM56" s="19">
        <v>11</v>
      </c>
      <c r="AN56" s="19">
        <v>0</v>
      </c>
      <c r="AO56" s="19">
        <v>10</v>
      </c>
      <c r="AP56" s="19"/>
      <c r="AQ56" s="19"/>
      <c r="AR56" s="19"/>
      <c r="AS56" s="19">
        <v>0</v>
      </c>
      <c r="AT56" s="19">
        <f t="shared" si="80"/>
        <v>52</v>
      </c>
      <c r="AU56" s="19">
        <f t="shared" si="81"/>
        <v>17</v>
      </c>
      <c r="AV56" s="19">
        <f t="shared" si="82"/>
        <v>10</v>
      </c>
      <c r="AW56" s="16">
        <f t="shared" si="83"/>
        <v>28</v>
      </c>
      <c r="AX56" s="16">
        <f t="shared" si="84"/>
        <v>2</v>
      </c>
      <c r="AY56" s="16">
        <f t="shared" si="85"/>
        <v>0</v>
      </c>
      <c r="AZ56" s="21">
        <v>950</v>
      </c>
      <c r="BA56" s="21">
        <v>100</v>
      </c>
      <c r="BB56" s="21">
        <v>0</v>
      </c>
      <c r="BC56" s="19">
        <f t="shared" si="86"/>
        <v>887</v>
      </c>
      <c r="BD56" s="19">
        <f t="shared" si="87"/>
        <v>93</v>
      </c>
      <c r="BE56" s="19">
        <f t="shared" si="88"/>
        <v>418</v>
      </c>
      <c r="BF56" s="19">
        <f t="shared" si="89"/>
        <v>0</v>
      </c>
      <c r="BG56" s="19">
        <f t="shared" si="90"/>
        <v>0</v>
      </c>
      <c r="BH56" s="19">
        <f t="shared" si="91"/>
        <v>0</v>
      </c>
      <c r="BI56" s="19">
        <v>0</v>
      </c>
      <c r="BJ56" s="19">
        <f t="shared" si="92"/>
        <v>1398</v>
      </c>
      <c r="BK56" s="19">
        <v>0</v>
      </c>
      <c r="BL56" s="19">
        <v>0</v>
      </c>
      <c r="BM56" s="19">
        <f t="shared" si="93"/>
        <v>0</v>
      </c>
      <c r="BN56" s="19">
        <f t="shared" si="94"/>
        <v>1398</v>
      </c>
      <c r="BO56" s="19">
        <v>0</v>
      </c>
      <c r="BP56" s="19">
        <v>0</v>
      </c>
      <c r="BQ56" s="22">
        <f t="shared" si="95"/>
        <v>1398</v>
      </c>
      <c r="BR56" s="82">
        <f t="shared" si="96"/>
        <v>0</v>
      </c>
      <c r="BS56" s="19">
        <f t="shared" si="97"/>
        <v>0</v>
      </c>
      <c r="BT56" s="19">
        <f t="shared" si="98"/>
        <v>0</v>
      </c>
      <c r="BU56" s="19">
        <f t="shared" si="99"/>
        <v>0</v>
      </c>
      <c r="BV56" s="19">
        <f t="shared" si="100"/>
        <v>0</v>
      </c>
      <c r="BW56" s="19">
        <f t="shared" si="101"/>
        <v>0</v>
      </c>
      <c r="BX56" s="19">
        <f t="shared" si="102"/>
        <v>21</v>
      </c>
      <c r="BY56" s="19">
        <f t="shared" si="103"/>
        <v>42</v>
      </c>
      <c r="BZ56" s="19">
        <f t="shared" si="104"/>
        <v>0</v>
      </c>
      <c r="CA56" s="19">
        <f t="shared" si="105"/>
        <v>0</v>
      </c>
      <c r="CB56" s="19">
        <f t="shared" si="106"/>
        <v>2</v>
      </c>
      <c r="CC56" s="19">
        <f t="shared" si="107"/>
        <v>6</v>
      </c>
      <c r="CD56" s="19">
        <f t="shared" si="108"/>
        <v>0</v>
      </c>
      <c r="CE56" s="19">
        <f t="shared" si="109"/>
        <v>0</v>
      </c>
      <c r="CF56" s="19">
        <f t="shared" si="110"/>
        <v>1</v>
      </c>
      <c r="CG56" s="19">
        <f t="shared" si="111"/>
        <v>4</v>
      </c>
      <c r="CH56" s="19">
        <f t="shared" si="112"/>
        <v>0</v>
      </c>
      <c r="CI56" s="19">
        <f t="shared" si="113"/>
        <v>0</v>
      </c>
      <c r="CJ56" s="19">
        <f t="shared" si="114"/>
        <v>0</v>
      </c>
      <c r="CK56" s="19">
        <f t="shared" si="115"/>
        <v>0</v>
      </c>
      <c r="CL56" s="19">
        <f t="shared" si="116"/>
        <v>0</v>
      </c>
      <c r="CM56" s="19">
        <f t="shared" si="117"/>
        <v>0</v>
      </c>
      <c r="CN56" s="19">
        <f t="shared" si="118"/>
        <v>0</v>
      </c>
      <c r="CO56" s="19">
        <f t="shared" si="119"/>
        <v>0</v>
      </c>
      <c r="CP56" s="19">
        <f t="shared" si="120"/>
        <v>0</v>
      </c>
      <c r="CQ56" s="19">
        <f t="shared" si="121"/>
        <v>0</v>
      </c>
      <c r="CR56" s="19">
        <f t="shared" si="122"/>
        <v>0</v>
      </c>
      <c r="CS56" s="19">
        <f t="shared" si="123"/>
        <v>0</v>
      </c>
      <c r="CT56" s="19">
        <f t="shared" si="124"/>
        <v>0</v>
      </c>
      <c r="CU56" s="19">
        <f t="shared" si="125"/>
        <v>0</v>
      </c>
      <c r="CV56" s="19">
        <f t="shared" si="126"/>
        <v>0</v>
      </c>
      <c r="CW56" s="19">
        <f t="shared" si="127"/>
        <v>0</v>
      </c>
      <c r="CX56" s="19">
        <f t="shared" si="128"/>
        <v>0</v>
      </c>
      <c r="CY56" s="19">
        <f t="shared" si="129"/>
        <v>0</v>
      </c>
      <c r="CZ56" s="19">
        <f t="shared" si="130"/>
        <v>0</v>
      </c>
      <c r="DA56" s="19">
        <f t="shared" si="131"/>
        <v>0</v>
      </c>
      <c r="DB56" s="19">
        <f t="shared" si="132"/>
        <v>0</v>
      </c>
      <c r="DC56" s="19">
        <f t="shared" si="133"/>
        <v>0</v>
      </c>
      <c r="DD56" s="19">
        <f t="shared" si="134"/>
        <v>0</v>
      </c>
      <c r="DE56" s="19">
        <f t="shared" si="135"/>
        <v>0</v>
      </c>
      <c r="DF56" s="19">
        <f t="shared" si="136"/>
        <v>0</v>
      </c>
      <c r="DG56" s="19">
        <f t="shared" si="137"/>
        <v>0</v>
      </c>
      <c r="DH56" s="19">
        <f t="shared" si="138"/>
        <v>0</v>
      </c>
      <c r="DI56" s="19">
        <f t="shared" si="139"/>
        <v>0</v>
      </c>
      <c r="DJ56" s="19">
        <f t="shared" si="140"/>
        <v>0</v>
      </c>
      <c r="DK56" s="19">
        <f t="shared" si="141"/>
        <v>0</v>
      </c>
      <c r="DL56" s="19">
        <f t="shared" si="142"/>
        <v>0</v>
      </c>
      <c r="DM56" s="19">
        <f t="shared" si="143"/>
        <v>0</v>
      </c>
      <c r="DN56" s="19">
        <f t="shared" si="144"/>
        <v>0</v>
      </c>
      <c r="DO56" s="19">
        <f t="shared" si="145"/>
        <v>0</v>
      </c>
      <c r="DP56" s="19">
        <f t="shared" si="146"/>
        <v>0</v>
      </c>
      <c r="DQ56" s="19">
        <f t="shared" si="147"/>
        <v>0</v>
      </c>
      <c r="DR56" s="19">
        <f t="shared" si="148"/>
        <v>0</v>
      </c>
      <c r="DS56" s="19">
        <f t="shared" si="149"/>
        <v>0</v>
      </c>
      <c r="DT56" s="19">
        <f t="shared" si="150"/>
        <v>0</v>
      </c>
      <c r="DU56" s="19">
        <f t="shared" si="151"/>
        <v>0</v>
      </c>
      <c r="DV56" s="19">
        <f t="shared" si="152"/>
        <v>0</v>
      </c>
      <c r="DW56" s="19">
        <f t="shared" si="153"/>
        <v>0</v>
      </c>
      <c r="DX56" s="19">
        <f t="shared" si="154"/>
        <v>0</v>
      </c>
      <c r="DY56" s="19">
        <f t="shared" si="155"/>
        <v>0</v>
      </c>
      <c r="DZ56" s="19">
        <f t="shared" si="156"/>
        <v>0</v>
      </c>
      <c r="EA56" s="19">
        <f t="shared" si="157"/>
        <v>0</v>
      </c>
      <c r="EB56" s="19">
        <f t="shared" si="158"/>
        <v>0</v>
      </c>
      <c r="EC56" s="19">
        <f t="shared" si="159"/>
        <v>0</v>
      </c>
    </row>
    <row r="57" spans="1:133" s="78" customFormat="1" ht="18" customHeight="1" x14ac:dyDescent="0.25">
      <c r="A57" s="15">
        <v>54</v>
      </c>
      <c r="B57" s="108" t="s">
        <v>510</v>
      </c>
      <c r="C57" s="74" t="s">
        <v>421</v>
      </c>
      <c r="D57" s="16" t="s">
        <v>61</v>
      </c>
      <c r="E57" s="18">
        <v>45576</v>
      </c>
      <c r="F57" s="19">
        <v>11</v>
      </c>
      <c r="G57" s="19">
        <v>11</v>
      </c>
      <c r="H57" s="19">
        <v>11</v>
      </c>
      <c r="I57" s="19">
        <v>11</v>
      </c>
      <c r="J57" s="19" t="s">
        <v>603</v>
      </c>
      <c r="K57" s="19">
        <v>11</v>
      </c>
      <c r="L57" s="19" t="s">
        <v>15</v>
      </c>
      <c r="M57" s="19">
        <v>11</v>
      </c>
      <c r="N57" s="19">
        <v>11</v>
      </c>
      <c r="O57" s="19">
        <v>11</v>
      </c>
      <c r="P57" s="19">
        <v>11</v>
      </c>
      <c r="Q57" s="19">
        <v>11</v>
      </c>
      <c r="R57" s="19">
        <v>11</v>
      </c>
      <c r="S57" s="19" t="s">
        <v>15</v>
      </c>
      <c r="T57" s="19">
        <v>11</v>
      </c>
      <c r="U57" s="19">
        <v>11</v>
      </c>
      <c r="V57" s="19">
        <v>11</v>
      </c>
      <c r="W57" s="19">
        <v>11</v>
      </c>
      <c r="X57" s="19">
        <v>11</v>
      </c>
      <c r="Y57" s="19">
        <v>11</v>
      </c>
      <c r="Z57" s="19" t="s">
        <v>15</v>
      </c>
      <c r="AA57" s="19">
        <v>11</v>
      </c>
      <c r="AB57" s="19">
        <v>11</v>
      </c>
      <c r="AC57" s="19">
        <v>11</v>
      </c>
      <c r="AD57" s="19">
        <v>11</v>
      </c>
      <c r="AE57" s="19" t="s">
        <v>316</v>
      </c>
      <c r="AF57" s="19" t="s">
        <v>316</v>
      </c>
      <c r="AG57" s="19" t="s">
        <v>316</v>
      </c>
      <c r="AH57" s="19">
        <v>11</v>
      </c>
      <c r="AI57" s="19">
        <v>11</v>
      </c>
      <c r="AJ57" s="19">
        <v>0</v>
      </c>
      <c r="AK57" s="19">
        <v>0</v>
      </c>
      <c r="AL57" s="19">
        <v>11</v>
      </c>
      <c r="AM57" s="19">
        <v>0</v>
      </c>
      <c r="AN57" s="19">
        <v>0</v>
      </c>
      <c r="AO57" s="19">
        <v>11</v>
      </c>
      <c r="AP57" s="19"/>
      <c r="AQ57" s="19"/>
      <c r="AR57" s="19"/>
      <c r="AS57" s="19">
        <v>0</v>
      </c>
      <c r="AT57" s="19">
        <f t="shared" si="80"/>
        <v>69</v>
      </c>
      <c r="AU57" s="19">
        <f t="shared" si="81"/>
        <v>11</v>
      </c>
      <c r="AV57" s="19">
        <f t="shared" si="82"/>
        <v>11</v>
      </c>
      <c r="AW57" s="16">
        <f t="shared" si="83"/>
        <v>27</v>
      </c>
      <c r="AX57" s="16">
        <f t="shared" si="84"/>
        <v>3</v>
      </c>
      <c r="AY57" s="16">
        <f t="shared" si="85"/>
        <v>0</v>
      </c>
      <c r="AZ57" s="21">
        <v>1000</v>
      </c>
      <c r="BA57" s="21">
        <v>100</v>
      </c>
      <c r="BB57" s="21">
        <v>0</v>
      </c>
      <c r="BC57" s="19">
        <f t="shared" si="86"/>
        <v>900</v>
      </c>
      <c r="BD57" s="19">
        <f t="shared" si="87"/>
        <v>90</v>
      </c>
      <c r="BE57" s="19">
        <f t="shared" si="88"/>
        <v>497</v>
      </c>
      <c r="BF57" s="19">
        <f t="shared" si="89"/>
        <v>0</v>
      </c>
      <c r="BG57" s="19">
        <f t="shared" si="90"/>
        <v>0</v>
      </c>
      <c r="BH57" s="19">
        <f t="shared" si="91"/>
        <v>0</v>
      </c>
      <c r="BI57" s="19">
        <v>0</v>
      </c>
      <c r="BJ57" s="19">
        <f t="shared" si="92"/>
        <v>1487</v>
      </c>
      <c r="BK57" s="19">
        <v>0</v>
      </c>
      <c r="BL57" s="19">
        <v>0</v>
      </c>
      <c r="BM57" s="19">
        <f t="shared" si="93"/>
        <v>0</v>
      </c>
      <c r="BN57" s="19">
        <f t="shared" si="94"/>
        <v>1487</v>
      </c>
      <c r="BO57" s="19">
        <v>0</v>
      </c>
      <c r="BP57" s="19">
        <v>0</v>
      </c>
      <c r="BQ57" s="22">
        <f t="shared" si="95"/>
        <v>1487</v>
      </c>
      <c r="BR57" s="82">
        <f t="shared" si="96"/>
        <v>0</v>
      </c>
      <c r="BS57" s="19">
        <f t="shared" si="97"/>
        <v>0</v>
      </c>
      <c r="BT57" s="19">
        <f t="shared" si="98"/>
        <v>0</v>
      </c>
      <c r="BU57" s="19">
        <f t="shared" si="99"/>
        <v>0</v>
      </c>
      <c r="BV57" s="19">
        <f t="shared" si="100"/>
        <v>0</v>
      </c>
      <c r="BW57" s="19">
        <f t="shared" si="101"/>
        <v>0</v>
      </c>
      <c r="BX57" s="19">
        <f t="shared" si="102"/>
        <v>0</v>
      </c>
      <c r="BY57" s="19">
        <f t="shared" si="103"/>
        <v>0</v>
      </c>
      <c r="BZ57" s="19">
        <f t="shared" si="104"/>
        <v>0</v>
      </c>
      <c r="CA57" s="19">
        <f t="shared" si="105"/>
        <v>0</v>
      </c>
      <c r="CB57" s="19">
        <f t="shared" si="106"/>
        <v>23</v>
      </c>
      <c r="CC57" s="19">
        <f t="shared" si="107"/>
        <v>69</v>
      </c>
      <c r="CD57" s="19">
        <f t="shared" si="108"/>
        <v>0</v>
      </c>
      <c r="CE57" s="19">
        <f t="shared" si="109"/>
        <v>0</v>
      </c>
      <c r="CF57" s="19">
        <f t="shared" si="110"/>
        <v>0</v>
      </c>
      <c r="CG57" s="19">
        <f t="shared" si="111"/>
        <v>0</v>
      </c>
      <c r="CH57" s="19">
        <f t="shared" si="112"/>
        <v>0</v>
      </c>
      <c r="CI57" s="19">
        <f t="shared" si="113"/>
        <v>0</v>
      </c>
      <c r="CJ57" s="19">
        <f t="shared" si="114"/>
        <v>0</v>
      </c>
      <c r="CK57" s="19">
        <f t="shared" si="115"/>
        <v>0</v>
      </c>
      <c r="CL57" s="19">
        <f t="shared" si="116"/>
        <v>0</v>
      </c>
      <c r="CM57" s="19">
        <f t="shared" si="117"/>
        <v>0</v>
      </c>
      <c r="CN57" s="19">
        <f t="shared" si="118"/>
        <v>0</v>
      </c>
      <c r="CO57" s="19">
        <f t="shared" si="119"/>
        <v>0</v>
      </c>
      <c r="CP57" s="19">
        <f t="shared" si="120"/>
        <v>0</v>
      </c>
      <c r="CQ57" s="19">
        <f t="shared" si="121"/>
        <v>0</v>
      </c>
      <c r="CR57" s="19">
        <f t="shared" si="122"/>
        <v>0</v>
      </c>
      <c r="CS57" s="19">
        <f t="shared" si="123"/>
        <v>0</v>
      </c>
      <c r="CT57" s="19">
        <f t="shared" si="124"/>
        <v>0</v>
      </c>
      <c r="CU57" s="19">
        <f t="shared" si="125"/>
        <v>0</v>
      </c>
      <c r="CV57" s="19">
        <f t="shared" si="126"/>
        <v>0</v>
      </c>
      <c r="CW57" s="19">
        <f t="shared" si="127"/>
        <v>0</v>
      </c>
      <c r="CX57" s="19">
        <f t="shared" si="128"/>
        <v>0</v>
      </c>
      <c r="CY57" s="19">
        <f t="shared" si="129"/>
        <v>0</v>
      </c>
      <c r="CZ57" s="19">
        <f t="shared" si="130"/>
        <v>0</v>
      </c>
      <c r="DA57" s="19">
        <f t="shared" si="131"/>
        <v>0</v>
      </c>
      <c r="DB57" s="19">
        <f t="shared" si="132"/>
        <v>0</v>
      </c>
      <c r="DC57" s="19">
        <f t="shared" si="133"/>
        <v>0</v>
      </c>
      <c r="DD57" s="19">
        <f t="shared" si="134"/>
        <v>0</v>
      </c>
      <c r="DE57" s="19">
        <f t="shared" si="135"/>
        <v>0</v>
      </c>
      <c r="DF57" s="19">
        <f t="shared" si="136"/>
        <v>0</v>
      </c>
      <c r="DG57" s="19">
        <f t="shared" si="137"/>
        <v>0</v>
      </c>
      <c r="DH57" s="19">
        <f t="shared" si="138"/>
        <v>0</v>
      </c>
      <c r="DI57" s="19">
        <f t="shared" si="139"/>
        <v>0</v>
      </c>
      <c r="DJ57" s="19">
        <f t="shared" si="140"/>
        <v>0</v>
      </c>
      <c r="DK57" s="19">
        <f t="shared" si="141"/>
        <v>0</v>
      </c>
      <c r="DL57" s="19">
        <f t="shared" si="142"/>
        <v>0</v>
      </c>
      <c r="DM57" s="19">
        <f t="shared" si="143"/>
        <v>0</v>
      </c>
      <c r="DN57" s="19">
        <f t="shared" si="144"/>
        <v>0</v>
      </c>
      <c r="DO57" s="19">
        <f t="shared" si="145"/>
        <v>0</v>
      </c>
      <c r="DP57" s="19">
        <f t="shared" si="146"/>
        <v>0</v>
      </c>
      <c r="DQ57" s="19">
        <f t="shared" si="147"/>
        <v>0</v>
      </c>
      <c r="DR57" s="19">
        <f t="shared" si="148"/>
        <v>0</v>
      </c>
      <c r="DS57" s="19">
        <f t="shared" si="149"/>
        <v>0</v>
      </c>
      <c r="DT57" s="19">
        <f t="shared" si="150"/>
        <v>0</v>
      </c>
      <c r="DU57" s="19">
        <f t="shared" si="151"/>
        <v>0</v>
      </c>
      <c r="DV57" s="19">
        <f t="shared" si="152"/>
        <v>0</v>
      </c>
      <c r="DW57" s="19">
        <f t="shared" si="153"/>
        <v>0</v>
      </c>
      <c r="DX57" s="19">
        <f t="shared" si="154"/>
        <v>0</v>
      </c>
      <c r="DY57" s="19">
        <f t="shared" si="155"/>
        <v>0</v>
      </c>
      <c r="DZ57" s="19">
        <f t="shared" si="156"/>
        <v>0</v>
      </c>
      <c r="EA57" s="19">
        <f t="shared" si="157"/>
        <v>0</v>
      </c>
      <c r="EB57" s="19">
        <f t="shared" si="158"/>
        <v>0</v>
      </c>
      <c r="EC57" s="19">
        <f t="shared" si="159"/>
        <v>0</v>
      </c>
    </row>
    <row r="58" spans="1:133" s="78" customFormat="1" ht="18" customHeight="1" x14ac:dyDescent="0.25">
      <c r="A58" s="15">
        <v>55</v>
      </c>
      <c r="B58" s="108" t="s">
        <v>511</v>
      </c>
      <c r="C58" s="74" t="s">
        <v>422</v>
      </c>
      <c r="D58" s="16" t="s">
        <v>61</v>
      </c>
      <c r="E58" s="18">
        <v>45584</v>
      </c>
      <c r="F58" s="19">
        <v>11</v>
      </c>
      <c r="G58" s="19">
        <v>11</v>
      </c>
      <c r="H58" s="19">
        <v>11</v>
      </c>
      <c r="I58" s="19">
        <v>11</v>
      </c>
      <c r="J58" s="19" t="s">
        <v>603</v>
      </c>
      <c r="K58" s="19">
        <v>11</v>
      </c>
      <c r="L58" s="19" t="s">
        <v>15</v>
      </c>
      <c r="M58" s="19">
        <v>11</v>
      </c>
      <c r="N58" s="19">
        <v>11</v>
      </c>
      <c r="O58" s="19">
        <v>10.5</v>
      </c>
      <c r="P58" s="19">
        <v>9</v>
      </c>
      <c r="Q58" s="19">
        <v>9</v>
      </c>
      <c r="R58" s="19">
        <v>9</v>
      </c>
      <c r="S58" s="19" t="s">
        <v>15</v>
      </c>
      <c r="T58" s="19">
        <v>9</v>
      </c>
      <c r="U58" s="19">
        <v>10.5</v>
      </c>
      <c r="V58" s="19" t="s">
        <v>316</v>
      </c>
      <c r="W58" s="19">
        <v>10.5</v>
      </c>
      <c r="X58" s="19">
        <v>10.5</v>
      </c>
      <c r="Y58" s="19">
        <v>10.5</v>
      </c>
      <c r="Z58" s="19" t="s">
        <v>316</v>
      </c>
      <c r="AA58" s="19" t="s">
        <v>316</v>
      </c>
      <c r="AB58" s="19">
        <v>10.5</v>
      </c>
      <c r="AC58" s="19">
        <v>10.5</v>
      </c>
      <c r="AD58" s="19">
        <v>10.5</v>
      </c>
      <c r="AE58" s="19">
        <v>10.5</v>
      </c>
      <c r="AF58" s="19">
        <v>10.5</v>
      </c>
      <c r="AG58" s="19" t="s">
        <v>316</v>
      </c>
      <c r="AH58" s="19">
        <v>10.5</v>
      </c>
      <c r="AI58" s="19">
        <v>10.5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/>
      <c r="AQ58" s="19"/>
      <c r="AR58" s="19"/>
      <c r="AS58" s="19">
        <v>0</v>
      </c>
      <c r="AT58" s="19">
        <f t="shared" si="80"/>
        <v>55</v>
      </c>
      <c r="AU58" s="19">
        <f t="shared" si="81"/>
        <v>0</v>
      </c>
      <c r="AV58" s="19">
        <f t="shared" si="82"/>
        <v>0</v>
      </c>
      <c r="AW58" s="16">
        <f t="shared" si="83"/>
        <v>26</v>
      </c>
      <c r="AX58" s="16">
        <f t="shared" si="84"/>
        <v>4</v>
      </c>
      <c r="AY58" s="16">
        <f t="shared" si="85"/>
        <v>0</v>
      </c>
      <c r="AZ58" s="21">
        <v>1000</v>
      </c>
      <c r="BA58" s="21">
        <v>100</v>
      </c>
      <c r="BB58" s="21">
        <v>0</v>
      </c>
      <c r="BC58" s="19">
        <f t="shared" si="86"/>
        <v>867</v>
      </c>
      <c r="BD58" s="19">
        <f t="shared" si="87"/>
        <v>87</v>
      </c>
      <c r="BE58" s="19">
        <f t="shared" si="88"/>
        <v>286</v>
      </c>
      <c r="BF58" s="19">
        <f t="shared" si="89"/>
        <v>0</v>
      </c>
      <c r="BG58" s="19">
        <f t="shared" si="90"/>
        <v>0</v>
      </c>
      <c r="BH58" s="19">
        <f t="shared" si="91"/>
        <v>0</v>
      </c>
      <c r="BI58" s="19">
        <v>0</v>
      </c>
      <c r="BJ58" s="19">
        <f t="shared" si="92"/>
        <v>1240</v>
      </c>
      <c r="BK58" s="19">
        <v>0</v>
      </c>
      <c r="BL58" s="19">
        <v>0</v>
      </c>
      <c r="BM58" s="19">
        <f t="shared" si="93"/>
        <v>0</v>
      </c>
      <c r="BN58" s="19">
        <f t="shared" si="94"/>
        <v>1240</v>
      </c>
      <c r="BO58" s="19">
        <v>0</v>
      </c>
      <c r="BP58" s="19">
        <v>0</v>
      </c>
      <c r="BQ58" s="22">
        <f t="shared" si="95"/>
        <v>1240</v>
      </c>
      <c r="BR58" s="82">
        <f t="shared" si="96"/>
        <v>0</v>
      </c>
      <c r="BS58" s="19">
        <f t="shared" si="97"/>
        <v>0</v>
      </c>
      <c r="BT58" s="19">
        <f t="shared" si="98"/>
        <v>4</v>
      </c>
      <c r="BU58" s="19">
        <f t="shared" si="99"/>
        <v>4</v>
      </c>
      <c r="BV58" s="19">
        <f t="shared" si="100"/>
        <v>0</v>
      </c>
      <c r="BW58" s="19">
        <f t="shared" si="101"/>
        <v>0</v>
      </c>
      <c r="BX58" s="19">
        <f t="shared" si="102"/>
        <v>0</v>
      </c>
      <c r="BY58" s="19">
        <f t="shared" si="103"/>
        <v>0</v>
      </c>
      <c r="BZ58" s="19">
        <f t="shared" si="104"/>
        <v>12</v>
      </c>
      <c r="CA58" s="19">
        <f t="shared" si="105"/>
        <v>30</v>
      </c>
      <c r="CB58" s="19">
        <f t="shared" si="106"/>
        <v>7</v>
      </c>
      <c r="CC58" s="19">
        <f t="shared" si="107"/>
        <v>21</v>
      </c>
      <c r="CD58" s="19">
        <f t="shared" si="108"/>
        <v>0</v>
      </c>
      <c r="CE58" s="19">
        <f t="shared" si="109"/>
        <v>0</v>
      </c>
      <c r="CF58" s="19">
        <f t="shared" si="110"/>
        <v>0</v>
      </c>
      <c r="CG58" s="19">
        <f t="shared" si="111"/>
        <v>0</v>
      </c>
      <c r="CH58" s="19">
        <f t="shared" si="112"/>
        <v>0</v>
      </c>
      <c r="CI58" s="19">
        <f t="shared" si="113"/>
        <v>0</v>
      </c>
      <c r="CJ58" s="19">
        <f t="shared" si="114"/>
        <v>0</v>
      </c>
      <c r="CK58" s="19">
        <f t="shared" si="115"/>
        <v>0</v>
      </c>
      <c r="CL58" s="19">
        <f t="shared" si="116"/>
        <v>0</v>
      </c>
      <c r="CM58" s="19">
        <f t="shared" si="117"/>
        <v>0</v>
      </c>
      <c r="CN58" s="19">
        <f t="shared" si="118"/>
        <v>0</v>
      </c>
      <c r="CO58" s="19">
        <f t="shared" si="119"/>
        <v>0</v>
      </c>
      <c r="CP58" s="19">
        <f t="shared" si="120"/>
        <v>0</v>
      </c>
      <c r="CQ58" s="19">
        <f t="shared" si="121"/>
        <v>0</v>
      </c>
      <c r="CR58" s="19">
        <f t="shared" si="122"/>
        <v>0</v>
      </c>
      <c r="CS58" s="19">
        <f t="shared" si="123"/>
        <v>0</v>
      </c>
      <c r="CT58" s="19">
        <f t="shared" si="124"/>
        <v>0</v>
      </c>
      <c r="CU58" s="19">
        <f t="shared" si="125"/>
        <v>0</v>
      </c>
      <c r="CV58" s="19">
        <f t="shared" si="126"/>
        <v>0</v>
      </c>
      <c r="CW58" s="19">
        <f t="shared" si="127"/>
        <v>0</v>
      </c>
      <c r="CX58" s="19">
        <f t="shared" si="128"/>
        <v>0</v>
      </c>
      <c r="CY58" s="19">
        <f t="shared" si="129"/>
        <v>0</v>
      </c>
      <c r="CZ58" s="19">
        <f t="shared" si="130"/>
        <v>0</v>
      </c>
      <c r="DA58" s="19">
        <f t="shared" si="131"/>
        <v>0</v>
      </c>
      <c r="DB58" s="19">
        <f t="shared" si="132"/>
        <v>0</v>
      </c>
      <c r="DC58" s="19">
        <f t="shared" si="133"/>
        <v>0</v>
      </c>
      <c r="DD58" s="19">
        <f t="shared" si="134"/>
        <v>0</v>
      </c>
      <c r="DE58" s="19">
        <f t="shared" si="135"/>
        <v>0</v>
      </c>
      <c r="DF58" s="19">
        <f t="shared" si="136"/>
        <v>0</v>
      </c>
      <c r="DG58" s="19">
        <f t="shared" si="137"/>
        <v>0</v>
      </c>
      <c r="DH58" s="19">
        <f t="shared" si="138"/>
        <v>0</v>
      </c>
      <c r="DI58" s="19">
        <f t="shared" si="139"/>
        <v>0</v>
      </c>
      <c r="DJ58" s="19">
        <f t="shared" si="140"/>
        <v>0</v>
      </c>
      <c r="DK58" s="19">
        <f t="shared" si="141"/>
        <v>0</v>
      </c>
      <c r="DL58" s="19">
        <f t="shared" si="142"/>
        <v>0</v>
      </c>
      <c r="DM58" s="19">
        <f t="shared" si="143"/>
        <v>0</v>
      </c>
      <c r="DN58" s="19">
        <f t="shared" si="144"/>
        <v>0</v>
      </c>
      <c r="DO58" s="19">
        <f t="shared" si="145"/>
        <v>0</v>
      </c>
      <c r="DP58" s="19">
        <f t="shared" si="146"/>
        <v>0</v>
      </c>
      <c r="DQ58" s="19">
        <f t="shared" si="147"/>
        <v>0</v>
      </c>
      <c r="DR58" s="19">
        <f t="shared" si="148"/>
        <v>0</v>
      </c>
      <c r="DS58" s="19">
        <f t="shared" si="149"/>
        <v>0</v>
      </c>
      <c r="DT58" s="19">
        <f t="shared" si="150"/>
        <v>0</v>
      </c>
      <c r="DU58" s="19">
        <f t="shared" si="151"/>
        <v>0</v>
      </c>
      <c r="DV58" s="19">
        <f t="shared" si="152"/>
        <v>0</v>
      </c>
      <c r="DW58" s="19">
        <f t="shared" si="153"/>
        <v>0</v>
      </c>
      <c r="DX58" s="19">
        <f t="shared" si="154"/>
        <v>0</v>
      </c>
      <c r="DY58" s="19">
        <f t="shared" si="155"/>
        <v>0</v>
      </c>
      <c r="DZ58" s="19">
        <f t="shared" si="156"/>
        <v>0</v>
      </c>
      <c r="EA58" s="19">
        <f t="shared" si="157"/>
        <v>0</v>
      </c>
      <c r="EB58" s="19">
        <f t="shared" si="158"/>
        <v>0</v>
      </c>
      <c r="EC58" s="19">
        <f t="shared" si="159"/>
        <v>0</v>
      </c>
    </row>
    <row r="59" spans="1:133" s="78" customFormat="1" ht="18" customHeight="1" x14ac:dyDescent="0.25">
      <c r="A59" s="15">
        <v>56</v>
      </c>
      <c r="B59" s="108" t="s">
        <v>512</v>
      </c>
      <c r="C59" s="74" t="s">
        <v>423</v>
      </c>
      <c r="D59" s="16" t="s">
        <v>61</v>
      </c>
      <c r="E59" s="18">
        <v>45584</v>
      </c>
      <c r="F59" s="19">
        <v>10</v>
      </c>
      <c r="G59" s="19">
        <v>10</v>
      </c>
      <c r="H59" s="19">
        <v>10</v>
      </c>
      <c r="I59" s="19">
        <v>10</v>
      </c>
      <c r="J59" s="19" t="s">
        <v>603</v>
      </c>
      <c r="K59" s="19">
        <v>10</v>
      </c>
      <c r="L59" s="19" t="s">
        <v>15</v>
      </c>
      <c r="M59" s="19">
        <v>10</v>
      </c>
      <c r="N59" s="19">
        <v>10</v>
      </c>
      <c r="O59" s="19">
        <v>10</v>
      </c>
      <c r="P59" s="19">
        <v>10</v>
      </c>
      <c r="Q59" s="19">
        <v>10</v>
      </c>
      <c r="R59" s="19">
        <v>10</v>
      </c>
      <c r="S59" s="19" t="s">
        <v>15</v>
      </c>
      <c r="T59" s="19">
        <v>10</v>
      </c>
      <c r="U59" s="19">
        <v>10</v>
      </c>
      <c r="V59" s="19">
        <v>10</v>
      </c>
      <c r="W59" s="19">
        <v>10</v>
      </c>
      <c r="X59" s="19">
        <v>10</v>
      </c>
      <c r="Y59" s="19">
        <v>10</v>
      </c>
      <c r="Z59" s="19" t="s">
        <v>15</v>
      </c>
      <c r="AA59" s="19">
        <v>10</v>
      </c>
      <c r="AB59" s="19">
        <v>10</v>
      </c>
      <c r="AC59" s="19">
        <v>10</v>
      </c>
      <c r="AD59" s="19">
        <v>10</v>
      </c>
      <c r="AE59" s="19">
        <v>10</v>
      </c>
      <c r="AF59" s="19">
        <v>10</v>
      </c>
      <c r="AG59" s="19" t="s">
        <v>15</v>
      </c>
      <c r="AH59" s="19">
        <v>10</v>
      </c>
      <c r="AI59" s="19">
        <v>10</v>
      </c>
      <c r="AJ59" s="19">
        <v>6</v>
      </c>
      <c r="AK59" s="19">
        <v>0</v>
      </c>
      <c r="AL59" s="19">
        <v>0</v>
      </c>
      <c r="AM59" s="19">
        <v>0</v>
      </c>
      <c r="AN59" s="19">
        <v>0</v>
      </c>
      <c r="AO59" s="19">
        <v>10</v>
      </c>
      <c r="AP59" s="19"/>
      <c r="AQ59" s="19"/>
      <c r="AR59" s="19"/>
      <c r="AS59" s="19">
        <v>0</v>
      </c>
      <c r="AT59" s="19">
        <f t="shared" si="80"/>
        <v>50</v>
      </c>
      <c r="AU59" s="19">
        <f t="shared" si="81"/>
        <v>6</v>
      </c>
      <c r="AV59" s="19">
        <f t="shared" si="82"/>
        <v>10</v>
      </c>
      <c r="AW59" s="16">
        <f t="shared" si="83"/>
        <v>30</v>
      </c>
      <c r="AX59" s="16">
        <f t="shared" si="84"/>
        <v>0</v>
      </c>
      <c r="AY59" s="16">
        <f t="shared" si="85"/>
        <v>0</v>
      </c>
      <c r="AZ59" s="21">
        <v>1000</v>
      </c>
      <c r="BA59" s="21">
        <v>100</v>
      </c>
      <c r="BB59" s="21">
        <v>0</v>
      </c>
      <c r="BC59" s="19">
        <f t="shared" si="86"/>
        <v>1000</v>
      </c>
      <c r="BD59" s="19">
        <f t="shared" si="87"/>
        <v>100</v>
      </c>
      <c r="BE59" s="19">
        <f t="shared" si="88"/>
        <v>360</v>
      </c>
      <c r="BF59" s="19">
        <f t="shared" si="89"/>
        <v>0</v>
      </c>
      <c r="BG59" s="19">
        <f t="shared" si="90"/>
        <v>0</v>
      </c>
      <c r="BH59" s="19">
        <f t="shared" si="91"/>
        <v>0</v>
      </c>
      <c r="BI59" s="19">
        <v>95</v>
      </c>
      <c r="BJ59" s="19">
        <f t="shared" si="92"/>
        <v>1555</v>
      </c>
      <c r="BK59" s="19">
        <v>0</v>
      </c>
      <c r="BL59" s="19">
        <v>0</v>
      </c>
      <c r="BM59" s="19">
        <f t="shared" si="93"/>
        <v>0</v>
      </c>
      <c r="BN59" s="19">
        <f t="shared" si="94"/>
        <v>1555</v>
      </c>
      <c r="BO59" s="19">
        <v>0</v>
      </c>
      <c r="BP59" s="19">
        <v>0</v>
      </c>
      <c r="BQ59" s="22">
        <f t="shared" si="95"/>
        <v>1555</v>
      </c>
      <c r="BR59" s="82">
        <f t="shared" si="96"/>
        <v>0</v>
      </c>
      <c r="BS59" s="19">
        <f t="shared" si="97"/>
        <v>0</v>
      </c>
      <c r="BT59" s="19">
        <f t="shared" si="98"/>
        <v>0</v>
      </c>
      <c r="BU59" s="19">
        <f t="shared" si="99"/>
        <v>0</v>
      </c>
      <c r="BV59" s="19">
        <f t="shared" si="100"/>
        <v>0</v>
      </c>
      <c r="BW59" s="19">
        <f t="shared" si="101"/>
        <v>0</v>
      </c>
      <c r="BX59" s="19">
        <f t="shared" si="102"/>
        <v>25</v>
      </c>
      <c r="BY59" s="19">
        <f t="shared" si="103"/>
        <v>50</v>
      </c>
      <c r="BZ59" s="19">
        <f t="shared" si="104"/>
        <v>0</v>
      </c>
      <c r="CA59" s="19">
        <f t="shared" si="105"/>
        <v>0</v>
      </c>
      <c r="CB59" s="19">
        <f t="shared" si="106"/>
        <v>0</v>
      </c>
      <c r="CC59" s="19">
        <f t="shared" si="107"/>
        <v>0</v>
      </c>
      <c r="CD59" s="19">
        <f t="shared" si="108"/>
        <v>0</v>
      </c>
      <c r="CE59" s="19">
        <f t="shared" si="109"/>
        <v>0</v>
      </c>
      <c r="CF59" s="19">
        <f t="shared" si="110"/>
        <v>0</v>
      </c>
      <c r="CG59" s="19">
        <f t="shared" si="111"/>
        <v>0</v>
      </c>
      <c r="CH59" s="19">
        <f t="shared" si="112"/>
        <v>0</v>
      </c>
      <c r="CI59" s="19">
        <f t="shared" si="113"/>
        <v>0</v>
      </c>
      <c r="CJ59" s="19">
        <f t="shared" si="114"/>
        <v>0</v>
      </c>
      <c r="CK59" s="19">
        <f t="shared" si="115"/>
        <v>0</v>
      </c>
      <c r="CL59" s="19">
        <f t="shared" si="116"/>
        <v>0</v>
      </c>
      <c r="CM59" s="19">
        <f t="shared" si="117"/>
        <v>0</v>
      </c>
      <c r="CN59" s="19">
        <f t="shared" si="118"/>
        <v>0</v>
      </c>
      <c r="CO59" s="19">
        <f t="shared" si="119"/>
        <v>0</v>
      </c>
      <c r="CP59" s="19">
        <f t="shared" si="120"/>
        <v>0</v>
      </c>
      <c r="CQ59" s="19">
        <f t="shared" si="121"/>
        <v>0</v>
      </c>
      <c r="CR59" s="19">
        <f t="shared" si="122"/>
        <v>0</v>
      </c>
      <c r="CS59" s="19">
        <f t="shared" si="123"/>
        <v>0</v>
      </c>
      <c r="CT59" s="19">
        <f t="shared" si="124"/>
        <v>0</v>
      </c>
      <c r="CU59" s="19">
        <f t="shared" si="125"/>
        <v>0</v>
      </c>
      <c r="CV59" s="19">
        <f t="shared" si="126"/>
        <v>0</v>
      </c>
      <c r="CW59" s="19">
        <f t="shared" si="127"/>
        <v>0</v>
      </c>
      <c r="CX59" s="19">
        <f t="shared" si="128"/>
        <v>0</v>
      </c>
      <c r="CY59" s="19">
        <f t="shared" si="129"/>
        <v>0</v>
      </c>
      <c r="CZ59" s="19">
        <f t="shared" si="130"/>
        <v>0</v>
      </c>
      <c r="DA59" s="19">
        <f t="shared" si="131"/>
        <v>0</v>
      </c>
      <c r="DB59" s="19">
        <f t="shared" si="132"/>
        <v>0</v>
      </c>
      <c r="DC59" s="19">
        <f t="shared" si="133"/>
        <v>0</v>
      </c>
      <c r="DD59" s="19">
        <f t="shared" si="134"/>
        <v>0</v>
      </c>
      <c r="DE59" s="19">
        <f t="shared" si="135"/>
        <v>0</v>
      </c>
      <c r="DF59" s="19">
        <f t="shared" si="136"/>
        <v>0</v>
      </c>
      <c r="DG59" s="19">
        <f t="shared" si="137"/>
        <v>0</v>
      </c>
      <c r="DH59" s="19">
        <f t="shared" si="138"/>
        <v>0</v>
      </c>
      <c r="DI59" s="19">
        <f t="shared" si="139"/>
        <v>0</v>
      </c>
      <c r="DJ59" s="19">
        <f t="shared" si="140"/>
        <v>0</v>
      </c>
      <c r="DK59" s="19">
        <f t="shared" si="141"/>
        <v>0</v>
      </c>
      <c r="DL59" s="19">
        <f t="shared" si="142"/>
        <v>0</v>
      </c>
      <c r="DM59" s="19">
        <f t="shared" si="143"/>
        <v>0</v>
      </c>
      <c r="DN59" s="19">
        <f t="shared" si="144"/>
        <v>0</v>
      </c>
      <c r="DO59" s="19">
        <f t="shared" si="145"/>
        <v>0</v>
      </c>
      <c r="DP59" s="19">
        <f t="shared" si="146"/>
        <v>0</v>
      </c>
      <c r="DQ59" s="19">
        <f t="shared" si="147"/>
        <v>0</v>
      </c>
      <c r="DR59" s="19">
        <f t="shared" si="148"/>
        <v>0</v>
      </c>
      <c r="DS59" s="19">
        <f t="shared" si="149"/>
        <v>0</v>
      </c>
      <c r="DT59" s="19">
        <f t="shared" si="150"/>
        <v>0</v>
      </c>
      <c r="DU59" s="19">
        <f t="shared" si="151"/>
        <v>0</v>
      </c>
      <c r="DV59" s="19">
        <f t="shared" si="152"/>
        <v>0</v>
      </c>
      <c r="DW59" s="19">
        <f t="shared" si="153"/>
        <v>0</v>
      </c>
      <c r="DX59" s="19">
        <f t="shared" si="154"/>
        <v>0</v>
      </c>
      <c r="DY59" s="19">
        <f t="shared" si="155"/>
        <v>0</v>
      </c>
      <c r="DZ59" s="19">
        <f t="shared" si="156"/>
        <v>0</v>
      </c>
      <c r="EA59" s="19">
        <f t="shared" si="157"/>
        <v>0</v>
      </c>
      <c r="EB59" s="19">
        <f t="shared" si="158"/>
        <v>0</v>
      </c>
      <c r="EC59" s="19">
        <f t="shared" si="159"/>
        <v>0</v>
      </c>
    </row>
    <row r="60" spans="1:133" s="78" customFormat="1" ht="18" customHeight="1" x14ac:dyDescent="0.25">
      <c r="A60" s="15">
        <v>57</v>
      </c>
      <c r="B60" s="108" t="s">
        <v>513</v>
      </c>
      <c r="C60" s="74" t="s">
        <v>425</v>
      </c>
      <c r="D60" s="16" t="s">
        <v>61</v>
      </c>
      <c r="E60" s="18">
        <v>45596</v>
      </c>
      <c r="F60" s="19">
        <v>11</v>
      </c>
      <c r="G60" s="19">
        <v>11</v>
      </c>
      <c r="H60" s="19">
        <v>11</v>
      </c>
      <c r="I60" s="19">
        <v>11</v>
      </c>
      <c r="J60" s="19" t="s">
        <v>603</v>
      </c>
      <c r="K60" s="19">
        <v>11</v>
      </c>
      <c r="L60" s="19" t="s">
        <v>15</v>
      </c>
      <c r="M60" s="19">
        <v>11</v>
      </c>
      <c r="N60" s="19">
        <v>11</v>
      </c>
      <c r="O60" s="19">
        <v>11</v>
      </c>
      <c r="P60" s="19">
        <v>11</v>
      </c>
      <c r="Q60" s="19">
        <v>11</v>
      </c>
      <c r="R60" s="19">
        <v>11</v>
      </c>
      <c r="S60" s="19" t="s">
        <v>15</v>
      </c>
      <c r="T60" s="19">
        <v>11</v>
      </c>
      <c r="U60" s="19">
        <v>11</v>
      </c>
      <c r="V60" s="19">
        <v>11</v>
      </c>
      <c r="W60" s="19">
        <v>11</v>
      </c>
      <c r="X60" s="19">
        <v>11</v>
      </c>
      <c r="Y60" s="19">
        <v>11</v>
      </c>
      <c r="Z60" s="19" t="s">
        <v>15</v>
      </c>
      <c r="AA60" s="19">
        <v>11</v>
      </c>
      <c r="AB60" s="19">
        <v>11</v>
      </c>
      <c r="AC60" s="19">
        <v>11</v>
      </c>
      <c r="AD60" s="19">
        <v>11</v>
      </c>
      <c r="AE60" s="19">
        <v>11</v>
      </c>
      <c r="AF60" s="19">
        <v>11</v>
      </c>
      <c r="AG60" s="19" t="s">
        <v>15</v>
      </c>
      <c r="AH60" s="19">
        <v>11</v>
      </c>
      <c r="AI60" s="19">
        <v>11</v>
      </c>
      <c r="AJ60" s="19">
        <v>10</v>
      </c>
      <c r="AK60" s="19">
        <v>10</v>
      </c>
      <c r="AL60" s="19">
        <v>10</v>
      </c>
      <c r="AM60" s="19">
        <v>11</v>
      </c>
      <c r="AN60" s="19">
        <v>0</v>
      </c>
      <c r="AO60" s="19">
        <v>11</v>
      </c>
      <c r="AP60" s="19"/>
      <c r="AQ60" s="19"/>
      <c r="AR60" s="19"/>
      <c r="AS60" s="19">
        <v>0</v>
      </c>
      <c r="AT60" s="19">
        <f t="shared" si="80"/>
        <v>75</v>
      </c>
      <c r="AU60" s="19">
        <f t="shared" si="81"/>
        <v>41</v>
      </c>
      <c r="AV60" s="19">
        <f t="shared" si="82"/>
        <v>11</v>
      </c>
      <c r="AW60" s="16">
        <f t="shared" si="83"/>
        <v>30</v>
      </c>
      <c r="AX60" s="16">
        <f t="shared" si="84"/>
        <v>0</v>
      </c>
      <c r="AY60" s="16">
        <f t="shared" si="85"/>
        <v>0</v>
      </c>
      <c r="AZ60" s="21">
        <v>1100</v>
      </c>
      <c r="BA60" s="21">
        <v>100</v>
      </c>
      <c r="BB60" s="21">
        <v>0</v>
      </c>
      <c r="BC60" s="19">
        <f t="shared" si="86"/>
        <v>1100</v>
      </c>
      <c r="BD60" s="19">
        <f t="shared" si="87"/>
        <v>100</v>
      </c>
      <c r="BE60" s="19">
        <f t="shared" si="88"/>
        <v>787</v>
      </c>
      <c r="BF60" s="19">
        <f t="shared" si="89"/>
        <v>0</v>
      </c>
      <c r="BG60" s="19">
        <f t="shared" si="90"/>
        <v>0</v>
      </c>
      <c r="BH60" s="19">
        <f t="shared" si="91"/>
        <v>0</v>
      </c>
      <c r="BI60" s="19">
        <v>95</v>
      </c>
      <c r="BJ60" s="19">
        <f t="shared" si="92"/>
        <v>2082</v>
      </c>
      <c r="BK60" s="19">
        <v>0</v>
      </c>
      <c r="BL60" s="19">
        <v>0</v>
      </c>
      <c r="BM60" s="19">
        <f t="shared" si="93"/>
        <v>0</v>
      </c>
      <c r="BN60" s="19">
        <f t="shared" si="94"/>
        <v>2082</v>
      </c>
      <c r="BO60" s="19">
        <v>0</v>
      </c>
      <c r="BP60" s="19">
        <v>0</v>
      </c>
      <c r="BQ60" s="22">
        <f t="shared" si="95"/>
        <v>2082</v>
      </c>
      <c r="BR60" s="82">
        <f t="shared" si="96"/>
        <v>0</v>
      </c>
      <c r="BS60" s="19">
        <f t="shared" si="97"/>
        <v>0</v>
      </c>
      <c r="BT60" s="19">
        <f t="shared" si="98"/>
        <v>0</v>
      </c>
      <c r="BU60" s="19">
        <f t="shared" si="99"/>
        <v>0</v>
      </c>
      <c r="BV60" s="19">
        <f t="shared" si="100"/>
        <v>0</v>
      </c>
      <c r="BW60" s="19">
        <f t="shared" si="101"/>
        <v>0</v>
      </c>
      <c r="BX60" s="19">
        <f t="shared" si="102"/>
        <v>0</v>
      </c>
      <c r="BY60" s="19">
        <f t="shared" si="103"/>
        <v>0</v>
      </c>
      <c r="BZ60" s="19">
        <f t="shared" si="104"/>
        <v>0</v>
      </c>
      <c r="CA60" s="19">
        <f t="shared" si="105"/>
        <v>0</v>
      </c>
      <c r="CB60" s="19">
        <f t="shared" si="106"/>
        <v>25</v>
      </c>
      <c r="CC60" s="19">
        <f t="shared" si="107"/>
        <v>75</v>
      </c>
      <c r="CD60" s="19">
        <f t="shared" si="108"/>
        <v>0</v>
      </c>
      <c r="CE60" s="19">
        <f t="shared" si="109"/>
        <v>0</v>
      </c>
      <c r="CF60" s="19">
        <f t="shared" si="110"/>
        <v>0</v>
      </c>
      <c r="CG60" s="19">
        <f t="shared" si="111"/>
        <v>0</v>
      </c>
      <c r="CH60" s="19">
        <f t="shared" si="112"/>
        <v>0</v>
      </c>
      <c r="CI60" s="19">
        <f t="shared" si="113"/>
        <v>0</v>
      </c>
      <c r="CJ60" s="19">
        <f t="shared" si="114"/>
        <v>0</v>
      </c>
      <c r="CK60" s="19">
        <f t="shared" si="115"/>
        <v>0</v>
      </c>
      <c r="CL60" s="19">
        <f t="shared" si="116"/>
        <v>0</v>
      </c>
      <c r="CM60" s="19">
        <f t="shared" si="117"/>
        <v>0</v>
      </c>
      <c r="CN60" s="19">
        <f t="shared" si="118"/>
        <v>0</v>
      </c>
      <c r="CO60" s="19">
        <f t="shared" si="119"/>
        <v>0</v>
      </c>
      <c r="CP60" s="19">
        <f t="shared" si="120"/>
        <v>0</v>
      </c>
      <c r="CQ60" s="19">
        <f t="shared" si="121"/>
        <v>0</v>
      </c>
      <c r="CR60" s="19">
        <f t="shared" si="122"/>
        <v>0</v>
      </c>
      <c r="CS60" s="19">
        <f t="shared" si="123"/>
        <v>0</v>
      </c>
      <c r="CT60" s="19">
        <f t="shared" si="124"/>
        <v>0</v>
      </c>
      <c r="CU60" s="19">
        <f t="shared" si="125"/>
        <v>0</v>
      </c>
      <c r="CV60" s="19">
        <f t="shared" si="126"/>
        <v>0</v>
      </c>
      <c r="CW60" s="19">
        <f t="shared" si="127"/>
        <v>0</v>
      </c>
      <c r="CX60" s="19">
        <f t="shared" si="128"/>
        <v>0</v>
      </c>
      <c r="CY60" s="19">
        <f t="shared" si="129"/>
        <v>0</v>
      </c>
      <c r="CZ60" s="19">
        <f t="shared" si="130"/>
        <v>0</v>
      </c>
      <c r="DA60" s="19">
        <f t="shared" si="131"/>
        <v>0</v>
      </c>
      <c r="DB60" s="19">
        <f t="shared" si="132"/>
        <v>0</v>
      </c>
      <c r="DC60" s="19">
        <f t="shared" si="133"/>
        <v>0</v>
      </c>
      <c r="DD60" s="19">
        <f t="shared" si="134"/>
        <v>0</v>
      </c>
      <c r="DE60" s="19">
        <f t="shared" si="135"/>
        <v>0</v>
      </c>
      <c r="DF60" s="19">
        <f t="shared" si="136"/>
        <v>0</v>
      </c>
      <c r="DG60" s="19">
        <f t="shared" si="137"/>
        <v>0</v>
      </c>
      <c r="DH60" s="19">
        <f t="shared" si="138"/>
        <v>0</v>
      </c>
      <c r="DI60" s="19">
        <f t="shared" si="139"/>
        <v>0</v>
      </c>
      <c r="DJ60" s="19">
        <f t="shared" si="140"/>
        <v>0</v>
      </c>
      <c r="DK60" s="19">
        <f t="shared" si="141"/>
        <v>0</v>
      </c>
      <c r="DL60" s="19">
        <f t="shared" si="142"/>
        <v>0</v>
      </c>
      <c r="DM60" s="19">
        <f t="shared" si="143"/>
        <v>0</v>
      </c>
      <c r="DN60" s="19">
        <f t="shared" si="144"/>
        <v>0</v>
      </c>
      <c r="DO60" s="19">
        <f t="shared" si="145"/>
        <v>0</v>
      </c>
      <c r="DP60" s="19">
        <f t="shared" si="146"/>
        <v>0</v>
      </c>
      <c r="DQ60" s="19">
        <f t="shared" si="147"/>
        <v>0</v>
      </c>
      <c r="DR60" s="19">
        <f t="shared" si="148"/>
        <v>0</v>
      </c>
      <c r="DS60" s="19">
        <f t="shared" si="149"/>
        <v>0</v>
      </c>
      <c r="DT60" s="19">
        <f t="shared" si="150"/>
        <v>0</v>
      </c>
      <c r="DU60" s="19">
        <f t="shared" si="151"/>
        <v>0</v>
      </c>
      <c r="DV60" s="19">
        <f t="shared" si="152"/>
        <v>0</v>
      </c>
      <c r="DW60" s="19">
        <f t="shared" si="153"/>
        <v>0</v>
      </c>
      <c r="DX60" s="19">
        <f t="shared" si="154"/>
        <v>0</v>
      </c>
      <c r="DY60" s="19">
        <f t="shared" si="155"/>
        <v>0</v>
      </c>
      <c r="DZ60" s="19">
        <f t="shared" si="156"/>
        <v>0</v>
      </c>
      <c r="EA60" s="19">
        <f t="shared" si="157"/>
        <v>0</v>
      </c>
      <c r="EB60" s="19">
        <f t="shared" si="158"/>
        <v>0</v>
      </c>
      <c r="EC60" s="19">
        <f t="shared" si="159"/>
        <v>0</v>
      </c>
    </row>
    <row r="61" spans="1:133" s="78" customFormat="1" ht="18" customHeight="1" x14ac:dyDescent="0.25">
      <c r="A61" s="15">
        <v>58</v>
      </c>
      <c r="B61" s="108" t="s">
        <v>514</v>
      </c>
      <c r="C61" s="74" t="s">
        <v>426</v>
      </c>
      <c r="D61" s="16" t="s">
        <v>61</v>
      </c>
      <c r="E61" s="18">
        <v>45596</v>
      </c>
      <c r="F61" s="19">
        <v>11</v>
      </c>
      <c r="G61" s="19">
        <v>11</v>
      </c>
      <c r="H61" s="19">
        <v>11</v>
      </c>
      <c r="I61" s="19">
        <v>11</v>
      </c>
      <c r="J61" s="19" t="s">
        <v>603</v>
      </c>
      <c r="K61" s="19">
        <v>11</v>
      </c>
      <c r="L61" s="19" t="s">
        <v>15</v>
      </c>
      <c r="M61" s="19">
        <v>11</v>
      </c>
      <c r="N61" s="19">
        <v>11</v>
      </c>
      <c r="O61" s="19">
        <v>11</v>
      </c>
      <c r="P61" s="19">
        <v>11</v>
      </c>
      <c r="Q61" s="19">
        <v>11</v>
      </c>
      <c r="R61" s="19">
        <v>11</v>
      </c>
      <c r="S61" s="19" t="s">
        <v>15</v>
      </c>
      <c r="T61" s="19">
        <v>11</v>
      </c>
      <c r="U61" s="19">
        <v>11</v>
      </c>
      <c r="V61" s="19">
        <v>11</v>
      </c>
      <c r="W61" s="19">
        <v>11</v>
      </c>
      <c r="X61" s="19">
        <v>11</v>
      </c>
      <c r="Y61" s="19">
        <v>11</v>
      </c>
      <c r="Z61" s="19" t="s">
        <v>15</v>
      </c>
      <c r="AA61" s="19">
        <v>11</v>
      </c>
      <c r="AB61" s="19">
        <v>11</v>
      </c>
      <c r="AC61" s="19">
        <v>11</v>
      </c>
      <c r="AD61" s="19">
        <v>11</v>
      </c>
      <c r="AE61" s="19">
        <v>11</v>
      </c>
      <c r="AF61" s="19">
        <v>11</v>
      </c>
      <c r="AG61" s="19" t="s">
        <v>15</v>
      </c>
      <c r="AH61" s="19">
        <v>11</v>
      </c>
      <c r="AI61" s="19">
        <v>11</v>
      </c>
      <c r="AJ61" s="19">
        <v>0</v>
      </c>
      <c r="AK61" s="19">
        <v>11</v>
      </c>
      <c r="AL61" s="19">
        <v>11</v>
      </c>
      <c r="AM61" s="19">
        <v>11</v>
      </c>
      <c r="AN61" s="19">
        <v>0</v>
      </c>
      <c r="AO61" s="19">
        <v>11</v>
      </c>
      <c r="AP61" s="19"/>
      <c r="AQ61" s="19"/>
      <c r="AR61" s="19"/>
      <c r="AS61" s="19">
        <v>0</v>
      </c>
      <c r="AT61" s="19">
        <f t="shared" si="80"/>
        <v>75</v>
      </c>
      <c r="AU61" s="19">
        <f t="shared" si="81"/>
        <v>33</v>
      </c>
      <c r="AV61" s="19">
        <f t="shared" si="82"/>
        <v>11</v>
      </c>
      <c r="AW61" s="16">
        <f t="shared" si="83"/>
        <v>30</v>
      </c>
      <c r="AX61" s="16">
        <f t="shared" si="84"/>
        <v>0</v>
      </c>
      <c r="AY61" s="16">
        <f t="shared" si="85"/>
        <v>0</v>
      </c>
      <c r="AZ61" s="21">
        <v>1100</v>
      </c>
      <c r="BA61" s="21">
        <v>100</v>
      </c>
      <c r="BB61" s="21">
        <v>0</v>
      </c>
      <c r="BC61" s="19">
        <f t="shared" si="86"/>
        <v>1100</v>
      </c>
      <c r="BD61" s="19">
        <f t="shared" si="87"/>
        <v>100</v>
      </c>
      <c r="BE61" s="19">
        <f t="shared" si="88"/>
        <v>732</v>
      </c>
      <c r="BF61" s="19">
        <f t="shared" si="89"/>
        <v>0</v>
      </c>
      <c r="BG61" s="19">
        <f t="shared" si="90"/>
        <v>0</v>
      </c>
      <c r="BH61" s="19">
        <f t="shared" si="91"/>
        <v>0</v>
      </c>
      <c r="BI61" s="19">
        <v>95</v>
      </c>
      <c r="BJ61" s="19">
        <f t="shared" si="92"/>
        <v>2027</v>
      </c>
      <c r="BK61" s="19">
        <v>0</v>
      </c>
      <c r="BL61" s="19">
        <v>0</v>
      </c>
      <c r="BM61" s="19">
        <f t="shared" si="93"/>
        <v>0</v>
      </c>
      <c r="BN61" s="19">
        <f t="shared" si="94"/>
        <v>2027</v>
      </c>
      <c r="BO61" s="19">
        <v>0</v>
      </c>
      <c r="BP61" s="19">
        <v>0</v>
      </c>
      <c r="BQ61" s="22">
        <f t="shared" si="95"/>
        <v>2027</v>
      </c>
      <c r="BR61" s="82">
        <f t="shared" si="96"/>
        <v>0</v>
      </c>
      <c r="BS61" s="19">
        <f t="shared" si="97"/>
        <v>0</v>
      </c>
      <c r="BT61" s="19">
        <f t="shared" si="98"/>
        <v>0</v>
      </c>
      <c r="BU61" s="19">
        <f t="shared" si="99"/>
        <v>0</v>
      </c>
      <c r="BV61" s="19">
        <f t="shared" si="100"/>
        <v>0</v>
      </c>
      <c r="BW61" s="19">
        <f t="shared" si="101"/>
        <v>0</v>
      </c>
      <c r="BX61" s="19">
        <f t="shared" si="102"/>
        <v>0</v>
      </c>
      <c r="BY61" s="19">
        <f t="shared" si="103"/>
        <v>0</v>
      </c>
      <c r="BZ61" s="19">
        <f t="shared" si="104"/>
        <v>0</v>
      </c>
      <c r="CA61" s="19">
        <f t="shared" si="105"/>
        <v>0</v>
      </c>
      <c r="CB61" s="19">
        <f t="shared" si="106"/>
        <v>25</v>
      </c>
      <c r="CC61" s="19">
        <f t="shared" si="107"/>
        <v>75</v>
      </c>
      <c r="CD61" s="19">
        <f t="shared" si="108"/>
        <v>0</v>
      </c>
      <c r="CE61" s="19">
        <f t="shared" si="109"/>
        <v>0</v>
      </c>
      <c r="CF61" s="19">
        <f t="shared" si="110"/>
        <v>0</v>
      </c>
      <c r="CG61" s="19">
        <f t="shared" si="111"/>
        <v>0</v>
      </c>
      <c r="CH61" s="19">
        <f t="shared" si="112"/>
        <v>0</v>
      </c>
      <c r="CI61" s="19">
        <f t="shared" si="113"/>
        <v>0</v>
      </c>
      <c r="CJ61" s="19">
        <f t="shared" si="114"/>
        <v>0</v>
      </c>
      <c r="CK61" s="19">
        <f t="shared" si="115"/>
        <v>0</v>
      </c>
      <c r="CL61" s="19">
        <f t="shared" si="116"/>
        <v>0</v>
      </c>
      <c r="CM61" s="19">
        <f t="shared" si="117"/>
        <v>0</v>
      </c>
      <c r="CN61" s="19">
        <f t="shared" si="118"/>
        <v>0</v>
      </c>
      <c r="CO61" s="19">
        <f t="shared" si="119"/>
        <v>0</v>
      </c>
      <c r="CP61" s="19">
        <f t="shared" si="120"/>
        <v>0</v>
      </c>
      <c r="CQ61" s="19">
        <f t="shared" si="121"/>
        <v>0</v>
      </c>
      <c r="CR61" s="19">
        <f t="shared" si="122"/>
        <v>0</v>
      </c>
      <c r="CS61" s="19">
        <f t="shared" si="123"/>
        <v>0</v>
      </c>
      <c r="CT61" s="19">
        <f t="shared" si="124"/>
        <v>0</v>
      </c>
      <c r="CU61" s="19">
        <f t="shared" si="125"/>
        <v>0</v>
      </c>
      <c r="CV61" s="19">
        <f t="shared" si="126"/>
        <v>0</v>
      </c>
      <c r="CW61" s="19">
        <f t="shared" si="127"/>
        <v>0</v>
      </c>
      <c r="CX61" s="19">
        <f t="shared" si="128"/>
        <v>0</v>
      </c>
      <c r="CY61" s="19">
        <f t="shared" si="129"/>
        <v>0</v>
      </c>
      <c r="CZ61" s="19">
        <f t="shared" si="130"/>
        <v>0</v>
      </c>
      <c r="DA61" s="19">
        <f t="shared" si="131"/>
        <v>0</v>
      </c>
      <c r="DB61" s="19">
        <f t="shared" si="132"/>
        <v>0</v>
      </c>
      <c r="DC61" s="19">
        <f t="shared" si="133"/>
        <v>0</v>
      </c>
      <c r="DD61" s="19">
        <f t="shared" si="134"/>
        <v>0</v>
      </c>
      <c r="DE61" s="19">
        <f t="shared" si="135"/>
        <v>0</v>
      </c>
      <c r="DF61" s="19">
        <f t="shared" si="136"/>
        <v>0</v>
      </c>
      <c r="DG61" s="19">
        <f t="shared" si="137"/>
        <v>0</v>
      </c>
      <c r="DH61" s="19">
        <f t="shared" si="138"/>
        <v>0</v>
      </c>
      <c r="DI61" s="19">
        <f t="shared" si="139"/>
        <v>0</v>
      </c>
      <c r="DJ61" s="19">
        <f t="shared" si="140"/>
        <v>0</v>
      </c>
      <c r="DK61" s="19">
        <f t="shared" si="141"/>
        <v>0</v>
      </c>
      <c r="DL61" s="19">
        <f t="shared" si="142"/>
        <v>0</v>
      </c>
      <c r="DM61" s="19">
        <f t="shared" si="143"/>
        <v>0</v>
      </c>
      <c r="DN61" s="19">
        <f t="shared" si="144"/>
        <v>0</v>
      </c>
      <c r="DO61" s="19">
        <f t="shared" si="145"/>
        <v>0</v>
      </c>
      <c r="DP61" s="19">
        <f t="shared" si="146"/>
        <v>0</v>
      </c>
      <c r="DQ61" s="19">
        <f t="shared" si="147"/>
        <v>0</v>
      </c>
      <c r="DR61" s="19">
        <f t="shared" si="148"/>
        <v>0</v>
      </c>
      <c r="DS61" s="19">
        <f t="shared" si="149"/>
        <v>0</v>
      </c>
      <c r="DT61" s="19">
        <f t="shared" si="150"/>
        <v>0</v>
      </c>
      <c r="DU61" s="19">
        <f t="shared" si="151"/>
        <v>0</v>
      </c>
      <c r="DV61" s="19">
        <f t="shared" si="152"/>
        <v>0</v>
      </c>
      <c r="DW61" s="19">
        <f t="shared" si="153"/>
        <v>0</v>
      </c>
      <c r="DX61" s="19">
        <f t="shared" si="154"/>
        <v>0</v>
      </c>
      <c r="DY61" s="19">
        <f t="shared" si="155"/>
        <v>0</v>
      </c>
      <c r="DZ61" s="19">
        <f t="shared" si="156"/>
        <v>0</v>
      </c>
      <c r="EA61" s="19">
        <f t="shared" si="157"/>
        <v>0</v>
      </c>
      <c r="EB61" s="19">
        <f t="shared" si="158"/>
        <v>0</v>
      </c>
      <c r="EC61" s="19">
        <f t="shared" si="159"/>
        <v>0</v>
      </c>
    </row>
    <row r="62" spans="1:133" s="78" customFormat="1" ht="18" customHeight="1" x14ac:dyDescent="0.25">
      <c r="A62" s="15">
        <v>59</v>
      </c>
      <c r="B62" s="108" t="s">
        <v>516</v>
      </c>
      <c r="C62" s="74" t="s">
        <v>429</v>
      </c>
      <c r="D62" s="16" t="s">
        <v>61</v>
      </c>
      <c r="E62" s="18">
        <v>45611</v>
      </c>
      <c r="F62" s="19">
        <v>10</v>
      </c>
      <c r="G62" s="19">
        <v>10</v>
      </c>
      <c r="H62" s="19">
        <v>10</v>
      </c>
      <c r="I62" s="19">
        <v>10</v>
      </c>
      <c r="J62" s="19" t="s">
        <v>603</v>
      </c>
      <c r="K62" s="19">
        <v>10</v>
      </c>
      <c r="L62" s="19" t="s">
        <v>15</v>
      </c>
      <c r="M62" s="19">
        <v>10</v>
      </c>
      <c r="N62" s="19">
        <v>10</v>
      </c>
      <c r="O62" s="19">
        <v>10</v>
      </c>
      <c r="P62" s="19">
        <v>10</v>
      </c>
      <c r="Q62" s="19">
        <v>10</v>
      </c>
      <c r="R62" s="19">
        <v>10</v>
      </c>
      <c r="S62" s="19" t="s">
        <v>15</v>
      </c>
      <c r="T62" s="19">
        <v>10</v>
      </c>
      <c r="U62" s="19">
        <v>10</v>
      </c>
      <c r="V62" s="19">
        <v>10</v>
      </c>
      <c r="W62" s="19">
        <v>10</v>
      </c>
      <c r="X62" s="19">
        <v>10</v>
      </c>
      <c r="Y62" s="19">
        <v>10</v>
      </c>
      <c r="Z62" s="19" t="s">
        <v>15</v>
      </c>
      <c r="AA62" s="19">
        <v>10</v>
      </c>
      <c r="AB62" s="19">
        <v>10</v>
      </c>
      <c r="AC62" s="19">
        <v>10</v>
      </c>
      <c r="AD62" s="19" t="s">
        <v>316</v>
      </c>
      <c r="AE62" s="19">
        <v>10</v>
      </c>
      <c r="AF62" s="19">
        <v>10</v>
      </c>
      <c r="AG62" s="19" t="s">
        <v>316</v>
      </c>
      <c r="AH62" s="19">
        <v>10</v>
      </c>
      <c r="AI62" s="19">
        <v>10</v>
      </c>
      <c r="AJ62" s="19">
        <v>0</v>
      </c>
      <c r="AK62" s="19">
        <v>0</v>
      </c>
      <c r="AL62" s="19">
        <v>0</v>
      </c>
      <c r="AM62" s="19">
        <v>10</v>
      </c>
      <c r="AN62" s="19">
        <v>0</v>
      </c>
      <c r="AO62" s="19">
        <v>0</v>
      </c>
      <c r="AP62" s="19"/>
      <c r="AQ62" s="19"/>
      <c r="AR62" s="19"/>
      <c r="AS62" s="19">
        <v>0</v>
      </c>
      <c r="AT62" s="19">
        <f t="shared" si="80"/>
        <v>48</v>
      </c>
      <c r="AU62" s="19">
        <f t="shared" si="81"/>
        <v>10</v>
      </c>
      <c r="AV62" s="19">
        <f t="shared" si="82"/>
        <v>0</v>
      </c>
      <c r="AW62" s="16">
        <f t="shared" si="83"/>
        <v>28</v>
      </c>
      <c r="AX62" s="16">
        <f t="shared" si="84"/>
        <v>2</v>
      </c>
      <c r="AY62" s="16">
        <f t="shared" si="85"/>
        <v>0</v>
      </c>
      <c r="AZ62" s="21">
        <v>800</v>
      </c>
      <c r="BA62" s="21">
        <v>100</v>
      </c>
      <c r="BB62" s="21">
        <v>0</v>
      </c>
      <c r="BC62" s="19">
        <f t="shared" si="86"/>
        <v>747</v>
      </c>
      <c r="BD62" s="19">
        <f t="shared" si="87"/>
        <v>93</v>
      </c>
      <c r="BE62" s="19">
        <f t="shared" si="88"/>
        <v>250</v>
      </c>
      <c r="BF62" s="19">
        <f t="shared" si="89"/>
        <v>0</v>
      </c>
      <c r="BG62" s="19">
        <f t="shared" si="90"/>
        <v>0</v>
      </c>
      <c r="BH62" s="19">
        <f t="shared" si="91"/>
        <v>0</v>
      </c>
      <c r="BI62" s="19">
        <v>0</v>
      </c>
      <c r="BJ62" s="19">
        <f t="shared" si="92"/>
        <v>1090</v>
      </c>
      <c r="BK62" s="19">
        <v>0</v>
      </c>
      <c r="BL62" s="19">
        <v>100</v>
      </c>
      <c r="BM62" s="19">
        <f t="shared" si="93"/>
        <v>100</v>
      </c>
      <c r="BN62" s="19">
        <f t="shared" si="94"/>
        <v>990</v>
      </c>
      <c r="BO62" s="19">
        <v>0</v>
      </c>
      <c r="BP62" s="19">
        <v>0</v>
      </c>
      <c r="BQ62" s="22">
        <f t="shared" si="95"/>
        <v>990</v>
      </c>
      <c r="BR62" s="82">
        <f t="shared" si="96"/>
        <v>0</v>
      </c>
      <c r="BS62" s="19">
        <f t="shared" si="97"/>
        <v>0</v>
      </c>
      <c r="BT62" s="19">
        <f t="shared" si="98"/>
        <v>0</v>
      </c>
      <c r="BU62" s="19">
        <f t="shared" si="99"/>
        <v>0</v>
      </c>
      <c r="BV62" s="19">
        <f t="shared" si="100"/>
        <v>0</v>
      </c>
      <c r="BW62" s="19">
        <f t="shared" si="101"/>
        <v>0</v>
      </c>
      <c r="BX62" s="19">
        <f t="shared" si="102"/>
        <v>24</v>
      </c>
      <c r="BY62" s="19">
        <f t="shared" si="103"/>
        <v>48</v>
      </c>
      <c r="BZ62" s="19">
        <f t="shared" si="104"/>
        <v>0</v>
      </c>
      <c r="CA62" s="19">
        <f t="shared" si="105"/>
        <v>0</v>
      </c>
      <c r="CB62" s="19">
        <f t="shared" si="106"/>
        <v>0</v>
      </c>
      <c r="CC62" s="19">
        <f t="shared" si="107"/>
        <v>0</v>
      </c>
      <c r="CD62" s="19">
        <f t="shared" si="108"/>
        <v>0</v>
      </c>
      <c r="CE62" s="19">
        <f t="shared" si="109"/>
        <v>0</v>
      </c>
      <c r="CF62" s="19">
        <f t="shared" si="110"/>
        <v>0</v>
      </c>
      <c r="CG62" s="19">
        <f t="shared" si="111"/>
        <v>0</v>
      </c>
      <c r="CH62" s="19">
        <f t="shared" si="112"/>
        <v>0</v>
      </c>
      <c r="CI62" s="19">
        <f t="shared" si="113"/>
        <v>0</v>
      </c>
      <c r="CJ62" s="19">
        <f t="shared" si="114"/>
        <v>0</v>
      </c>
      <c r="CK62" s="19">
        <f t="shared" si="115"/>
        <v>0</v>
      </c>
      <c r="CL62" s="19">
        <f t="shared" si="116"/>
        <v>0</v>
      </c>
      <c r="CM62" s="19">
        <f t="shared" si="117"/>
        <v>0</v>
      </c>
      <c r="CN62" s="19">
        <f t="shared" si="118"/>
        <v>0</v>
      </c>
      <c r="CO62" s="19">
        <f t="shared" si="119"/>
        <v>0</v>
      </c>
      <c r="CP62" s="19">
        <f t="shared" si="120"/>
        <v>0</v>
      </c>
      <c r="CQ62" s="19">
        <f t="shared" si="121"/>
        <v>0</v>
      </c>
      <c r="CR62" s="19">
        <f t="shared" si="122"/>
        <v>0</v>
      </c>
      <c r="CS62" s="19">
        <f t="shared" si="123"/>
        <v>0</v>
      </c>
      <c r="CT62" s="19">
        <f t="shared" si="124"/>
        <v>0</v>
      </c>
      <c r="CU62" s="19">
        <f t="shared" si="125"/>
        <v>0</v>
      </c>
      <c r="CV62" s="19">
        <f t="shared" si="126"/>
        <v>0</v>
      </c>
      <c r="CW62" s="19">
        <f t="shared" si="127"/>
        <v>0</v>
      </c>
      <c r="CX62" s="19">
        <f t="shared" si="128"/>
        <v>0</v>
      </c>
      <c r="CY62" s="19">
        <f t="shared" si="129"/>
        <v>0</v>
      </c>
      <c r="CZ62" s="19">
        <f t="shared" si="130"/>
        <v>0</v>
      </c>
      <c r="DA62" s="19">
        <f t="shared" si="131"/>
        <v>0</v>
      </c>
      <c r="DB62" s="19">
        <f t="shared" si="132"/>
        <v>0</v>
      </c>
      <c r="DC62" s="19">
        <f t="shared" si="133"/>
        <v>0</v>
      </c>
      <c r="DD62" s="19">
        <f t="shared" si="134"/>
        <v>0</v>
      </c>
      <c r="DE62" s="19">
        <f t="shared" si="135"/>
        <v>0</v>
      </c>
      <c r="DF62" s="19">
        <f t="shared" si="136"/>
        <v>0</v>
      </c>
      <c r="DG62" s="19">
        <f t="shared" si="137"/>
        <v>0</v>
      </c>
      <c r="DH62" s="19">
        <f t="shared" si="138"/>
        <v>0</v>
      </c>
      <c r="DI62" s="19">
        <f t="shared" si="139"/>
        <v>0</v>
      </c>
      <c r="DJ62" s="19">
        <f t="shared" si="140"/>
        <v>0</v>
      </c>
      <c r="DK62" s="19">
        <f t="shared" si="141"/>
        <v>0</v>
      </c>
      <c r="DL62" s="19">
        <f t="shared" si="142"/>
        <v>0</v>
      </c>
      <c r="DM62" s="19">
        <f t="shared" si="143"/>
        <v>0</v>
      </c>
      <c r="DN62" s="19">
        <f t="shared" si="144"/>
        <v>0</v>
      </c>
      <c r="DO62" s="19">
        <f t="shared" si="145"/>
        <v>0</v>
      </c>
      <c r="DP62" s="19">
        <f t="shared" si="146"/>
        <v>0</v>
      </c>
      <c r="DQ62" s="19">
        <f t="shared" si="147"/>
        <v>0</v>
      </c>
      <c r="DR62" s="19">
        <f t="shared" si="148"/>
        <v>0</v>
      </c>
      <c r="DS62" s="19">
        <f t="shared" si="149"/>
        <v>0</v>
      </c>
      <c r="DT62" s="19">
        <f t="shared" si="150"/>
        <v>0</v>
      </c>
      <c r="DU62" s="19">
        <f t="shared" si="151"/>
        <v>0</v>
      </c>
      <c r="DV62" s="19">
        <f t="shared" si="152"/>
        <v>0</v>
      </c>
      <c r="DW62" s="19">
        <f t="shared" si="153"/>
        <v>0</v>
      </c>
      <c r="DX62" s="19">
        <f t="shared" si="154"/>
        <v>0</v>
      </c>
      <c r="DY62" s="19">
        <f t="shared" si="155"/>
        <v>0</v>
      </c>
      <c r="DZ62" s="19">
        <f t="shared" si="156"/>
        <v>0</v>
      </c>
      <c r="EA62" s="19">
        <f t="shared" si="157"/>
        <v>0</v>
      </c>
      <c r="EB62" s="19">
        <f t="shared" si="158"/>
        <v>0</v>
      </c>
      <c r="EC62" s="19">
        <f t="shared" si="159"/>
        <v>0</v>
      </c>
    </row>
    <row r="63" spans="1:133" s="78" customFormat="1" ht="18" customHeight="1" x14ac:dyDescent="0.25">
      <c r="A63" s="15">
        <v>60</v>
      </c>
      <c r="B63" s="108" t="s">
        <v>517</v>
      </c>
      <c r="C63" s="74" t="s">
        <v>430</v>
      </c>
      <c r="D63" s="16" t="s">
        <v>61</v>
      </c>
      <c r="E63" s="18">
        <v>45612</v>
      </c>
      <c r="F63" s="19">
        <v>11</v>
      </c>
      <c r="G63" s="19">
        <v>11</v>
      </c>
      <c r="H63" s="19">
        <v>11</v>
      </c>
      <c r="I63" s="19">
        <v>11</v>
      </c>
      <c r="J63" s="19" t="s">
        <v>603</v>
      </c>
      <c r="K63" s="19">
        <v>11</v>
      </c>
      <c r="L63" s="19" t="s">
        <v>15</v>
      </c>
      <c r="M63" s="19">
        <v>11</v>
      </c>
      <c r="N63" s="19">
        <v>11</v>
      </c>
      <c r="O63" s="19">
        <v>11</v>
      </c>
      <c r="P63" s="19">
        <v>11</v>
      </c>
      <c r="Q63" s="19">
        <v>11</v>
      </c>
      <c r="R63" s="19">
        <v>11</v>
      </c>
      <c r="S63" s="19" t="s">
        <v>15</v>
      </c>
      <c r="T63" s="19">
        <v>11</v>
      </c>
      <c r="U63" s="19">
        <v>11</v>
      </c>
      <c r="V63" s="19">
        <v>11</v>
      </c>
      <c r="W63" s="19">
        <v>11</v>
      </c>
      <c r="X63" s="19">
        <v>11</v>
      </c>
      <c r="Y63" s="19">
        <v>11</v>
      </c>
      <c r="Z63" s="19" t="s">
        <v>15</v>
      </c>
      <c r="AA63" s="19">
        <v>11</v>
      </c>
      <c r="AB63" s="19">
        <v>11</v>
      </c>
      <c r="AC63" s="19">
        <v>11</v>
      </c>
      <c r="AD63" s="19">
        <v>11</v>
      </c>
      <c r="AE63" s="19">
        <v>11</v>
      </c>
      <c r="AF63" s="19">
        <v>11</v>
      </c>
      <c r="AG63" s="19" t="s">
        <v>15</v>
      </c>
      <c r="AH63" s="19">
        <v>11</v>
      </c>
      <c r="AI63" s="19">
        <v>11</v>
      </c>
      <c r="AJ63" s="19">
        <v>0</v>
      </c>
      <c r="AK63" s="19">
        <v>10</v>
      </c>
      <c r="AL63" s="19">
        <v>10</v>
      </c>
      <c r="AM63" s="19">
        <v>11</v>
      </c>
      <c r="AN63" s="19">
        <v>0</v>
      </c>
      <c r="AO63" s="19">
        <v>0</v>
      </c>
      <c r="AP63" s="19"/>
      <c r="AQ63" s="19"/>
      <c r="AR63" s="19"/>
      <c r="AS63" s="19">
        <v>0</v>
      </c>
      <c r="AT63" s="19">
        <f t="shared" si="80"/>
        <v>75</v>
      </c>
      <c r="AU63" s="19">
        <f t="shared" si="81"/>
        <v>31</v>
      </c>
      <c r="AV63" s="19">
        <f t="shared" si="82"/>
        <v>0</v>
      </c>
      <c r="AW63" s="16">
        <f t="shared" si="83"/>
        <v>30</v>
      </c>
      <c r="AX63" s="16">
        <f t="shared" si="84"/>
        <v>0</v>
      </c>
      <c r="AY63" s="16">
        <f t="shared" si="85"/>
        <v>0</v>
      </c>
      <c r="AZ63" s="21">
        <v>1050</v>
      </c>
      <c r="BA63" s="21">
        <v>100</v>
      </c>
      <c r="BB63" s="21">
        <v>0</v>
      </c>
      <c r="BC63" s="19">
        <f t="shared" si="86"/>
        <v>1050</v>
      </c>
      <c r="BD63" s="19">
        <f t="shared" si="87"/>
        <v>100</v>
      </c>
      <c r="BE63" s="19">
        <f t="shared" si="88"/>
        <v>614</v>
      </c>
      <c r="BF63" s="19">
        <f t="shared" si="89"/>
        <v>0</v>
      </c>
      <c r="BG63" s="19">
        <f t="shared" si="90"/>
        <v>0</v>
      </c>
      <c r="BH63" s="19">
        <f t="shared" si="91"/>
        <v>0</v>
      </c>
      <c r="BI63" s="19">
        <v>95</v>
      </c>
      <c r="BJ63" s="19">
        <f t="shared" si="92"/>
        <v>1859</v>
      </c>
      <c r="BK63" s="19">
        <v>0</v>
      </c>
      <c r="BL63" s="19">
        <v>0</v>
      </c>
      <c r="BM63" s="19">
        <f t="shared" si="93"/>
        <v>0</v>
      </c>
      <c r="BN63" s="19">
        <f t="shared" si="94"/>
        <v>1859</v>
      </c>
      <c r="BO63" s="19">
        <v>0</v>
      </c>
      <c r="BP63" s="19">
        <v>0</v>
      </c>
      <c r="BQ63" s="22">
        <f t="shared" si="95"/>
        <v>1859</v>
      </c>
      <c r="BR63" s="82">
        <f t="shared" si="96"/>
        <v>0</v>
      </c>
      <c r="BS63" s="19">
        <f t="shared" si="97"/>
        <v>0</v>
      </c>
      <c r="BT63" s="19">
        <f t="shared" si="98"/>
        <v>0</v>
      </c>
      <c r="BU63" s="19">
        <f t="shared" si="99"/>
        <v>0</v>
      </c>
      <c r="BV63" s="19">
        <f t="shared" si="100"/>
        <v>0</v>
      </c>
      <c r="BW63" s="19">
        <f t="shared" si="101"/>
        <v>0</v>
      </c>
      <c r="BX63" s="19">
        <f t="shared" si="102"/>
        <v>0</v>
      </c>
      <c r="BY63" s="19">
        <f t="shared" si="103"/>
        <v>0</v>
      </c>
      <c r="BZ63" s="19">
        <f t="shared" si="104"/>
        <v>0</v>
      </c>
      <c r="CA63" s="19">
        <f t="shared" si="105"/>
        <v>0</v>
      </c>
      <c r="CB63" s="19">
        <f t="shared" si="106"/>
        <v>25</v>
      </c>
      <c r="CC63" s="19">
        <f t="shared" si="107"/>
        <v>75</v>
      </c>
      <c r="CD63" s="19">
        <f t="shared" si="108"/>
        <v>0</v>
      </c>
      <c r="CE63" s="19">
        <f t="shared" si="109"/>
        <v>0</v>
      </c>
      <c r="CF63" s="19">
        <f t="shared" si="110"/>
        <v>0</v>
      </c>
      <c r="CG63" s="19">
        <f t="shared" si="111"/>
        <v>0</v>
      </c>
      <c r="CH63" s="19">
        <f t="shared" si="112"/>
        <v>0</v>
      </c>
      <c r="CI63" s="19">
        <f t="shared" si="113"/>
        <v>0</v>
      </c>
      <c r="CJ63" s="19">
        <f t="shared" si="114"/>
        <v>0</v>
      </c>
      <c r="CK63" s="19">
        <f t="shared" si="115"/>
        <v>0</v>
      </c>
      <c r="CL63" s="19">
        <f t="shared" si="116"/>
        <v>0</v>
      </c>
      <c r="CM63" s="19">
        <f t="shared" si="117"/>
        <v>0</v>
      </c>
      <c r="CN63" s="19">
        <f t="shared" si="118"/>
        <v>0</v>
      </c>
      <c r="CO63" s="19">
        <f t="shared" si="119"/>
        <v>0</v>
      </c>
      <c r="CP63" s="19">
        <f t="shared" si="120"/>
        <v>0</v>
      </c>
      <c r="CQ63" s="19">
        <f t="shared" si="121"/>
        <v>0</v>
      </c>
      <c r="CR63" s="19">
        <f t="shared" si="122"/>
        <v>0</v>
      </c>
      <c r="CS63" s="19">
        <f t="shared" si="123"/>
        <v>0</v>
      </c>
      <c r="CT63" s="19">
        <f t="shared" si="124"/>
        <v>0</v>
      </c>
      <c r="CU63" s="19">
        <f t="shared" si="125"/>
        <v>0</v>
      </c>
      <c r="CV63" s="19">
        <f t="shared" si="126"/>
        <v>0</v>
      </c>
      <c r="CW63" s="19">
        <f t="shared" si="127"/>
        <v>0</v>
      </c>
      <c r="CX63" s="19">
        <f t="shared" si="128"/>
        <v>0</v>
      </c>
      <c r="CY63" s="19">
        <f t="shared" si="129"/>
        <v>0</v>
      </c>
      <c r="CZ63" s="19">
        <f t="shared" si="130"/>
        <v>0</v>
      </c>
      <c r="DA63" s="19">
        <f t="shared" si="131"/>
        <v>0</v>
      </c>
      <c r="DB63" s="19">
        <f t="shared" si="132"/>
        <v>0</v>
      </c>
      <c r="DC63" s="19">
        <f t="shared" si="133"/>
        <v>0</v>
      </c>
      <c r="DD63" s="19">
        <f t="shared" si="134"/>
        <v>0</v>
      </c>
      <c r="DE63" s="19">
        <f t="shared" si="135"/>
        <v>0</v>
      </c>
      <c r="DF63" s="19">
        <f t="shared" si="136"/>
        <v>0</v>
      </c>
      <c r="DG63" s="19">
        <f t="shared" si="137"/>
        <v>0</v>
      </c>
      <c r="DH63" s="19">
        <f t="shared" si="138"/>
        <v>0</v>
      </c>
      <c r="DI63" s="19">
        <f t="shared" si="139"/>
        <v>0</v>
      </c>
      <c r="DJ63" s="19">
        <f t="shared" si="140"/>
        <v>0</v>
      </c>
      <c r="DK63" s="19">
        <f t="shared" si="141"/>
        <v>0</v>
      </c>
      <c r="DL63" s="19">
        <f t="shared" si="142"/>
        <v>0</v>
      </c>
      <c r="DM63" s="19">
        <f t="shared" si="143"/>
        <v>0</v>
      </c>
      <c r="DN63" s="19">
        <f t="shared" si="144"/>
        <v>0</v>
      </c>
      <c r="DO63" s="19">
        <f t="shared" si="145"/>
        <v>0</v>
      </c>
      <c r="DP63" s="19">
        <f t="shared" si="146"/>
        <v>0</v>
      </c>
      <c r="DQ63" s="19">
        <f t="shared" si="147"/>
        <v>0</v>
      </c>
      <c r="DR63" s="19">
        <f t="shared" si="148"/>
        <v>0</v>
      </c>
      <c r="DS63" s="19">
        <f t="shared" si="149"/>
        <v>0</v>
      </c>
      <c r="DT63" s="19">
        <f t="shared" si="150"/>
        <v>0</v>
      </c>
      <c r="DU63" s="19">
        <f t="shared" si="151"/>
        <v>0</v>
      </c>
      <c r="DV63" s="19">
        <f t="shared" si="152"/>
        <v>0</v>
      </c>
      <c r="DW63" s="19">
        <f t="shared" si="153"/>
        <v>0</v>
      </c>
      <c r="DX63" s="19">
        <f t="shared" si="154"/>
        <v>0</v>
      </c>
      <c r="DY63" s="19">
        <f t="shared" si="155"/>
        <v>0</v>
      </c>
      <c r="DZ63" s="19">
        <f t="shared" si="156"/>
        <v>0</v>
      </c>
      <c r="EA63" s="19">
        <f t="shared" si="157"/>
        <v>0</v>
      </c>
      <c r="EB63" s="19">
        <f t="shared" si="158"/>
        <v>0</v>
      </c>
      <c r="EC63" s="19">
        <f t="shared" si="159"/>
        <v>0</v>
      </c>
    </row>
    <row r="64" spans="1:133" s="78" customFormat="1" ht="18" customHeight="1" x14ac:dyDescent="0.25">
      <c r="A64" s="15">
        <v>61</v>
      </c>
      <c r="B64" s="108" t="s">
        <v>431</v>
      </c>
      <c r="C64" s="74" t="s">
        <v>432</v>
      </c>
      <c r="D64" s="16" t="s">
        <v>61</v>
      </c>
      <c r="E64" s="18">
        <v>45618</v>
      </c>
      <c r="F64" s="19">
        <v>11</v>
      </c>
      <c r="G64" s="19">
        <v>11</v>
      </c>
      <c r="H64" s="19">
        <v>11</v>
      </c>
      <c r="I64" s="19">
        <v>11</v>
      </c>
      <c r="J64" s="19" t="s">
        <v>603</v>
      </c>
      <c r="K64" s="19">
        <v>11</v>
      </c>
      <c r="L64" s="19" t="s">
        <v>15</v>
      </c>
      <c r="M64" s="19">
        <v>11</v>
      </c>
      <c r="N64" s="19">
        <v>11</v>
      </c>
      <c r="O64" s="19">
        <v>11</v>
      </c>
      <c r="P64" s="19">
        <v>11</v>
      </c>
      <c r="Q64" s="19">
        <v>11</v>
      </c>
      <c r="R64" s="19">
        <v>11</v>
      </c>
      <c r="S64" s="19" t="s">
        <v>15</v>
      </c>
      <c r="T64" s="19">
        <v>11</v>
      </c>
      <c r="U64" s="19">
        <v>11</v>
      </c>
      <c r="V64" s="19">
        <v>11</v>
      </c>
      <c r="W64" s="19">
        <v>11</v>
      </c>
      <c r="X64" s="19">
        <v>11</v>
      </c>
      <c r="Y64" s="19">
        <v>11</v>
      </c>
      <c r="Z64" s="19" t="s">
        <v>15</v>
      </c>
      <c r="AA64" s="19">
        <v>11</v>
      </c>
      <c r="AB64" s="19">
        <v>11</v>
      </c>
      <c r="AC64" s="19">
        <v>11</v>
      </c>
      <c r="AD64" s="19">
        <v>11</v>
      </c>
      <c r="AE64" s="19">
        <v>11</v>
      </c>
      <c r="AF64" s="19">
        <v>11</v>
      </c>
      <c r="AG64" s="19" t="s">
        <v>15</v>
      </c>
      <c r="AH64" s="19">
        <v>11</v>
      </c>
      <c r="AI64" s="19">
        <v>11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11</v>
      </c>
      <c r="AP64" s="19"/>
      <c r="AQ64" s="19"/>
      <c r="AR64" s="19"/>
      <c r="AS64" s="19">
        <v>0</v>
      </c>
      <c r="AT64" s="19">
        <f t="shared" si="80"/>
        <v>75</v>
      </c>
      <c r="AU64" s="19">
        <f t="shared" si="81"/>
        <v>0</v>
      </c>
      <c r="AV64" s="19">
        <f t="shared" si="82"/>
        <v>11</v>
      </c>
      <c r="AW64" s="16">
        <f t="shared" si="83"/>
        <v>30</v>
      </c>
      <c r="AX64" s="16">
        <f t="shared" si="84"/>
        <v>0</v>
      </c>
      <c r="AY64" s="16">
        <f t="shared" si="85"/>
        <v>0</v>
      </c>
      <c r="AZ64" s="21">
        <v>950</v>
      </c>
      <c r="BA64" s="21">
        <v>100</v>
      </c>
      <c r="BB64" s="21">
        <v>0</v>
      </c>
      <c r="BC64" s="19">
        <f t="shared" si="86"/>
        <v>950</v>
      </c>
      <c r="BD64" s="19">
        <f t="shared" si="87"/>
        <v>100</v>
      </c>
      <c r="BE64" s="19">
        <f t="shared" si="88"/>
        <v>436</v>
      </c>
      <c r="BF64" s="19">
        <f t="shared" si="89"/>
        <v>0</v>
      </c>
      <c r="BG64" s="19">
        <f t="shared" si="90"/>
        <v>0</v>
      </c>
      <c r="BH64" s="19">
        <f t="shared" si="91"/>
        <v>0</v>
      </c>
      <c r="BI64" s="19">
        <v>95</v>
      </c>
      <c r="BJ64" s="19">
        <f t="shared" si="92"/>
        <v>1581</v>
      </c>
      <c r="BK64" s="19">
        <v>0</v>
      </c>
      <c r="BL64" s="19">
        <v>0</v>
      </c>
      <c r="BM64" s="19">
        <f t="shared" si="93"/>
        <v>0</v>
      </c>
      <c r="BN64" s="19">
        <f t="shared" si="94"/>
        <v>1581</v>
      </c>
      <c r="BO64" s="19">
        <v>0</v>
      </c>
      <c r="BP64" s="19">
        <v>0</v>
      </c>
      <c r="BQ64" s="22">
        <f t="shared" si="95"/>
        <v>1581</v>
      </c>
      <c r="BR64" s="82">
        <f t="shared" si="96"/>
        <v>0</v>
      </c>
      <c r="BS64" s="19">
        <f t="shared" si="97"/>
        <v>0</v>
      </c>
      <c r="BT64" s="19">
        <f t="shared" si="98"/>
        <v>0</v>
      </c>
      <c r="BU64" s="19">
        <f t="shared" si="99"/>
        <v>0</v>
      </c>
      <c r="BV64" s="19">
        <f t="shared" si="100"/>
        <v>0</v>
      </c>
      <c r="BW64" s="19">
        <f t="shared" si="101"/>
        <v>0</v>
      </c>
      <c r="BX64" s="19">
        <f t="shared" si="102"/>
        <v>0</v>
      </c>
      <c r="BY64" s="19">
        <f t="shared" si="103"/>
        <v>0</v>
      </c>
      <c r="BZ64" s="19">
        <f t="shared" si="104"/>
        <v>0</v>
      </c>
      <c r="CA64" s="19">
        <f t="shared" si="105"/>
        <v>0</v>
      </c>
      <c r="CB64" s="19">
        <f t="shared" si="106"/>
        <v>25</v>
      </c>
      <c r="CC64" s="19">
        <f t="shared" si="107"/>
        <v>75</v>
      </c>
      <c r="CD64" s="19">
        <f t="shared" si="108"/>
        <v>0</v>
      </c>
      <c r="CE64" s="19">
        <f t="shared" si="109"/>
        <v>0</v>
      </c>
      <c r="CF64" s="19">
        <f t="shared" si="110"/>
        <v>0</v>
      </c>
      <c r="CG64" s="19">
        <f t="shared" si="111"/>
        <v>0</v>
      </c>
      <c r="CH64" s="19">
        <f t="shared" si="112"/>
        <v>0</v>
      </c>
      <c r="CI64" s="19">
        <f t="shared" si="113"/>
        <v>0</v>
      </c>
      <c r="CJ64" s="19">
        <f t="shared" si="114"/>
        <v>0</v>
      </c>
      <c r="CK64" s="19">
        <f t="shared" si="115"/>
        <v>0</v>
      </c>
      <c r="CL64" s="19">
        <f t="shared" si="116"/>
        <v>0</v>
      </c>
      <c r="CM64" s="19">
        <f t="shared" si="117"/>
        <v>0</v>
      </c>
      <c r="CN64" s="19">
        <f t="shared" si="118"/>
        <v>0</v>
      </c>
      <c r="CO64" s="19">
        <f t="shared" si="119"/>
        <v>0</v>
      </c>
      <c r="CP64" s="19">
        <f t="shared" si="120"/>
        <v>0</v>
      </c>
      <c r="CQ64" s="19">
        <f t="shared" si="121"/>
        <v>0</v>
      </c>
      <c r="CR64" s="19">
        <f t="shared" si="122"/>
        <v>0</v>
      </c>
      <c r="CS64" s="19">
        <f t="shared" si="123"/>
        <v>0</v>
      </c>
      <c r="CT64" s="19">
        <f t="shared" si="124"/>
        <v>0</v>
      </c>
      <c r="CU64" s="19">
        <f t="shared" si="125"/>
        <v>0</v>
      </c>
      <c r="CV64" s="19">
        <f t="shared" si="126"/>
        <v>0</v>
      </c>
      <c r="CW64" s="19">
        <f t="shared" si="127"/>
        <v>0</v>
      </c>
      <c r="CX64" s="19">
        <f t="shared" si="128"/>
        <v>0</v>
      </c>
      <c r="CY64" s="19">
        <f t="shared" si="129"/>
        <v>0</v>
      </c>
      <c r="CZ64" s="19">
        <f t="shared" si="130"/>
        <v>0</v>
      </c>
      <c r="DA64" s="19">
        <f t="shared" si="131"/>
        <v>0</v>
      </c>
      <c r="DB64" s="19">
        <f t="shared" si="132"/>
        <v>0</v>
      </c>
      <c r="DC64" s="19">
        <f t="shared" si="133"/>
        <v>0</v>
      </c>
      <c r="DD64" s="19">
        <f t="shared" si="134"/>
        <v>0</v>
      </c>
      <c r="DE64" s="19">
        <f t="shared" si="135"/>
        <v>0</v>
      </c>
      <c r="DF64" s="19">
        <f t="shared" si="136"/>
        <v>0</v>
      </c>
      <c r="DG64" s="19">
        <f t="shared" si="137"/>
        <v>0</v>
      </c>
      <c r="DH64" s="19">
        <f t="shared" si="138"/>
        <v>0</v>
      </c>
      <c r="DI64" s="19">
        <f t="shared" si="139"/>
        <v>0</v>
      </c>
      <c r="DJ64" s="19">
        <f t="shared" si="140"/>
        <v>0</v>
      </c>
      <c r="DK64" s="19">
        <f t="shared" si="141"/>
        <v>0</v>
      </c>
      <c r="DL64" s="19">
        <f t="shared" si="142"/>
        <v>0</v>
      </c>
      <c r="DM64" s="19">
        <f t="shared" si="143"/>
        <v>0</v>
      </c>
      <c r="DN64" s="19">
        <f t="shared" si="144"/>
        <v>0</v>
      </c>
      <c r="DO64" s="19">
        <f t="shared" si="145"/>
        <v>0</v>
      </c>
      <c r="DP64" s="19">
        <f t="shared" si="146"/>
        <v>0</v>
      </c>
      <c r="DQ64" s="19">
        <f t="shared" si="147"/>
        <v>0</v>
      </c>
      <c r="DR64" s="19">
        <f t="shared" si="148"/>
        <v>0</v>
      </c>
      <c r="DS64" s="19">
        <f t="shared" si="149"/>
        <v>0</v>
      </c>
      <c r="DT64" s="19">
        <f t="shared" si="150"/>
        <v>0</v>
      </c>
      <c r="DU64" s="19">
        <f t="shared" si="151"/>
        <v>0</v>
      </c>
      <c r="DV64" s="19">
        <f t="shared" si="152"/>
        <v>0</v>
      </c>
      <c r="DW64" s="19">
        <f t="shared" si="153"/>
        <v>0</v>
      </c>
      <c r="DX64" s="19">
        <f t="shared" si="154"/>
        <v>0</v>
      </c>
      <c r="DY64" s="19">
        <f t="shared" si="155"/>
        <v>0</v>
      </c>
      <c r="DZ64" s="19">
        <f t="shared" si="156"/>
        <v>0</v>
      </c>
      <c r="EA64" s="19">
        <f t="shared" si="157"/>
        <v>0</v>
      </c>
      <c r="EB64" s="19">
        <f t="shared" si="158"/>
        <v>0</v>
      </c>
      <c r="EC64" s="19">
        <f t="shared" si="159"/>
        <v>0</v>
      </c>
    </row>
    <row r="65" spans="1:133" s="78" customFormat="1" ht="18" customHeight="1" x14ac:dyDescent="0.25">
      <c r="A65" s="15">
        <v>62</v>
      </c>
      <c r="B65" s="108" t="s">
        <v>433</v>
      </c>
      <c r="C65" s="74" t="s">
        <v>434</v>
      </c>
      <c r="D65" s="16" t="s">
        <v>61</v>
      </c>
      <c r="E65" s="18">
        <v>45618</v>
      </c>
      <c r="F65" s="19">
        <v>10</v>
      </c>
      <c r="G65" s="19">
        <v>10</v>
      </c>
      <c r="H65" s="19">
        <v>10</v>
      </c>
      <c r="I65" s="19">
        <v>10</v>
      </c>
      <c r="J65" s="19" t="s">
        <v>603</v>
      </c>
      <c r="K65" s="19">
        <v>10</v>
      </c>
      <c r="L65" s="19" t="s">
        <v>15</v>
      </c>
      <c r="M65" s="19">
        <v>10</v>
      </c>
      <c r="N65" s="19">
        <v>10</v>
      </c>
      <c r="O65" s="19">
        <v>10</v>
      </c>
      <c r="P65" s="19">
        <v>10</v>
      </c>
      <c r="Q65" s="19">
        <v>10</v>
      </c>
      <c r="R65" s="19">
        <v>10</v>
      </c>
      <c r="S65" s="19" t="s">
        <v>15</v>
      </c>
      <c r="T65" s="19">
        <v>12.5</v>
      </c>
      <c r="U65" s="19">
        <v>14</v>
      </c>
      <c r="V65" s="19">
        <v>11</v>
      </c>
      <c r="W65" s="19">
        <v>11</v>
      </c>
      <c r="X65" s="19">
        <v>11</v>
      </c>
      <c r="Y65" s="19">
        <v>10</v>
      </c>
      <c r="Z65" s="19" t="s">
        <v>15</v>
      </c>
      <c r="AA65" s="19">
        <v>10</v>
      </c>
      <c r="AB65" s="19">
        <v>10</v>
      </c>
      <c r="AC65" s="19">
        <v>10</v>
      </c>
      <c r="AD65" s="19">
        <v>10</v>
      </c>
      <c r="AE65" s="19">
        <v>11</v>
      </c>
      <c r="AF65" s="19">
        <v>10</v>
      </c>
      <c r="AG65" s="19" t="s">
        <v>15</v>
      </c>
      <c r="AH65" s="19">
        <v>10</v>
      </c>
      <c r="AI65" s="19">
        <v>10</v>
      </c>
      <c r="AJ65" s="19">
        <v>0</v>
      </c>
      <c r="AK65" s="19">
        <v>11</v>
      </c>
      <c r="AL65" s="19">
        <v>0</v>
      </c>
      <c r="AM65" s="19">
        <v>11</v>
      </c>
      <c r="AN65" s="19">
        <v>0</v>
      </c>
      <c r="AO65" s="19">
        <v>10</v>
      </c>
      <c r="AP65" s="19"/>
      <c r="AQ65" s="19"/>
      <c r="AR65" s="19"/>
      <c r="AS65" s="19">
        <v>0</v>
      </c>
      <c r="AT65" s="19">
        <f t="shared" ref="AT65:AT92" si="160">SUM(BS65+BU65+BW65+BY65+CA65+CC65+CE65+CG65+CI65+CK65+CM65+CO65+CQ65+CS65+CU65+CW65+CY65+DA65+DC65+DE65+DG65+DI65+DK65+DM65+DO65+DQ65+DS65+DU65+DW65+DY65+EA65+EC65)</f>
        <v>60.5</v>
      </c>
      <c r="AU65" s="19">
        <f t="shared" ref="AU65:AU92" si="161">SUM(AJ65:AN65)</f>
        <v>22</v>
      </c>
      <c r="AV65" s="19">
        <f t="shared" ref="AV65:AV92" si="162">SUM(AO65:AS65)</f>
        <v>10</v>
      </c>
      <c r="AW65" s="16">
        <f t="shared" ref="AW65:AW92" si="163">COUNTIF(F65:AI65,"8")+COUNTIF(F65:AI65,"8.5")+COUNTIF(F65:AI65,"9")+COUNTIF(F65:AI65,"9.5")+COUNTIF(F65:AI65,"10")+COUNTIF(F65:AI65,"10.5")+COUNTIF(F65:AI65,"11")+COUNTIF(F65:AI65,"11.5")+COUNTIF(F65:AI65,"12")+COUNTIF(F65:AI65,"12.5")+COUNTIF(F65:AI65,"13")+COUNTIF(F65:AI65,"13.5")+COUNTIF(F65:AI65,"14")+COUNTIF(F65:AI65,"14.5")+COUNTIF(F65:AI65,"15")+COUNTIF(F65:AI65,"15.5")+COUNTIF(F65:AI65,"16")+COUNTIF(F65:AI65,"16.5")+COUNTIF(F65:AI65,"17")+COUNTIF(F65:AI65,"17.5")+COUNTIF(F65:AI65,"18")+COUNTIF(F65:AI65,"18.5")+COUNTIF(F65:AI65,"19")+COUNTIF(F65:AI65,"19.5")+COUNTIF(F65:AI65,"20")+COUNTIF(F65:AI65,"20.5")+COUNTIF(F65:AI65,"21")+COUNTIF(F65:AI65,"21.5")+COUNTIF(F65:AI65,"22")+COUNTIF(F65:AI65,"22.5")+COUNTIF(F65:AI65,"23")+COUNTIF(F65:AI65,"23.5")+COUNTIF(F65:AI65,"24")+COUNTIF(F65:AI65,"S")+COUNTIF(F65:AI65,"PH")+COUNTIF(F65:AI65,"ML")+COUNTIF(F65:AI65,"OD")</f>
        <v>30</v>
      </c>
      <c r="AX65" s="16">
        <f t="shared" ref="AX65:AX92" si="164">COUNTIF(F65:AI65,"A")</f>
        <v>0</v>
      </c>
      <c r="AY65" s="16">
        <f t="shared" ref="AY65:AY92" si="165">COUNTIF(F65:AI65,"ID")</f>
        <v>0</v>
      </c>
      <c r="AZ65" s="21">
        <v>1000</v>
      </c>
      <c r="BA65" s="21">
        <v>100</v>
      </c>
      <c r="BB65" s="21">
        <v>0</v>
      </c>
      <c r="BC65" s="19">
        <f t="shared" ref="BC65:BC92" si="166">MROUND(AZ65/30*AW65, 1)</f>
        <v>1000</v>
      </c>
      <c r="BD65" s="19">
        <f t="shared" ref="BD65:BD92" si="167">MROUND(BA65/30*AW65, 1)</f>
        <v>100</v>
      </c>
      <c r="BE65" s="19">
        <f t="shared" ref="BE65:BE92" si="168">MROUND((AZ65/30/8*1.25*AT65)+(AZ65/30/8*1.5*AU65)+(AZ65/30/8*1.5*AV65), 1)</f>
        <v>515</v>
      </c>
      <c r="BF65" s="19">
        <f t="shared" ref="BF65:BF92" si="169">MROUND(BB65/30*AW65, 1)</f>
        <v>0</v>
      </c>
      <c r="BG65" s="19">
        <f t="shared" ref="BG65:BG92" si="170">MROUND(AZ65/30*AY65, 1)</f>
        <v>0</v>
      </c>
      <c r="BH65" s="19">
        <f t="shared" ref="BH65:BH92" si="171">MROUND(BA65/30*AY65, 1)</f>
        <v>0</v>
      </c>
      <c r="BI65" s="19">
        <v>95</v>
      </c>
      <c r="BJ65" s="19">
        <f t="shared" ref="BJ65:BJ92" si="172">SUM(BC65:BI65)</f>
        <v>1710</v>
      </c>
      <c r="BK65" s="19">
        <v>0</v>
      </c>
      <c r="BL65" s="19">
        <v>0</v>
      </c>
      <c r="BM65" s="19">
        <f t="shared" ref="BM65:BM92" si="173">BK65+BL65</f>
        <v>0</v>
      </c>
      <c r="BN65" s="19">
        <f t="shared" ref="BN65:BN92" si="174">BJ65-BM65</f>
        <v>1710</v>
      </c>
      <c r="BO65" s="19">
        <v>0</v>
      </c>
      <c r="BP65" s="19">
        <v>0</v>
      </c>
      <c r="BQ65" s="22">
        <f t="shared" ref="BQ65:BQ92" si="175">SUM(BN65:BO65)-BP65</f>
        <v>1710</v>
      </c>
      <c r="BR65" s="82">
        <f t="shared" ref="BR65:BR92" si="176">COUNTIF(F65:AI65, "8.5")</f>
        <v>0</v>
      </c>
      <c r="BS65" s="19">
        <f t="shared" ref="BS65:BS92" si="177">BR65*0.5</f>
        <v>0</v>
      </c>
      <c r="BT65" s="19">
        <f t="shared" ref="BT65:BT92" si="178">COUNTIF(F65:AI65, "9")</f>
        <v>0</v>
      </c>
      <c r="BU65" s="19">
        <f t="shared" ref="BU65:BU92" si="179">BT65*1</f>
        <v>0</v>
      </c>
      <c r="BV65" s="19">
        <f t="shared" ref="BV65:BV92" si="180">COUNTIF(F65:AI65, "9.5")</f>
        <v>0</v>
      </c>
      <c r="BW65" s="19">
        <f t="shared" ref="BW65:BW92" si="181">BV65*1.5</f>
        <v>0</v>
      </c>
      <c r="BX65" s="19">
        <f t="shared" ref="BX65:BX92" si="182">COUNTIF(F65:AI65, "10")</f>
        <v>19</v>
      </c>
      <c r="BY65" s="19">
        <f t="shared" ref="BY65:BY92" si="183">BX65*2</f>
        <v>38</v>
      </c>
      <c r="BZ65" s="19">
        <f t="shared" ref="BZ65:BZ92" si="184">COUNTIF(F65:AI65, "10.5")</f>
        <v>0</v>
      </c>
      <c r="CA65" s="19">
        <f t="shared" ref="CA65:CA92" si="185">BZ65*2.5</f>
        <v>0</v>
      </c>
      <c r="CB65" s="19">
        <f t="shared" ref="CB65:CB92" si="186">COUNTIF(F65:AI65, "11")</f>
        <v>4</v>
      </c>
      <c r="CC65" s="19">
        <f t="shared" ref="CC65:CC92" si="187">CB65*3</f>
        <v>12</v>
      </c>
      <c r="CD65" s="19">
        <f t="shared" ref="CD65:CD92" si="188">COUNTIF(F65:AI65, "11.5")</f>
        <v>0</v>
      </c>
      <c r="CE65" s="19">
        <f t="shared" ref="CE65:CE92" si="189">CD65*3.5</f>
        <v>0</v>
      </c>
      <c r="CF65" s="19">
        <f t="shared" ref="CF65:CF92" si="190">COUNTIF(F65:AI65, "12")</f>
        <v>0</v>
      </c>
      <c r="CG65" s="19">
        <f t="shared" ref="CG65:CG92" si="191">CF65*4</f>
        <v>0</v>
      </c>
      <c r="CH65" s="19">
        <f t="shared" ref="CH65:CH92" si="192">COUNTIF(F65:AI65, "12.5")</f>
        <v>1</v>
      </c>
      <c r="CI65" s="19">
        <f t="shared" ref="CI65:CI92" si="193">CH65*4.5</f>
        <v>4.5</v>
      </c>
      <c r="CJ65" s="19">
        <f t="shared" ref="CJ65:CJ92" si="194">COUNTIF(F65:AI65, "13")</f>
        <v>0</v>
      </c>
      <c r="CK65" s="19">
        <f t="shared" ref="CK65:CK92" si="195">CJ65*5</f>
        <v>0</v>
      </c>
      <c r="CL65" s="19">
        <f t="shared" ref="CL65:CL92" si="196">COUNTIF(F65:AI65, "13.5")</f>
        <v>0</v>
      </c>
      <c r="CM65" s="19">
        <f t="shared" ref="CM65:CM92" si="197">CL65*5.5</f>
        <v>0</v>
      </c>
      <c r="CN65" s="19">
        <f t="shared" ref="CN65:CN92" si="198">COUNTIF(F65:AI65, "14")</f>
        <v>1</v>
      </c>
      <c r="CO65" s="19">
        <f t="shared" ref="CO65:CO92" si="199">CN65*6</f>
        <v>6</v>
      </c>
      <c r="CP65" s="19">
        <f t="shared" ref="CP65:CP92" si="200">COUNTIF(F65:AI65, "14.5")</f>
        <v>0</v>
      </c>
      <c r="CQ65" s="19">
        <f t="shared" ref="CQ65:CQ92" si="201">CP65*6.5</f>
        <v>0</v>
      </c>
      <c r="CR65" s="19">
        <f t="shared" ref="CR65:CR92" si="202">COUNTIF(F65:AI65, "15")</f>
        <v>0</v>
      </c>
      <c r="CS65" s="19">
        <f t="shared" ref="CS65:CS92" si="203">CR65*7</f>
        <v>0</v>
      </c>
      <c r="CT65" s="19">
        <f t="shared" ref="CT65:CT92" si="204">COUNTIF(F65:AI65, "15.5")</f>
        <v>0</v>
      </c>
      <c r="CU65" s="19">
        <f t="shared" ref="CU65:CU92" si="205">CT65*7.5</f>
        <v>0</v>
      </c>
      <c r="CV65" s="19">
        <f t="shared" ref="CV65:CV92" si="206">COUNTIF(F65:AI65, "16")</f>
        <v>0</v>
      </c>
      <c r="CW65" s="19">
        <f t="shared" ref="CW65:CW92" si="207">CV65*8</f>
        <v>0</v>
      </c>
      <c r="CX65" s="19">
        <f t="shared" ref="CX65:CX92" si="208">COUNTIF(F65:AI65, "16.5")</f>
        <v>0</v>
      </c>
      <c r="CY65" s="19">
        <f t="shared" ref="CY65:CY92" si="209">CX65*8.5</f>
        <v>0</v>
      </c>
      <c r="CZ65" s="19">
        <f t="shared" ref="CZ65:CZ92" si="210">COUNTIF(F65:AI65, "17")</f>
        <v>0</v>
      </c>
      <c r="DA65" s="19">
        <f t="shared" ref="DA65:DA92" si="211">CZ65*9</f>
        <v>0</v>
      </c>
      <c r="DB65" s="19">
        <f t="shared" ref="DB65:DB92" si="212">COUNTIF(F65:AI65, "17.5")</f>
        <v>0</v>
      </c>
      <c r="DC65" s="19">
        <f t="shared" ref="DC65:DC92" si="213">DB65*9.5</f>
        <v>0</v>
      </c>
      <c r="DD65" s="19">
        <f t="shared" ref="DD65:DD92" si="214">COUNTIF(F65:AI65, "18")</f>
        <v>0</v>
      </c>
      <c r="DE65" s="19">
        <f t="shared" ref="DE65:DE92" si="215">DD65*10</f>
        <v>0</v>
      </c>
      <c r="DF65" s="19">
        <f t="shared" ref="DF65:DF92" si="216">COUNTIF(F65:AI65, "18.5")</f>
        <v>0</v>
      </c>
      <c r="DG65" s="19">
        <f t="shared" ref="DG65:DG92" si="217">DF65*10.5</f>
        <v>0</v>
      </c>
      <c r="DH65" s="19">
        <f t="shared" ref="DH65:DH92" si="218">COUNTIF(F65:AI65, "19")</f>
        <v>0</v>
      </c>
      <c r="DI65" s="19">
        <f t="shared" ref="DI65:DI92" si="219">DH65*11</f>
        <v>0</v>
      </c>
      <c r="DJ65" s="19">
        <f t="shared" ref="DJ65:DJ92" si="220">COUNTIF(F65:AI65, "19.5")</f>
        <v>0</v>
      </c>
      <c r="DK65" s="19">
        <f t="shared" ref="DK65:DK92" si="221">DJ65*11.5</f>
        <v>0</v>
      </c>
      <c r="DL65" s="19">
        <f t="shared" ref="DL65:DL92" si="222">COUNTIF(F65:AI65, "20")</f>
        <v>0</v>
      </c>
      <c r="DM65" s="19">
        <f t="shared" ref="DM65:DM92" si="223">DL65*12</f>
        <v>0</v>
      </c>
      <c r="DN65" s="19">
        <f t="shared" ref="DN65:DN92" si="224">COUNTIF(F65:AI65, "20.5")</f>
        <v>0</v>
      </c>
      <c r="DO65" s="19">
        <f t="shared" ref="DO65:DO92" si="225">DN65*12.5</f>
        <v>0</v>
      </c>
      <c r="DP65" s="19">
        <f t="shared" ref="DP65:DP92" si="226">COUNTIF(F65:AI65, "21")</f>
        <v>0</v>
      </c>
      <c r="DQ65" s="19">
        <f t="shared" ref="DQ65:DQ92" si="227">DP65*13</f>
        <v>0</v>
      </c>
      <c r="DR65" s="19">
        <f t="shared" ref="DR65:DR92" si="228">COUNTIF(F65:AI65, "21.5")</f>
        <v>0</v>
      </c>
      <c r="DS65" s="19">
        <f t="shared" ref="DS65:DS92" si="229">DR65*13.5</f>
        <v>0</v>
      </c>
      <c r="DT65" s="19">
        <f t="shared" ref="DT65:DT92" si="230">COUNTIF(F65:AI65, "22")</f>
        <v>0</v>
      </c>
      <c r="DU65" s="19">
        <f t="shared" ref="DU65:DU92" si="231">DT65*14</f>
        <v>0</v>
      </c>
      <c r="DV65" s="19">
        <f t="shared" ref="DV65:DV92" si="232">COUNTIF(F65:AI65, "22.5")</f>
        <v>0</v>
      </c>
      <c r="DW65" s="19">
        <f t="shared" ref="DW65:DW92" si="233">DV65*14.5</f>
        <v>0</v>
      </c>
      <c r="DX65" s="19">
        <f t="shared" ref="DX65:DX92" si="234">COUNTIF(F65:AI65, "23")</f>
        <v>0</v>
      </c>
      <c r="DY65" s="19">
        <f t="shared" ref="DY65:DY92" si="235">DX65*15</f>
        <v>0</v>
      </c>
      <c r="DZ65" s="19">
        <f t="shared" ref="DZ65:DZ92" si="236">COUNTIF(F65:AI65, "23.5")</f>
        <v>0</v>
      </c>
      <c r="EA65" s="19">
        <f t="shared" ref="EA65:EA92" si="237">DZ65*15.5</f>
        <v>0</v>
      </c>
      <c r="EB65" s="19">
        <f t="shared" ref="EB65:EB92" si="238">COUNTIF(F65:AI65, "24")</f>
        <v>0</v>
      </c>
      <c r="EC65" s="19">
        <f t="shared" ref="EC65:EC92" si="239">EB65*16</f>
        <v>0</v>
      </c>
    </row>
    <row r="66" spans="1:133" s="78" customFormat="1" ht="18" customHeight="1" x14ac:dyDescent="0.25">
      <c r="A66" s="15">
        <v>63</v>
      </c>
      <c r="B66" s="108" t="s">
        <v>435</v>
      </c>
      <c r="C66" s="74" t="s">
        <v>436</v>
      </c>
      <c r="D66" s="16" t="s">
        <v>61</v>
      </c>
      <c r="E66" s="18">
        <v>45618</v>
      </c>
      <c r="F66" s="19">
        <v>11</v>
      </c>
      <c r="G66" s="19">
        <v>11</v>
      </c>
      <c r="H66" s="19">
        <v>11</v>
      </c>
      <c r="I66" s="19">
        <v>11</v>
      </c>
      <c r="J66" s="19" t="s">
        <v>603</v>
      </c>
      <c r="K66" s="19">
        <v>11</v>
      </c>
      <c r="L66" s="19" t="s">
        <v>15</v>
      </c>
      <c r="M66" s="19">
        <v>11</v>
      </c>
      <c r="N66" s="19">
        <v>11</v>
      </c>
      <c r="O66" s="19">
        <v>11</v>
      </c>
      <c r="P66" s="19">
        <v>11</v>
      </c>
      <c r="Q66" s="19">
        <v>11</v>
      </c>
      <c r="R66" s="19" t="s">
        <v>316</v>
      </c>
      <c r="S66" s="19" t="s">
        <v>316</v>
      </c>
      <c r="T66" s="19">
        <v>11</v>
      </c>
      <c r="U66" s="19">
        <v>11</v>
      </c>
      <c r="V66" s="19">
        <v>11</v>
      </c>
      <c r="W66" s="19">
        <v>11</v>
      </c>
      <c r="X66" s="19">
        <v>11</v>
      </c>
      <c r="Y66" s="19">
        <v>11</v>
      </c>
      <c r="Z66" s="19" t="s">
        <v>15</v>
      </c>
      <c r="AA66" s="19" t="s">
        <v>316</v>
      </c>
      <c r="AB66" s="19">
        <v>11</v>
      </c>
      <c r="AC66" s="19">
        <v>11</v>
      </c>
      <c r="AD66" s="19">
        <v>11</v>
      </c>
      <c r="AE66" s="19">
        <v>11</v>
      </c>
      <c r="AF66" s="19">
        <v>11</v>
      </c>
      <c r="AG66" s="19" t="s">
        <v>15</v>
      </c>
      <c r="AH66" s="19" t="s">
        <v>316</v>
      </c>
      <c r="AI66" s="19">
        <v>11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/>
      <c r="AQ66" s="19"/>
      <c r="AR66" s="19"/>
      <c r="AS66" s="19">
        <v>0</v>
      </c>
      <c r="AT66" s="19">
        <f t="shared" si="160"/>
        <v>66</v>
      </c>
      <c r="AU66" s="19">
        <f t="shared" si="161"/>
        <v>0</v>
      </c>
      <c r="AV66" s="19">
        <f t="shared" si="162"/>
        <v>0</v>
      </c>
      <c r="AW66" s="16">
        <f t="shared" si="163"/>
        <v>26</v>
      </c>
      <c r="AX66" s="16">
        <f t="shared" si="164"/>
        <v>4</v>
      </c>
      <c r="AY66" s="16">
        <f t="shared" si="165"/>
        <v>0</v>
      </c>
      <c r="AZ66" s="21">
        <v>1100</v>
      </c>
      <c r="BA66" s="21">
        <v>100</v>
      </c>
      <c r="BB66" s="21">
        <v>0</v>
      </c>
      <c r="BC66" s="19">
        <f t="shared" si="166"/>
        <v>953</v>
      </c>
      <c r="BD66" s="19">
        <f t="shared" si="167"/>
        <v>87</v>
      </c>
      <c r="BE66" s="19">
        <f t="shared" si="168"/>
        <v>378</v>
      </c>
      <c r="BF66" s="19">
        <f t="shared" si="169"/>
        <v>0</v>
      </c>
      <c r="BG66" s="19">
        <f t="shared" si="170"/>
        <v>0</v>
      </c>
      <c r="BH66" s="19">
        <f t="shared" si="171"/>
        <v>0</v>
      </c>
      <c r="BI66" s="19">
        <v>0</v>
      </c>
      <c r="BJ66" s="19">
        <f t="shared" si="172"/>
        <v>1418</v>
      </c>
      <c r="BK66" s="19">
        <v>0</v>
      </c>
      <c r="BL66" s="19">
        <v>0</v>
      </c>
      <c r="BM66" s="19">
        <f t="shared" si="173"/>
        <v>0</v>
      </c>
      <c r="BN66" s="19">
        <f t="shared" si="174"/>
        <v>1418</v>
      </c>
      <c r="BO66" s="19">
        <v>0</v>
      </c>
      <c r="BP66" s="19">
        <v>0</v>
      </c>
      <c r="BQ66" s="22">
        <f t="shared" si="175"/>
        <v>1418</v>
      </c>
      <c r="BR66" s="82">
        <f t="shared" si="176"/>
        <v>0</v>
      </c>
      <c r="BS66" s="19">
        <f t="shared" si="177"/>
        <v>0</v>
      </c>
      <c r="BT66" s="19">
        <f t="shared" si="178"/>
        <v>0</v>
      </c>
      <c r="BU66" s="19">
        <f t="shared" si="179"/>
        <v>0</v>
      </c>
      <c r="BV66" s="19">
        <f t="shared" si="180"/>
        <v>0</v>
      </c>
      <c r="BW66" s="19">
        <f t="shared" si="181"/>
        <v>0</v>
      </c>
      <c r="BX66" s="19">
        <f t="shared" si="182"/>
        <v>0</v>
      </c>
      <c r="BY66" s="19">
        <f t="shared" si="183"/>
        <v>0</v>
      </c>
      <c r="BZ66" s="19">
        <f t="shared" si="184"/>
        <v>0</v>
      </c>
      <c r="CA66" s="19">
        <f t="shared" si="185"/>
        <v>0</v>
      </c>
      <c r="CB66" s="19">
        <f t="shared" si="186"/>
        <v>22</v>
      </c>
      <c r="CC66" s="19">
        <f t="shared" si="187"/>
        <v>66</v>
      </c>
      <c r="CD66" s="19">
        <f t="shared" si="188"/>
        <v>0</v>
      </c>
      <c r="CE66" s="19">
        <f t="shared" si="189"/>
        <v>0</v>
      </c>
      <c r="CF66" s="19">
        <f t="shared" si="190"/>
        <v>0</v>
      </c>
      <c r="CG66" s="19">
        <f t="shared" si="191"/>
        <v>0</v>
      </c>
      <c r="CH66" s="19">
        <f t="shared" si="192"/>
        <v>0</v>
      </c>
      <c r="CI66" s="19">
        <f t="shared" si="193"/>
        <v>0</v>
      </c>
      <c r="CJ66" s="19">
        <f t="shared" si="194"/>
        <v>0</v>
      </c>
      <c r="CK66" s="19">
        <f t="shared" si="195"/>
        <v>0</v>
      </c>
      <c r="CL66" s="19">
        <f t="shared" si="196"/>
        <v>0</v>
      </c>
      <c r="CM66" s="19">
        <f t="shared" si="197"/>
        <v>0</v>
      </c>
      <c r="CN66" s="19">
        <f t="shared" si="198"/>
        <v>0</v>
      </c>
      <c r="CO66" s="19">
        <f t="shared" si="199"/>
        <v>0</v>
      </c>
      <c r="CP66" s="19">
        <f t="shared" si="200"/>
        <v>0</v>
      </c>
      <c r="CQ66" s="19">
        <f t="shared" si="201"/>
        <v>0</v>
      </c>
      <c r="CR66" s="19">
        <f t="shared" si="202"/>
        <v>0</v>
      </c>
      <c r="CS66" s="19">
        <f t="shared" si="203"/>
        <v>0</v>
      </c>
      <c r="CT66" s="19">
        <f t="shared" si="204"/>
        <v>0</v>
      </c>
      <c r="CU66" s="19">
        <f t="shared" si="205"/>
        <v>0</v>
      </c>
      <c r="CV66" s="19">
        <f t="shared" si="206"/>
        <v>0</v>
      </c>
      <c r="CW66" s="19">
        <f t="shared" si="207"/>
        <v>0</v>
      </c>
      <c r="CX66" s="19">
        <f t="shared" si="208"/>
        <v>0</v>
      </c>
      <c r="CY66" s="19">
        <f t="shared" si="209"/>
        <v>0</v>
      </c>
      <c r="CZ66" s="19">
        <f t="shared" si="210"/>
        <v>0</v>
      </c>
      <c r="DA66" s="19">
        <f t="shared" si="211"/>
        <v>0</v>
      </c>
      <c r="DB66" s="19">
        <f t="shared" si="212"/>
        <v>0</v>
      </c>
      <c r="DC66" s="19">
        <f t="shared" si="213"/>
        <v>0</v>
      </c>
      <c r="DD66" s="19">
        <f t="shared" si="214"/>
        <v>0</v>
      </c>
      <c r="DE66" s="19">
        <f t="shared" si="215"/>
        <v>0</v>
      </c>
      <c r="DF66" s="19">
        <f t="shared" si="216"/>
        <v>0</v>
      </c>
      <c r="DG66" s="19">
        <f t="shared" si="217"/>
        <v>0</v>
      </c>
      <c r="DH66" s="19">
        <f t="shared" si="218"/>
        <v>0</v>
      </c>
      <c r="DI66" s="19">
        <f t="shared" si="219"/>
        <v>0</v>
      </c>
      <c r="DJ66" s="19">
        <f t="shared" si="220"/>
        <v>0</v>
      </c>
      <c r="DK66" s="19">
        <f t="shared" si="221"/>
        <v>0</v>
      </c>
      <c r="DL66" s="19">
        <f t="shared" si="222"/>
        <v>0</v>
      </c>
      <c r="DM66" s="19">
        <f t="shared" si="223"/>
        <v>0</v>
      </c>
      <c r="DN66" s="19">
        <f t="shared" si="224"/>
        <v>0</v>
      </c>
      <c r="DO66" s="19">
        <f t="shared" si="225"/>
        <v>0</v>
      </c>
      <c r="DP66" s="19">
        <f t="shared" si="226"/>
        <v>0</v>
      </c>
      <c r="DQ66" s="19">
        <f t="shared" si="227"/>
        <v>0</v>
      </c>
      <c r="DR66" s="19">
        <f t="shared" si="228"/>
        <v>0</v>
      </c>
      <c r="DS66" s="19">
        <f t="shared" si="229"/>
        <v>0</v>
      </c>
      <c r="DT66" s="19">
        <f t="shared" si="230"/>
        <v>0</v>
      </c>
      <c r="DU66" s="19">
        <f t="shared" si="231"/>
        <v>0</v>
      </c>
      <c r="DV66" s="19">
        <f t="shared" si="232"/>
        <v>0</v>
      </c>
      <c r="DW66" s="19">
        <f t="shared" si="233"/>
        <v>0</v>
      </c>
      <c r="DX66" s="19">
        <f t="shared" si="234"/>
        <v>0</v>
      </c>
      <c r="DY66" s="19">
        <f t="shared" si="235"/>
        <v>0</v>
      </c>
      <c r="DZ66" s="19">
        <f t="shared" si="236"/>
        <v>0</v>
      </c>
      <c r="EA66" s="19">
        <f t="shared" si="237"/>
        <v>0</v>
      </c>
      <c r="EB66" s="19">
        <f t="shared" si="238"/>
        <v>0</v>
      </c>
      <c r="EC66" s="19">
        <f t="shared" si="239"/>
        <v>0</v>
      </c>
    </row>
    <row r="67" spans="1:133" s="78" customFormat="1" ht="18" customHeight="1" x14ac:dyDescent="0.25">
      <c r="A67" s="15">
        <v>64</v>
      </c>
      <c r="B67" s="108" t="s">
        <v>447</v>
      </c>
      <c r="C67" s="74" t="s">
        <v>452</v>
      </c>
      <c r="D67" s="16" t="s">
        <v>61</v>
      </c>
      <c r="E67" s="18">
        <v>45631</v>
      </c>
      <c r="F67" s="19">
        <v>10</v>
      </c>
      <c r="G67" s="19">
        <v>10</v>
      </c>
      <c r="H67" s="19">
        <v>10</v>
      </c>
      <c r="I67" s="19">
        <v>10</v>
      </c>
      <c r="J67" s="19" t="s">
        <v>603</v>
      </c>
      <c r="K67" s="19">
        <v>10</v>
      </c>
      <c r="L67" s="19" t="s">
        <v>15</v>
      </c>
      <c r="M67" s="19">
        <v>10</v>
      </c>
      <c r="N67" s="19">
        <v>10</v>
      </c>
      <c r="O67" s="19">
        <v>10</v>
      </c>
      <c r="P67" s="19">
        <v>10</v>
      </c>
      <c r="Q67" s="19">
        <v>10</v>
      </c>
      <c r="R67" s="19">
        <v>10</v>
      </c>
      <c r="S67" s="19" t="s">
        <v>15</v>
      </c>
      <c r="T67" s="19">
        <v>12.5</v>
      </c>
      <c r="U67" s="19">
        <v>14</v>
      </c>
      <c r="V67" s="19">
        <v>11</v>
      </c>
      <c r="W67" s="19">
        <v>11</v>
      </c>
      <c r="X67" s="19">
        <v>11</v>
      </c>
      <c r="Y67" s="19">
        <v>10</v>
      </c>
      <c r="Z67" s="19" t="s">
        <v>15</v>
      </c>
      <c r="AA67" s="19">
        <v>10</v>
      </c>
      <c r="AB67" s="19">
        <v>10</v>
      </c>
      <c r="AC67" s="19">
        <v>10</v>
      </c>
      <c r="AD67" s="19" t="s">
        <v>316</v>
      </c>
      <c r="AE67" s="19">
        <v>10</v>
      </c>
      <c r="AF67" s="19">
        <v>10</v>
      </c>
      <c r="AG67" s="19" t="s">
        <v>316</v>
      </c>
      <c r="AH67" s="19">
        <v>10</v>
      </c>
      <c r="AI67" s="19">
        <v>10</v>
      </c>
      <c r="AJ67" s="19">
        <v>0</v>
      </c>
      <c r="AK67" s="19">
        <v>11</v>
      </c>
      <c r="AL67" s="19">
        <v>0</v>
      </c>
      <c r="AM67" s="19">
        <v>11</v>
      </c>
      <c r="AN67" s="19">
        <v>0</v>
      </c>
      <c r="AO67" s="19">
        <v>10</v>
      </c>
      <c r="AP67" s="19"/>
      <c r="AQ67" s="19"/>
      <c r="AR67" s="19"/>
      <c r="AS67" s="19">
        <v>0</v>
      </c>
      <c r="AT67" s="19">
        <f t="shared" si="160"/>
        <v>57.5</v>
      </c>
      <c r="AU67" s="19">
        <f t="shared" si="161"/>
        <v>22</v>
      </c>
      <c r="AV67" s="19">
        <f t="shared" si="162"/>
        <v>10</v>
      </c>
      <c r="AW67" s="16">
        <f t="shared" si="163"/>
        <v>28</v>
      </c>
      <c r="AX67" s="16">
        <f t="shared" si="164"/>
        <v>2</v>
      </c>
      <c r="AY67" s="16">
        <f t="shared" si="165"/>
        <v>0</v>
      </c>
      <c r="AZ67" s="21">
        <v>1100</v>
      </c>
      <c r="BA67" s="21">
        <v>100</v>
      </c>
      <c r="BB67" s="21">
        <v>0</v>
      </c>
      <c r="BC67" s="19">
        <f t="shared" si="166"/>
        <v>1027</v>
      </c>
      <c r="BD67" s="19">
        <f t="shared" si="167"/>
        <v>93</v>
      </c>
      <c r="BE67" s="19">
        <f t="shared" si="168"/>
        <v>549</v>
      </c>
      <c r="BF67" s="19">
        <f t="shared" si="169"/>
        <v>0</v>
      </c>
      <c r="BG67" s="19">
        <f t="shared" si="170"/>
        <v>0</v>
      </c>
      <c r="BH67" s="19">
        <f t="shared" si="171"/>
        <v>0</v>
      </c>
      <c r="BI67" s="19">
        <v>0</v>
      </c>
      <c r="BJ67" s="19">
        <f t="shared" si="172"/>
        <v>1669</v>
      </c>
      <c r="BK67" s="19">
        <v>0</v>
      </c>
      <c r="BL67" s="19">
        <v>0</v>
      </c>
      <c r="BM67" s="19">
        <f t="shared" si="173"/>
        <v>0</v>
      </c>
      <c r="BN67" s="19">
        <f t="shared" si="174"/>
        <v>1669</v>
      </c>
      <c r="BO67" s="19">
        <v>0</v>
      </c>
      <c r="BP67" s="19">
        <v>0</v>
      </c>
      <c r="BQ67" s="22">
        <f t="shared" si="175"/>
        <v>1669</v>
      </c>
      <c r="BR67" s="82">
        <f t="shared" si="176"/>
        <v>0</v>
      </c>
      <c r="BS67" s="19">
        <f t="shared" si="177"/>
        <v>0</v>
      </c>
      <c r="BT67" s="19">
        <f t="shared" si="178"/>
        <v>0</v>
      </c>
      <c r="BU67" s="19">
        <f t="shared" si="179"/>
        <v>0</v>
      </c>
      <c r="BV67" s="19">
        <f t="shared" si="180"/>
        <v>0</v>
      </c>
      <c r="BW67" s="19">
        <f t="shared" si="181"/>
        <v>0</v>
      </c>
      <c r="BX67" s="19">
        <f t="shared" si="182"/>
        <v>19</v>
      </c>
      <c r="BY67" s="19">
        <f t="shared" si="183"/>
        <v>38</v>
      </c>
      <c r="BZ67" s="19">
        <f t="shared" si="184"/>
        <v>0</v>
      </c>
      <c r="CA67" s="19">
        <f t="shared" si="185"/>
        <v>0</v>
      </c>
      <c r="CB67" s="19">
        <f t="shared" si="186"/>
        <v>3</v>
      </c>
      <c r="CC67" s="19">
        <f t="shared" si="187"/>
        <v>9</v>
      </c>
      <c r="CD67" s="19">
        <f t="shared" si="188"/>
        <v>0</v>
      </c>
      <c r="CE67" s="19">
        <f t="shared" si="189"/>
        <v>0</v>
      </c>
      <c r="CF67" s="19">
        <f t="shared" si="190"/>
        <v>0</v>
      </c>
      <c r="CG67" s="19">
        <f t="shared" si="191"/>
        <v>0</v>
      </c>
      <c r="CH67" s="19">
        <f t="shared" si="192"/>
        <v>1</v>
      </c>
      <c r="CI67" s="19">
        <f t="shared" si="193"/>
        <v>4.5</v>
      </c>
      <c r="CJ67" s="19">
        <f t="shared" si="194"/>
        <v>0</v>
      </c>
      <c r="CK67" s="19">
        <f t="shared" si="195"/>
        <v>0</v>
      </c>
      <c r="CL67" s="19">
        <f t="shared" si="196"/>
        <v>0</v>
      </c>
      <c r="CM67" s="19">
        <f t="shared" si="197"/>
        <v>0</v>
      </c>
      <c r="CN67" s="19">
        <f t="shared" si="198"/>
        <v>1</v>
      </c>
      <c r="CO67" s="19">
        <f t="shared" si="199"/>
        <v>6</v>
      </c>
      <c r="CP67" s="19">
        <f t="shared" si="200"/>
        <v>0</v>
      </c>
      <c r="CQ67" s="19">
        <f t="shared" si="201"/>
        <v>0</v>
      </c>
      <c r="CR67" s="19">
        <f t="shared" si="202"/>
        <v>0</v>
      </c>
      <c r="CS67" s="19">
        <f t="shared" si="203"/>
        <v>0</v>
      </c>
      <c r="CT67" s="19">
        <f t="shared" si="204"/>
        <v>0</v>
      </c>
      <c r="CU67" s="19">
        <f t="shared" si="205"/>
        <v>0</v>
      </c>
      <c r="CV67" s="19">
        <f t="shared" si="206"/>
        <v>0</v>
      </c>
      <c r="CW67" s="19">
        <f t="shared" si="207"/>
        <v>0</v>
      </c>
      <c r="CX67" s="19">
        <f t="shared" si="208"/>
        <v>0</v>
      </c>
      <c r="CY67" s="19">
        <f t="shared" si="209"/>
        <v>0</v>
      </c>
      <c r="CZ67" s="19">
        <f t="shared" si="210"/>
        <v>0</v>
      </c>
      <c r="DA67" s="19">
        <f t="shared" si="211"/>
        <v>0</v>
      </c>
      <c r="DB67" s="19">
        <f t="shared" si="212"/>
        <v>0</v>
      </c>
      <c r="DC67" s="19">
        <f t="shared" si="213"/>
        <v>0</v>
      </c>
      <c r="DD67" s="19">
        <f t="shared" si="214"/>
        <v>0</v>
      </c>
      <c r="DE67" s="19">
        <f t="shared" si="215"/>
        <v>0</v>
      </c>
      <c r="DF67" s="19">
        <f t="shared" si="216"/>
        <v>0</v>
      </c>
      <c r="DG67" s="19">
        <f t="shared" si="217"/>
        <v>0</v>
      </c>
      <c r="DH67" s="19">
        <f t="shared" si="218"/>
        <v>0</v>
      </c>
      <c r="DI67" s="19">
        <f t="shared" si="219"/>
        <v>0</v>
      </c>
      <c r="DJ67" s="19">
        <f t="shared" si="220"/>
        <v>0</v>
      </c>
      <c r="DK67" s="19">
        <f t="shared" si="221"/>
        <v>0</v>
      </c>
      <c r="DL67" s="19">
        <f t="shared" si="222"/>
        <v>0</v>
      </c>
      <c r="DM67" s="19">
        <f t="shared" si="223"/>
        <v>0</v>
      </c>
      <c r="DN67" s="19">
        <f t="shared" si="224"/>
        <v>0</v>
      </c>
      <c r="DO67" s="19">
        <f t="shared" si="225"/>
        <v>0</v>
      </c>
      <c r="DP67" s="19">
        <f t="shared" si="226"/>
        <v>0</v>
      </c>
      <c r="DQ67" s="19">
        <f t="shared" si="227"/>
        <v>0</v>
      </c>
      <c r="DR67" s="19">
        <f t="shared" si="228"/>
        <v>0</v>
      </c>
      <c r="DS67" s="19">
        <f t="shared" si="229"/>
        <v>0</v>
      </c>
      <c r="DT67" s="19">
        <f t="shared" si="230"/>
        <v>0</v>
      </c>
      <c r="DU67" s="19">
        <f t="shared" si="231"/>
        <v>0</v>
      </c>
      <c r="DV67" s="19">
        <f t="shared" si="232"/>
        <v>0</v>
      </c>
      <c r="DW67" s="19">
        <f t="shared" si="233"/>
        <v>0</v>
      </c>
      <c r="DX67" s="19">
        <f t="shared" si="234"/>
        <v>0</v>
      </c>
      <c r="DY67" s="19">
        <f t="shared" si="235"/>
        <v>0</v>
      </c>
      <c r="DZ67" s="19">
        <f t="shared" si="236"/>
        <v>0</v>
      </c>
      <c r="EA67" s="19">
        <f t="shared" si="237"/>
        <v>0</v>
      </c>
      <c r="EB67" s="19">
        <f t="shared" si="238"/>
        <v>0</v>
      </c>
      <c r="EC67" s="19">
        <f t="shared" si="239"/>
        <v>0</v>
      </c>
    </row>
    <row r="68" spans="1:133" s="78" customFormat="1" ht="18" customHeight="1" x14ac:dyDescent="0.25">
      <c r="A68" s="15">
        <v>65</v>
      </c>
      <c r="B68" s="108" t="s">
        <v>448</v>
      </c>
      <c r="C68" s="74" t="s">
        <v>453</v>
      </c>
      <c r="D68" s="16" t="s">
        <v>61</v>
      </c>
      <c r="E68" s="18">
        <v>45636</v>
      </c>
      <c r="F68" s="19">
        <v>11</v>
      </c>
      <c r="G68" s="19">
        <v>11</v>
      </c>
      <c r="H68" s="19">
        <v>11</v>
      </c>
      <c r="I68" s="19">
        <v>11</v>
      </c>
      <c r="J68" s="19" t="s">
        <v>603</v>
      </c>
      <c r="K68" s="19">
        <v>11</v>
      </c>
      <c r="L68" s="19" t="s">
        <v>15</v>
      </c>
      <c r="M68" s="19" t="s">
        <v>316</v>
      </c>
      <c r="N68" s="19">
        <v>11</v>
      </c>
      <c r="O68" s="19">
        <v>11</v>
      </c>
      <c r="P68" s="19">
        <v>11</v>
      </c>
      <c r="Q68" s="19">
        <v>11</v>
      </c>
      <c r="R68" s="19">
        <v>11</v>
      </c>
      <c r="S68" s="19" t="s">
        <v>316</v>
      </c>
      <c r="T68" s="19">
        <v>11</v>
      </c>
      <c r="U68" s="19">
        <v>11</v>
      </c>
      <c r="V68" s="19">
        <v>11</v>
      </c>
      <c r="W68" s="19">
        <v>11</v>
      </c>
      <c r="X68" s="19">
        <v>11</v>
      </c>
      <c r="Y68" s="19">
        <v>11</v>
      </c>
      <c r="Z68" s="19" t="s">
        <v>15</v>
      </c>
      <c r="AA68" s="19" t="s">
        <v>316</v>
      </c>
      <c r="AB68" s="19">
        <v>11</v>
      </c>
      <c r="AC68" s="19">
        <v>11</v>
      </c>
      <c r="AD68" s="19">
        <v>11</v>
      </c>
      <c r="AE68" s="19">
        <v>11</v>
      </c>
      <c r="AF68" s="19">
        <v>11</v>
      </c>
      <c r="AG68" s="19" t="s">
        <v>316</v>
      </c>
      <c r="AH68" s="19">
        <v>11</v>
      </c>
      <c r="AI68" s="19">
        <v>11</v>
      </c>
      <c r="AJ68" s="19">
        <v>11</v>
      </c>
      <c r="AK68" s="19">
        <v>11</v>
      </c>
      <c r="AL68" s="19">
        <v>11</v>
      </c>
      <c r="AM68" s="19">
        <v>11</v>
      </c>
      <c r="AN68" s="19">
        <v>0</v>
      </c>
      <c r="AO68" s="19">
        <v>11</v>
      </c>
      <c r="AP68" s="19"/>
      <c r="AQ68" s="19"/>
      <c r="AR68" s="19"/>
      <c r="AS68" s="19">
        <v>0</v>
      </c>
      <c r="AT68" s="19">
        <f t="shared" si="160"/>
        <v>69</v>
      </c>
      <c r="AU68" s="19">
        <f t="shared" si="161"/>
        <v>44</v>
      </c>
      <c r="AV68" s="19">
        <f t="shared" si="162"/>
        <v>11</v>
      </c>
      <c r="AW68" s="16">
        <f t="shared" si="163"/>
        <v>26</v>
      </c>
      <c r="AX68" s="16">
        <f t="shared" si="164"/>
        <v>4</v>
      </c>
      <c r="AY68" s="16">
        <f t="shared" si="165"/>
        <v>0</v>
      </c>
      <c r="AZ68" s="21">
        <v>1100</v>
      </c>
      <c r="BA68" s="21">
        <v>100</v>
      </c>
      <c r="BB68" s="21">
        <v>0</v>
      </c>
      <c r="BC68" s="19">
        <f t="shared" si="166"/>
        <v>953</v>
      </c>
      <c r="BD68" s="19">
        <f t="shared" si="167"/>
        <v>87</v>
      </c>
      <c r="BE68" s="19">
        <f t="shared" si="168"/>
        <v>773</v>
      </c>
      <c r="BF68" s="19">
        <f t="shared" si="169"/>
        <v>0</v>
      </c>
      <c r="BG68" s="19">
        <f t="shared" si="170"/>
        <v>0</v>
      </c>
      <c r="BH68" s="19">
        <f t="shared" si="171"/>
        <v>0</v>
      </c>
      <c r="BI68" s="19">
        <v>0</v>
      </c>
      <c r="BJ68" s="19">
        <f t="shared" si="172"/>
        <v>1813</v>
      </c>
      <c r="BK68" s="19">
        <v>0</v>
      </c>
      <c r="BL68" s="19">
        <v>0</v>
      </c>
      <c r="BM68" s="19">
        <f t="shared" si="173"/>
        <v>0</v>
      </c>
      <c r="BN68" s="19">
        <f t="shared" si="174"/>
        <v>1813</v>
      </c>
      <c r="BO68" s="19">
        <v>0</v>
      </c>
      <c r="BP68" s="19">
        <v>0</v>
      </c>
      <c r="BQ68" s="22">
        <f t="shared" si="175"/>
        <v>1813</v>
      </c>
      <c r="BR68" s="82">
        <f t="shared" si="176"/>
        <v>0</v>
      </c>
      <c r="BS68" s="19">
        <f t="shared" si="177"/>
        <v>0</v>
      </c>
      <c r="BT68" s="19">
        <f t="shared" si="178"/>
        <v>0</v>
      </c>
      <c r="BU68" s="19">
        <f t="shared" si="179"/>
        <v>0</v>
      </c>
      <c r="BV68" s="19">
        <f t="shared" si="180"/>
        <v>0</v>
      </c>
      <c r="BW68" s="19">
        <f t="shared" si="181"/>
        <v>0</v>
      </c>
      <c r="BX68" s="19">
        <f t="shared" si="182"/>
        <v>0</v>
      </c>
      <c r="BY68" s="19">
        <f t="shared" si="183"/>
        <v>0</v>
      </c>
      <c r="BZ68" s="19">
        <f t="shared" si="184"/>
        <v>0</v>
      </c>
      <c r="CA68" s="19">
        <f t="shared" si="185"/>
        <v>0</v>
      </c>
      <c r="CB68" s="19">
        <f t="shared" si="186"/>
        <v>23</v>
      </c>
      <c r="CC68" s="19">
        <f t="shared" si="187"/>
        <v>69</v>
      </c>
      <c r="CD68" s="19">
        <f t="shared" si="188"/>
        <v>0</v>
      </c>
      <c r="CE68" s="19">
        <f t="shared" si="189"/>
        <v>0</v>
      </c>
      <c r="CF68" s="19">
        <f t="shared" si="190"/>
        <v>0</v>
      </c>
      <c r="CG68" s="19">
        <f t="shared" si="191"/>
        <v>0</v>
      </c>
      <c r="CH68" s="19">
        <f t="shared" si="192"/>
        <v>0</v>
      </c>
      <c r="CI68" s="19">
        <f t="shared" si="193"/>
        <v>0</v>
      </c>
      <c r="CJ68" s="19">
        <f t="shared" si="194"/>
        <v>0</v>
      </c>
      <c r="CK68" s="19">
        <f t="shared" si="195"/>
        <v>0</v>
      </c>
      <c r="CL68" s="19">
        <f t="shared" si="196"/>
        <v>0</v>
      </c>
      <c r="CM68" s="19">
        <f t="shared" si="197"/>
        <v>0</v>
      </c>
      <c r="CN68" s="19">
        <f t="shared" si="198"/>
        <v>0</v>
      </c>
      <c r="CO68" s="19">
        <f t="shared" si="199"/>
        <v>0</v>
      </c>
      <c r="CP68" s="19">
        <f t="shared" si="200"/>
        <v>0</v>
      </c>
      <c r="CQ68" s="19">
        <f t="shared" si="201"/>
        <v>0</v>
      </c>
      <c r="CR68" s="19">
        <f t="shared" si="202"/>
        <v>0</v>
      </c>
      <c r="CS68" s="19">
        <f t="shared" si="203"/>
        <v>0</v>
      </c>
      <c r="CT68" s="19">
        <f t="shared" si="204"/>
        <v>0</v>
      </c>
      <c r="CU68" s="19">
        <f t="shared" si="205"/>
        <v>0</v>
      </c>
      <c r="CV68" s="19">
        <f t="shared" si="206"/>
        <v>0</v>
      </c>
      <c r="CW68" s="19">
        <f t="shared" si="207"/>
        <v>0</v>
      </c>
      <c r="CX68" s="19">
        <f t="shared" si="208"/>
        <v>0</v>
      </c>
      <c r="CY68" s="19">
        <f t="shared" si="209"/>
        <v>0</v>
      </c>
      <c r="CZ68" s="19">
        <f t="shared" si="210"/>
        <v>0</v>
      </c>
      <c r="DA68" s="19">
        <f t="shared" si="211"/>
        <v>0</v>
      </c>
      <c r="DB68" s="19">
        <f t="shared" si="212"/>
        <v>0</v>
      </c>
      <c r="DC68" s="19">
        <f t="shared" si="213"/>
        <v>0</v>
      </c>
      <c r="DD68" s="19">
        <f t="shared" si="214"/>
        <v>0</v>
      </c>
      <c r="DE68" s="19">
        <f t="shared" si="215"/>
        <v>0</v>
      </c>
      <c r="DF68" s="19">
        <f t="shared" si="216"/>
        <v>0</v>
      </c>
      <c r="DG68" s="19">
        <f t="shared" si="217"/>
        <v>0</v>
      </c>
      <c r="DH68" s="19">
        <f t="shared" si="218"/>
        <v>0</v>
      </c>
      <c r="DI68" s="19">
        <f t="shared" si="219"/>
        <v>0</v>
      </c>
      <c r="DJ68" s="19">
        <f t="shared" si="220"/>
        <v>0</v>
      </c>
      <c r="DK68" s="19">
        <f t="shared" si="221"/>
        <v>0</v>
      </c>
      <c r="DL68" s="19">
        <f t="shared" si="222"/>
        <v>0</v>
      </c>
      <c r="DM68" s="19">
        <f t="shared" si="223"/>
        <v>0</v>
      </c>
      <c r="DN68" s="19">
        <f t="shared" si="224"/>
        <v>0</v>
      </c>
      <c r="DO68" s="19">
        <f t="shared" si="225"/>
        <v>0</v>
      </c>
      <c r="DP68" s="19">
        <f t="shared" si="226"/>
        <v>0</v>
      </c>
      <c r="DQ68" s="19">
        <f t="shared" si="227"/>
        <v>0</v>
      </c>
      <c r="DR68" s="19">
        <f t="shared" si="228"/>
        <v>0</v>
      </c>
      <c r="DS68" s="19">
        <f t="shared" si="229"/>
        <v>0</v>
      </c>
      <c r="DT68" s="19">
        <f t="shared" si="230"/>
        <v>0</v>
      </c>
      <c r="DU68" s="19">
        <f t="shared" si="231"/>
        <v>0</v>
      </c>
      <c r="DV68" s="19">
        <f t="shared" si="232"/>
        <v>0</v>
      </c>
      <c r="DW68" s="19">
        <f t="shared" si="233"/>
        <v>0</v>
      </c>
      <c r="DX68" s="19">
        <f t="shared" si="234"/>
        <v>0</v>
      </c>
      <c r="DY68" s="19">
        <f t="shared" si="235"/>
        <v>0</v>
      </c>
      <c r="DZ68" s="19">
        <f t="shared" si="236"/>
        <v>0</v>
      </c>
      <c r="EA68" s="19">
        <f t="shared" si="237"/>
        <v>0</v>
      </c>
      <c r="EB68" s="19">
        <f t="shared" si="238"/>
        <v>0</v>
      </c>
      <c r="EC68" s="19">
        <f t="shared" si="239"/>
        <v>0</v>
      </c>
    </row>
    <row r="69" spans="1:133" s="78" customFormat="1" ht="18" customHeight="1" x14ac:dyDescent="0.25">
      <c r="A69" s="15">
        <v>66</v>
      </c>
      <c r="B69" s="108" t="s">
        <v>449</v>
      </c>
      <c r="C69" s="74" t="s">
        <v>454</v>
      </c>
      <c r="D69" s="16" t="s">
        <v>61</v>
      </c>
      <c r="E69" s="18">
        <v>45636</v>
      </c>
      <c r="F69" s="19">
        <v>10</v>
      </c>
      <c r="G69" s="19">
        <v>10</v>
      </c>
      <c r="H69" s="19">
        <v>10</v>
      </c>
      <c r="I69" s="19">
        <v>10</v>
      </c>
      <c r="J69" s="19" t="s">
        <v>603</v>
      </c>
      <c r="K69" s="19">
        <v>10</v>
      </c>
      <c r="L69" s="19" t="s">
        <v>15</v>
      </c>
      <c r="M69" s="19" t="s">
        <v>316</v>
      </c>
      <c r="N69" s="19">
        <v>10</v>
      </c>
      <c r="O69" s="19">
        <v>10</v>
      </c>
      <c r="P69" s="19">
        <v>10</v>
      </c>
      <c r="Q69" s="19">
        <v>10</v>
      </c>
      <c r="R69" s="19">
        <v>10</v>
      </c>
      <c r="S69" s="19" t="s">
        <v>316</v>
      </c>
      <c r="T69" s="19">
        <v>10</v>
      </c>
      <c r="U69" s="19">
        <v>10</v>
      </c>
      <c r="V69" s="19">
        <v>10</v>
      </c>
      <c r="W69" s="19">
        <v>10</v>
      </c>
      <c r="X69" s="19">
        <v>10</v>
      </c>
      <c r="Y69" s="19">
        <v>10</v>
      </c>
      <c r="Z69" s="19" t="s">
        <v>15</v>
      </c>
      <c r="AA69" s="19">
        <v>10</v>
      </c>
      <c r="AB69" s="19">
        <v>10</v>
      </c>
      <c r="AC69" s="19">
        <v>10</v>
      </c>
      <c r="AD69" s="19">
        <v>10</v>
      </c>
      <c r="AE69" s="19">
        <v>10</v>
      </c>
      <c r="AF69" s="19">
        <v>10</v>
      </c>
      <c r="AG69" s="19" t="s">
        <v>15</v>
      </c>
      <c r="AH69" s="19">
        <v>10</v>
      </c>
      <c r="AI69" s="19">
        <v>10</v>
      </c>
      <c r="AJ69" s="19">
        <v>0</v>
      </c>
      <c r="AK69" s="19">
        <v>0</v>
      </c>
      <c r="AL69" s="19">
        <v>0</v>
      </c>
      <c r="AM69" s="19">
        <v>10</v>
      </c>
      <c r="AN69" s="19">
        <v>0</v>
      </c>
      <c r="AO69" s="19">
        <v>0</v>
      </c>
      <c r="AP69" s="19"/>
      <c r="AQ69" s="19"/>
      <c r="AR69" s="19"/>
      <c r="AS69" s="19">
        <v>0</v>
      </c>
      <c r="AT69" s="19">
        <f t="shared" si="160"/>
        <v>48</v>
      </c>
      <c r="AU69" s="19">
        <f t="shared" si="161"/>
        <v>10</v>
      </c>
      <c r="AV69" s="19">
        <f t="shared" si="162"/>
        <v>0</v>
      </c>
      <c r="AW69" s="16">
        <f t="shared" si="163"/>
        <v>28</v>
      </c>
      <c r="AX69" s="16">
        <f t="shared" si="164"/>
        <v>2</v>
      </c>
      <c r="AY69" s="16">
        <f t="shared" si="165"/>
        <v>0</v>
      </c>
      <c r="AZ69" s="21">
        <v>1200</v>
      </c>
      <c r="BA69" s="21">
        <v>100</v>
      </c>
      <c r="BB69" s="21">
        <v>0</v>
      </c>
      <c r="BC69" s="19">
        <f t="shared" si="166"/>
        <v>1120</v>
      </c>
      <c r="BD69" s="19">
        <f t="shared" si="167"/>
        <v>93</v>
      </c>
      <c r="BE69" s="19">
        <f t="shared" si="168"/>
        <v>375</v>
      </c>
      <c r="BF69" s="19">
        <f t="shared" si="169"/>
        <v>0</v>
      </c>
      <c r="BG69" s="19">
        <f t="shared" si="170"/>
        <v>0</v>
      </c>
      <c r="BH69" s="19">
        <f t="shared" si="171"/>
        <v>0</v>
      </c>
      <c r="BI69" s="19">
        <v>0</v>
      </c>
      <c r="BJ69" s="19">
        <f t="shared" si="172"/>
        <v>1588</v>
      </c>
      <c r="BK69" s="19">
        <v>0</v>
      </c>
      <c r="BL69" s="19">
        <v>0</v>
      </c>
      <c r="BM69" s="19">
        <f t="shared" si="173"/>
        <v>0</v>
      </c>
      <c r="BN69" s="19">
        <f t="shared" si="174"/>
        <v>1588</v>
      </c>
      <c r="BO69" s="19">
        <v>0</v>
      </c>
      <c r="BP69" s="19">
        <v>0</v>
      </c>
      <c r="BQ69" s="22">
        <f t="shared" si="175"/>
        <v>1588</v>
      </c>
      <c r="BR69" s="82">
        <f t="shared" si="176"/>
        <v>0</v>
      </c>
      <c r="BS69" s="19">
        <f t="shared" si="177"/>
        <v>0</v>
      </c>
      <c r="BT69" s="19">
        <f t="shared" si="178"/>
        <v>0</v>
      </c>
      <c r="BU69" s="19">
        <f t="shared" si="179"/>
        <v>0</v>
      </c>
      <c r="BV69" s="19">
        <f t="shared" si="180"/>
        <v>0</v>
      </c>
      <c r="BW69" s="19">
        <f t="shared" si="181"/>
        <v>0</v>
      </c>
      <c r="BX69" s="19">
        <f t="shared" si="182"/>
        <v>24</v>
      </c>
      <c r="BY69" s="19">
        <f t="shared" si="183"/>
        <v>48</v>
      </c>
      <c r="BZ69" s="19">
        <f t="shared" si="184"/>
        <v>0</v>
      </c>
      <c r="CA69" s="19">
        <f t="shared" si="185"/>
        <v>0</v>
      </c>
      <c r="CB69" s="19">
        <f t="shared" si="186"/>
        <v>0</v>
      </c>
      <c r="CC69" s="19">
        <f t="shared" si="187"/>
        <v>0</v>
      </c>
      <c r="CD69" s="19">
        <f t="shared" si="188"/>
        <v>0</v>
      </c>
      <c r="CE69" s="19">
        <f t="shared" si="189"/>
        <v>0</v>
      </c>
      <c r="CF69" s="19">
        <f t="shared" si="190"/>
        <v>0</v>
      </c>
      <c r="CG69" s="19">
        <f t="shared" si="191"/>
        <v>0</v>
      </c>
      <c r="CH69" s="19">
        <f t="shared" si="192"/>
        <v>0</v>
      </c>
      <c r="CI69" s="19">
        <f t="shared" si="193"/>
        <v>0</v>
      </c>
      <c r="CJ69" s="19">
        <f t="shared" si="194"/>
        <v>0</v>
      </c>
      <c r="CK69" s="19">
        <f t="shared" si="195"/>
        <v>0</v>
      </c>
      <c r="CL69" s="19">
        <f t="shared" si="196"/>
        <v>0</v>
      </c>
      <c r="CM69" s="19">
        <f t="shared" si="197"/>
        <v>0</v>
      </c>
      <c r="CN69" s="19">
        <f t="shared" si="198"/>
        <v>0</v>
      </c>
      <c r="CO69" s="19">
        <f t="shared" si="199"/>
        <v>0</v>
      </c>
      <c r="CP69" s="19">
        <f t="shared" si="200"/>
        <v>0</v>
      </c>
      <c r="CQ69" s="19">
        <f t="shared" si="201"/>
        <v>0</v>
      </c>
      <c r="CR69" s="19">
        <f t="shared" si="202"/>
        <v>0</v>
      </c>
      <c r="CS69" s="19">
        <f t="shared" si="203"/>
        <v>0</v>
      </c>
      <c r="CT69" s="19">
        <f t="shared" si="204"/>
        <v>0</v>
      </c>
      <c r="CU69" s="19">
        <f t="shared" si="205"/>
        <v>0</v>
      </c>
      <c r="CV69" s="19">
        <f t="shared" si="206"/>
        <v>0</v>
      </c>
      <c r="CW69" s="19">
        <f t="shared" si="207"/>
        <v>0</v>
      </c>
      <c r="CX69" s="19">
        <f t="shared" si="208"/>
        <v>0</v>
      </c>
      <c r="CY69" s="19">
        <f t="shared" si="209"/>
        <v>0</v>
      </c>
      <c r="CZ69" s="19">
        <f t="shared" si="210"/>
        <v>0</v>
      </c>
      <c r="DA69" s="19">
        <f t="shared" si="211"/>
        <v>0</v>
      </c>
      <c r="DB69" s="19">
        <f t="shared" si="212"/>
        <v>0</v>
      </c>
      <c r="DC69" s="19">
        <f t="shared" si="213"/>
        <v>0</v>
      </c>
      <c r="DD69" s="19">
        <f t="shared" si="214"/>
        <v>0</v>
      </c>
      <c r="DE69" s="19">
        <f t="shared" si="215"/>
        <v>0</v>
      </c>
      <c r="DF69" s="19">
        <f t="shared" si="216"/>
        <v>0</v>
      </c>
      <c r="DG69" s="19">
        <f t="shared" si="217"/>
        <v>0</v>
      </c>
      <c r="DH69" s="19">
        <f t="shared" si="218"/>
        <v>0</v>
      </c>
      <c r="DI69" s="19">
        <f t="shared" si="219"/>
        <v>0</v>
      </c>
      <c r="DJ69" s="19">
        <f t="shared" si="220"/>
        <v>0</v>
      </c>
      <c r="DK69" s="19">
        <f t="shared" si="221"/>
        <v>0</v>
      </c>
      <c r="DL69" s="19">
        <f t="shared" si="222"/>
        <v>0</v>
      </c>
      <c r="DM69" s="19">
        <f t="shared" si="223"/>
        <v>0</v>
      </c>
      <c r="DN69" s="19">
        <f t="shared" si="224"/>
        <v>0</v>
      </c>
      <c r="DO69" s="19">
        <f t="shared" si="225"/>
        <v>0</v>
      </c>
      <c r="DP69" s="19">
        <f t="shared" si="226"/>
        <v>0</v>
      </c>
      <c r="DQ69" s="19">
        <f t="shared" si="227"/>
        <v>0</v>
      </c>
      <c r="DR69" s="19">
        <f t="shared" si="228"/>
        <v>0</v>
      </c>
      <c r="DS69" s="19">
        <f t="shared" si="229"/>
        <v>0</v>
      </c>
      <c r="DT69" s="19">
        <f t="shared" si="230"/>
        <v>0</v>
      </c>
      <c r="DU69" s="19">
        <f t="shared" si="231"/>
        <v>0</v>
      </c>
      <c r="DV69" s="19">
        <f t="shared" si="232"/>
        <v>0</v>
      </c>
      <c r="DW69" s="19">
        <f t="shared" si="233"/>
        <v>0</v>
      </c>
      <c r="DX69" s="19">
        <f t="shared" si="234"/>
        <v>0</v>
      </c>
      <c r="DY69" s="19">
        <f t="shared" si="235"/>
        <v>0</v>
      </c>
      <c r="DZ69" s="19">
        <f t="shared" si="236"/>
        <v>0</v>
      </c>
      <c r="EA69" s="19">
        <f t="shared" si="237"/>
        <v>0</v>
      </c>
      <c r="EB69" s="19">
        <f t="shared" si="238"/>
        <v>0</v>
      </c>
      <c r="EC69" s="19">
        <f t="shared" si="239"/>
        <v>0</v>
      </c>
    </row>
    <row r="70" spans="1:133" s="78" customFormat="1" ht="18" customHeight="1" x14ac:dyDescent="0.25">
      <c r="A70" s="15">
        <v>67</v>
      </c>
      <c r="B70" s="108" t="s">
        <v>450</v>
      </c>
      <c r="C70" s="74" t="s">
        <v>455</v>
      </c>
      <c r="D70" s="16" t="s">
        <v>61</v>
      </c>
      <c r="E70" s="18">
        <v>45637</v>
      </c>
      <c r="F70" s="19">
        <v>10</v>
      </c>
      <c r="G70" s="19">
        <v>10</v>
      </c>
      <c r="H70" s="19">
        <v>10</v>
      </c>
      <c r="I70" s="19">
        <v>10</v>
      </c>
      <c r="J70" s="19" t="s">
        <v>603</v>
      </c>
      <c r="K70" s="19">
        <v>10</v>
      </c>
      <c r="L70" s="19" t="s">
        <v>15</v>
      </c>
      <c r="M70" s="19">
        <v>10</v>
      </c>
      <c r="N70" s="19">
        <v>10</v>
      </c>
      <c r="O70" s="19">
        <v>10</v>
      </c>
      <c r="P70" s="19">
        <v>10</v>
      </c>
      <c r="Q70" s="19">
        <v>10</v>
      </c>
      <c r="R70" s="19">
        <v>10</v>
      </c>
      <c r="S70" s="19" t="s">
        <v>15</v>
      </c>
      <c r="T70" s="19">
        <v>10</v>
      </c>
      <c r="U70" s="19">
        <v>10</v>
      </c>
      <c r="V70" s="19">
        <v>10</v>
      </c>
      <c r="W70" s="19">
        <v>10</v>
      </c>
      <c r="X70" s="19">
        <v>10</v>
      </c>
      <c r="Y70" s="19">
        <v>10</v>
      </c>
      <c r="Z70" s="19" t="s">
        <v>15</v>
      </c>
      <c r="AA70" s="19">
        <v>10</v>
      </c>
      <c r="AB70" s="19">
        <v>10</v>
      </c>
      <c r="AC70" s="19">
        <v>10</v>
      </c>
      <c r="AD70" s="19">
        <v>10</v>
      </c>
      <c r="AE70" s="19">
        <v>10</v>
      </c>
      <c r="AF70" s="19">
        <v>10</v>
      </c>
      <c r="AG70" s="19" t="s">
        <v>15</v>
      </c>
      <c r="AH70" s="19">
        <v>10</v>
      </c>
      <c r="AI70" s="19">
        <v>10</v>
      </c>
      <c r="AJ70" s="19">
        <v>0</v>
      </c>
      <c r="AK70" s="19">
        <v>0</v>
      </c>
      <c r="AL70" s="19">
        <v>0</v>
      </c>
      <c r="AM70" s="19">
        <v>10</v>
      </c>
      <c r="AN70" s="19">
        <v>0</v>
      </c>
      <c r="AO70" s="19">
        <v>6</v>
      </c>
      <c r="AP70" s="19"/>
      <c r="AQ70" s="19"/>
      <c r="AR70" s="19"/>
      <c r="AS70" s="19">
        <v>0</v>
      </c>
      <c r="AT70" s="19">
        <f t="shared" si="160"/>
        <v>50</v>
      </c>
      <c r="AU70" s="19">
        <f t="shared" si="161"/>
        <v>10</v>
      </c>
      <c r="AV70" s="19">
        <f t="shared" si="162"/>
        <v>6</v>
      </c>
      <c r="AW70" s="16">
        <f t="shared" si="163"/>
        <v>30</v>
      </c>
      <c r="AX70" s="16">
        <f t="shared" si="164"/>
        <v>0</v>
      </c>
      <c r="AY70" s="16">
        <f t="shared" si="165"/>
        <v>0</v>
      </c>
      <c r="AZ70" s="21">
        <v>1150</v>
      </c>
      <c r="BA70" s="21">
        <v>100</v>
      </c>
      <c r="BB70" s="21">
        <v>0</v>
      </c>
      <c r="BC70" s="19">
        <f t="shared" si="166"/>
        <v>1150</v>
      </c>
      <c r="BD70" s="19">
        <f t="shared" si="167"/>
        <v>100</v>
      </c>
      <c r="BE70" s="19">
        <f t="shared" si="168"/>
        <v>414</v>
      </c>
      <c r="BF70" s="19">
        <f t="shared" si="169"/>
        <v>0</v>
      </c>
      <c r="BG70" s="19">
        <f t="shared" si="170"/>
        <v>0</v>
      </c>
      <c r="BH70" s="19">
        <f t="shared" si="171"/>
        <v>0</v>
      </c>
      <c r="BI70" s="19">
        <v>95</v>
      </c>
      <c r="BJ70" s="19">
        <f t="shared" si="172"/>
        <v>1759</v>
      </c>
      <c r="BK70" s="19">
        <v>0</v>
      </c>
      <c r="BL70" s="19">
        <v>0</v>
      </c>
      <c r="BM70" s="19">
        <f t="shared" si="173"/>
        <v>0</v>
      </c>
      <c r="BN70" s="19">
        <f t="shared" si="174"/>
        <v>1759</v>
      </c>
      <c r="BO70" s="19">
        <v>0</v>
      </c>
      <c r="BP70" s="19">
        <v>0</v>
      </c>
      <c r="BQ70" s="22">
        <f t="shared" si="175"/>
        <v>1759</v>
      </c>
      <c r="BR70" s="82">
        <f t="shared" si="176"/>
        <v>0</v>
      </c>
      <c r="BS70" s="19">
        <f t="shared" si="177"/>
        <v>0</v>
      </c>
      <c r="BT70" s="19">
        <f t="shared" si="178"/>
        <v>0</v>
      </c>
      <c r="BU70" s="19">
        <f t="shared" si="179"/>
        <v>0</v>
      </c>
      <c r="BV70" s="19">
        <f t="shared" si="180"/>
        <v>0</v>
      </c>
      <c r="BW70" s="19">
        <f t="shared" si="181"/>
        <v>0</v>
      </c>
      <c r="BX70" s="19">
        <f t="shared" si="182"/>
        <v>25</v>
      </c>
      <c r="BY70" s="19">
        <f t="shared" si="183"/>
        <v>50</v>
      </c>
      <c r="BZ70" s="19">
        <f t="shared" si="184"/>
        <v>0</v>
      </c>
      <c r="CA70" s="19">
        <f t="shared" si="185"/>
        <v>0</v>
      </c>
      <c r="CB70" s="19">
        <f t="shared" si="186"/>
        <v>0</v>
      </c>
      <c r="CC70" s="19">
        <f t="shared" si="187"/>
        <v>0</v>
      </c>
      <c r="CD70" s="19">
        <f t="shared" si="188"/>
        <v>0</v>
      </c>
      <c r="CE70" s="19">
        <f t="shared" si="189"/>
        <v>0</v>
      </c>
      <c r="CF70" s="19">
        <f t="shared" si="190"/>
        <v>0</v>
      </c>
      <c r="CG70" s="19">
        <f t="shared" si="191"/>
        <v>0</v>
      </c>
      <c r="CH70" s="19">
        <f t="shared" si="192"/>
        <v>0</v>
      </c>
      <c r="CI70" s="19">
        <f t="shared" si="193"/>
        <v>0</v>
      </c>
      <c r="CJ70" s="19">
        <f t="shared" si="194"/>
        <v>0</v>
      </c>
      <c r="CK70" s="19">
        <f t="shared" si="195"/>
        <v>0</v>
      </c>
      <c r="CL70" s="19">
        <f t="shared" si="196"/>
        <v>0</v>
      </c>
      <c r="CM70" s="19">
        <f t="shared" si="197"/>
        <v>0</v>
      </c>
      <c r="CN70" s="19">
        <f t="shared" si="198"/>
        <v>0</v>
      </c>
      <c r="CO70" s="19">
        <f t="shared" si="199"/>
        <v>0</v>
      </c>
      <c r="CP70" s="19">
        <f t="shared" si="200"/>
        <v>0</v>
      </c>
      <c r="CQ70" s="19">
        <f t="shared" si="201"/>
        <v>0</v>
      </c>
      <c r="CR70" s="19">
        <f t="shared" si="202"/>
        <v>0</v>
      </c>
      <c r="CS70" s="19">
        <f t="shared" si="203"/>
        <v>0</v>
      </c>
      <c r="CT70" s="19">
        <f t="shared" si="204"/>
        <v>0</v>
      </c>
      <c r="CU70" s="19">
        <f t="shared" si="205"/>
        <v>0</v>
      </c>
      <c r="CV70" s="19">
        <f t="shared" si="206"/>
        <v>0</v>
      </c>
      <c r="CW70" s="19">
        <f t="shared" si="207"/>
        <v>0</v>
      </c>
      <c r="CX70" s="19">
        <f t="shared" si="208"/>
        <v>0</v>
      </c>
      <c r="CY70" s="19">
        <f t="shared" si="209"/>
        <v>0</v>
      </c>
      <c r="CZ70" s="19">
        <f t="shared" si="210"/>
        <v>0</v>
      </c>
      <c r="DA70" s="19">
        <f t="shared" si="211"/>
        <v>0</v>
      </c>
      <c r="DB70" s="19">
        <f t="shared" si="212"/>
        <v>0</v>
      </c>
      <c r="DC70" s="19">
        <f t="shared" si="213"/>
        <v>0</v>
      </c>
      <c r="DD70" s="19">
        <f t="shared" si="214"/>
        <v>0</v>
      </c>
      <c r="DE70" s="19">
        <f t="shared" si="215"/>
        <v>0</v>
      </c>
      <c r="DF70" s="19">
        <f t="shared" si="216"/>
        <v>0</v>
      </c>
      <c r="DG70" s="19">
        <f t="shared" si="217"/>
        <v>0</v>
      </c>
      <c r="DH70" s="19">
        <f t="shared" si="218"/>
        <v>0</v>
      </c>
      <c r="DI70" s="19">
        <f t="shared" si="219"/>
        <v>0</v>
      </c>
      <c r="DJ70" s="19">
        <f t="shared" si="220"/>
        <v>0</v>
      </c>
      <c r="DK70" s="19">
        <f t="shared" si="221"/>
        <v>0</v>
      </c>
      <c r="DL70" s="19">
        <f t="shared" si="222"/>
        <v>0</v>
      </c>
      <c r="DM70" s="19">
        <f t="shared" si="223"/>
        <v>0</v>
      </c>
      <c r="DN70" s="19">
        <f t="shared" si="224"/>
        <v>0</v>
      </c>
      <c r="DO70" s="19">
        <f t="shared" si="225"/>
        <v>0</v>
      </c>
      <c r="DP70" s="19">
        <f t="shared" si="226"/>
        <v>0</v>
      </c>
      <c r="DQ70" s="19">
        <f t="shared" si="227"/>
        <v>0</v>
      </c>
      <c r="DR70" s="19">
        <f t="shared" si="228"/>
        <v>0</v>
      </c>
      <c r="DS70" s="19">
        <f t="shared" si="229"/>
        <v>0</v>
      </c>
      <c r="DT70" s="19">
        <f t="shared" si="230"/>
        <v>0</v>
      </c>
      <c r="DU70" s="19">
        <f t="shared" si="231"/>
        <v>0</v>
      </c>
      <c r="DV70" s="19">
        <f t="shared" si="232"/>
        <v>0</v>
      </c>
      <c r="DW70" s="19">
        <f t="shared" si="233"/>
        <v>0</v>
      </c>
      <c r="DX70" s="19">
        <f t="shared" si="234"/>
        <v>0</v>
      </c>
      <c r="DY70" s="19">
        <f t="shared" si="235"/>
        <v>0</v>
      </c>
      <c r="DZ70" s="19">
        <f t="shared" si="236"/>
        <v>0</v>
      </c>
      <c r="EA70" s="19">
        <f t="shared" si="237"/>
        <v>0</v>
      </c>
      <c r="EB70" s="19">
        <f t="shared" si="238"/>
        <v>0</v>
      </c>
      <c r="EC70" s="19">
        <f t="shared" si="239"/>
        <v>0</v>
      </c>
    </row>
    <row r="71" spans="1:133" s="78" customFormat="1" ht="18" customHeight="1" x14ac:dyDescent="0.25">
      <c r="A71" s="15">
        <v>68</v>
      </c>
      <c r="B71" s="108" t="s">
        <v>451</v>
      </c>
      <c r="C71" s="74" t="s">
        <v>335</v>
      </c>
      <c r="D71" s="16" t="s">
        <v>61</v>
      </c>
      <c r="E71" s="18">
        <v>45638</v>
      </c>
      <c r="F71" s="19">
        <v>10</v>
      </c>
      <c r="G71" s="19">
        <v>10</v>
      </c>
      <c r="H71" s="19">
        <v>10</v>
      </c>
      <c r="I71" s="19">
        <v>10</v>
      </c>
      <c r="J71" s="19" t="s">
        <v>603</v>
      </c>
      <c r="K71" s="19">
        <v>10</v>
      </c>
      <c r="L71" s="19" t="s">
        <v>15</v>
      </c>
      <c r="M71" s="19">
        <v>10</v>
      </c>
      <c r="N71" s="19">
        <v>10</v>
      </c>
      <c r="O71" s="19">
        <v>10</v>
      </c>
      <c r="P71" s="19">
        <v>10</v>
      </c>
      <c r="Q71" s="19">
        <v>10</v>
      </c>
      <c r="R71" s="19">
        <v>10</v>
      </c>
      <c r="S71" s="19" t="s">
        <v>15</v>
      </c>
      <c r="T71" s="19">
        <v>10</v>
      </c>
      <c r="U71" s="19">
        <v>10</v>
      </c>
      <c r="V71" s="19">
        <v>10</v>
      </c>
      <c r="W71" s="19">
        <v>10</v>
      </c>
      <c r="X71" s="19">
        <v>10</v>
      </c>
      <c r="Y71" s="19">
        <v>10</v>
      </c>
      <c r="Z71" s="19" t="s">
        <v>15</v>
      </c>
      <c r="AA71" s="19">
        <v>10</v>
      </c>
      <c r="AB71" s="19">
        <v>10</v>
      </c>
      <c r="AC71" s="19">
        <v>10</v>
      </c>
      <c r="AD71" s="19">
        <v>10</v>
      </c>
      <c r="AE71" s="19">
        <v>10</v>
      </c>
      <c r="AF71" s="19">
        <v>10</v>
      </c>
      <c r="AG71" s="19" t="s">
        <v>15</v>
      </c>
      <c r="AH71" s="19">
        <v>10</v>
      </c>
      <c r="AI71" s="19">
        <v>10</v>
      </c>
      <c r="AJ71" s="19">
        <v>6</v>
      </c>
      <c r="AK71" s="19">
        <v>0</v>
      </c>
      <c r="AL71" s="19">
        <v>0</v>
      </c>
      <c r="AM71" s="19">
        <v>0</v>
      </c>
      <c r="AN71" s="19">
        <v>0</v>
      </c>
      <c r="AO71" s="19">
        <v>10</v>
      </c>
      <c r="AP71" s="19"/>
      <c r="AQ71" s="19"/>
      <c r="AR71" s="19"/>
      <c r="AS71" s="19">
        <v>0</v>
      </c>
      <c r="AT71" s="19">
        <f t="shared" si="160"/>
        <v>50</v>
      </c>
      <c r="AU71" s="19">
        <f t="shared" si="161"/>
        <v>6</v>
      </c>
      <c r="AV71" s="19">
        <f t="shared" si="162"/>
        <v>10</v>
      </c>
      <c r="AW71" s="16">
        <f t="shared" si="163"/>
        <v>30</v>
      </c>
      <c r="AX71" s="16">
        <f t="shared" si="164"/>
        <v>0</v>
      </c>
      <c r="AY71" s="16">
        <f t="shared" si="165"/>
        <v>0</v>
      </c>
      <c r="AZ71" s="21">
        <v>1000</v>
      </c>
      <c r="BA71" s="21">
        <v>100</v>
      </c>
      <c r="BB71" s="21">
        <v>0</v>
      </c>
      <c r="BC71" s="19">
        <f t="shared" si="166"/>
        <v>1000</v>
      </c>
      <c r="BD71" s="19">
        <f t="shared" si="167"/>
        <v>100</v>
      </c>
      <c r="BE71" s="19">
        <f t="shared" si="168"/>
        <v>360</v>
      </c>
      <c r="BF71" s="19">
        <f t="shared" si="169"/>
        <v>0</v>
      </c>
      <c r="BG71" s="19">
        <f t="shared" si="170"/>
        <v>0</v>
      </c>
      <c r="BH71" s="19">
        <f t="shared" si="171"/>
        <v>0</v>
      </c>
      <c r="BI71" s="19">
        <v>95</v>
      </c>
      <c r="BJ71" s="19">
        <f t="shared" si="172"/>
        <v>1555</v>
      </c>
      <c r="BK71" s="19">
        <v>0</v>
      </c>
      <c r="BL71" s="19">
        <v>0</v>
      </c>
      <c r="BM71" s="19">
        <f t="shared" si="173"/>
        <v>0</v>
      </c>
      <c r="BN71" s="19">
        <f t="shared" si="174"/>
        <v>1555</v>
      </c>
      <c r="BO71" s="19">
        <v>0</v>
      </c>
      <c r="BP71" s="19">
        <v>0</v>
      </c>
      <c r="BQ71" s="22">
        <f t="shared" si="175"/>
        <v>1555</v>
      </c>
      <c r="BR71" s="82">
        <f t="shared" si="176"/>
        <v>0</v>
      </c>
      <c r="BS71" s="19">
        <f t="shared" si="177"/>
        <v>0</v>
      </c>
      <c r="BT71" s="19">
        <f t="shared" si="178"/>
        <v>0</v>
      </c>
      <c r="BU71" s="19">
        <f t="shared" si="179"/>
        <v>0</v>
      </c>
      <c r="BV71" s="19">
        <f t="shared" si="180"/>
        <v>0</v>
      </c>
      <c r="BW71" s="19">
        <f t="shared" si="181"/>
        <v>0</v>
      </c>
      <c r="BX71" s="19">
        <f t="shared" si="182"/>
        <v>25</v>
      </c>
      <c r="BY71" s="19">
        <f t="shared" si="183"/>
        <v>50</v>
      </c>
      <c r="BZ71" s="19">
        <f t="shared" si="184"/>
        <v>0</v>
      </c>
      <c r="CA71" s="19">
        <f t="shared" si="185"/>
        <v>0</v>
      </c>
      <c r="CB71" s="19">
        <f t="shared" si="186"/>
        <v>0</v>
      </c>
      <c r="CC71" s="19">
        <f t="shared" si="187"/>
        <v>0</v>
      </c>
      <c r="CD71" s="19">
        <f t="shared" si="188"/>
        <v>0</v>
      </c>
      <c r="CE71" s="19">
        <f t="shared" si="189"/>
        <v>0</v>
      </c>
      <c r="CF71" s="19">
        <f t="shared" si="190"/>
        <v>0</v>
      </c>
      <c r="CG71" s="19">
        <f t="shared" si="191"/>
        <v>0</v>
      </c>
      <c r="CH71" s="19">
        <f t="shared" si="192"/>
        <v>0</v>
      </c>
      <c r="CI71" s="19">
        <f t="shared" si="193"/>
        <v>0</v>
      </c>
      <c r="CJ71" s="19">
        <f t="shared" si="194"/>
        <v>0</v>
      </c>
      <c r="CK71" s="19">
        <f t="shared" si="195"/>
        <v>0</v>
      </c>
      <c r="CL71" s="19">
        <f t="shared" si="196"/>
        <v>0</v>
      </c>
      <c r="CM71" s="19">
        <f t="shared" si="197"/>
        <v>0</v>
      </c>
      <c r="CN71" s="19">
        <f t="shared" si="198"/>
        <v>0</v>
      </c>
      <c r="CO71" s="19">
        <f t="shared" si="199"/>
        <v>0</v>
      </c>
      <c r="CP71" s="19">
        <f t="shared" si="200"/>
        <v>0</v>
      </c>
      <c r="CQ71" s="19">
        <f t="shared" si="201"/>
        <v>0</v>
      </c>
      <c r="CR71" s="19">
        <f t="shared" si="202"/>
        <v>0</v>
      </c>
      <c r="CS71" s="19">
        <f t="shared" si="203"/>
        <v>0</v>
      </c>
      <c r="CT71" s="19">
        <f t="shared" si="204"/>
        <v>0</v>
      </c>
      <c r="CU71" s="19">
        <f t="shared" si="205"/>
        <v>0</v>
      </c>
      <c r="CV71" s="19">
        <f t="shared" si="206"/>
        <v>0</v>
      </c>
      <c r="CW71" s="19">
        <f t="shared" si="207"/>
        <v>0</v>
      </c>
      <c r="CX71" s="19">
        <f t="shared" si="208"/>
        <v>0</v>
      </c>
      <c r="CY71" s="19">
        <f t="shared" si="209"/>
        <v>0</v>
      </c>
      <c r="CZ71" s="19">
        <f t="shared" si="210"/>
        <v>0</v>
      </c>
      <c r="DA71" s="19">
        <f t="shared" si="211"/>
        <v>0</v>
      </c>
      <c r="DB71" s="19">
        <f t="shared" si="212"/>
        <v>0</v>
      </c>
      <c r="DC71" s="19">
        <f t="shared" si="213"/>
        <v>0</v>
      </c>
      <c r="DD71" s="19">
        <f t="shared" si="214"/>
        <v>0</v>
      </c>
      <c r="DE71" s="19">
        <f t="shared" si="215"/>
        <v>0</v>
      </c>
      <c r="DF71" s="19">
        <f t="shared" si="216"/>
        <v>0</v>
      </c>
      <c r="DG71" s="19">
        <f t="shared" si="217"/>
        <v>0</v>
      </c>
      <c r="DH71" s="19">
        <f t="shared" si="218"/>
        <v>0</v>
      </c>
      <c r="DI71" s="19">
        <f t="shared" si="219"/>
        <v>0</v>
      </c>
      <c r="DJ71" s="19">
        <f t="shared" si="220"/>
        <v>0</v>
      </c>
      <c r="DK71" s="19">
        <f t="shared" si="221"/>
        <v>0</v>
      </c>
      <c r="DL71" s="19">
        <f t="shared" si="222"/>
        <v>0</v>
      </c>
      <c r="DM71" s="19">
        <f t="shared" si="223"/>
        <v>0</v>
      </c>
      <c r="DN71" s="19">
        <f t="shared" si="224"/>
        <v>0</v>
      </c>
      <c r="DO71" s="19">
        <f t="shared" si="225"/>
        <v>0</v>
      </c>
      <c r="DP71" s="19">
        <f t="shared" si="226"/>
        <v>0</v>
      </c>
      <c r="DQ71" s="19">
        <f t="shared" si="227"/>
        <v>0</v>
      </c>
      <c r="DR71" s="19">
        <f t="shared" si="228"/>
        <v>0</v>
      </c>
      <c r="DS71" s="19">
        <f t="shared" si="229"/>
        <v>0</v>
      </c>
      <c r="DT71" s="19">
        <f t="shared" si="230"/>
        <v>0</v>
      </c>
      <c r="DU71" s="19">
        <f t="shared" si="231"/>
        <v>0</v>
      </c>
      <c r="DV71" s="19">
        <f t="shared" si="232"/>
        <v>0</v>
      </c>
      <c r="DW71" s="19">
        <f t="shared" si="233"/>
        <v>0</v>
      </c>
      <c r="DX71" s="19">
        <f t="shared" si="234"/>
        <v>0</v>
      </c>
      <c r="DY71" s="19">
        <f t="shared" si="235"/>
        <v>0</v>
      </c>
      <c r="DZ71" s="19">
        <f t="shared" si="236"/>
        <v>0</v>
      </c>
      <c r="EA71" s="19">
        <f t="shared" si="237"/>
        <v>0</v>
      </c>
      <c r="EB71" s="19">
        <f t="shared" si="238"/>
        <v>0</v>
      </c>
      <c r="EC71" s="19">
        <f t="shared" si="239"/>
        <v>0</v>
      </c>
    </row>
    <row r="72" spans="1:133" s="78" customFormat="1" ht="18" customHeight="1" x14ac:dyDescent="0.25">
      <c r="A72" s="15">
        <v>69</v>
      </c>
      <c r="B72" s="108" t="s">
        <v>456</v>
      </c>
      <c r="C72" s="74" t="s">
        <v>457</v>
      </c>
      <c r="D72" s="16" t="s">
        <v>61</v>
      </c>
      <c r="E72" s="18">
        <v>45656</v>
      </c>
      <c r="F72" s="19">
        <v>11</v>
      </c>
      <c r="G72" s="19">
        <v>11</v>
      </c>
      <c r="H72" s="19">
        <v>11</v>
      </c>
      <c r="I72" s="19">
        <v>11</v>
      </c>
      <c r="J72" s="19" t="s">
        <v>603</v>
      </c>
      <c r="K72" s="19">
        <v>11</v>
      </c>
      <c r="L72" s="19" t="s">
        <v>15</v>
      </c>
      <c r="M72" s="19">
        <v>11</v>
      </c>
      <c r="N72" s="19">
        <v>11</v>
      </c>
      <c r="O72" s="19">
        <v>11</v>
      </c>
      <c r="P72" s="19" t="s">
        <v>316</v>
      </c>
      <c r="Q72" s="19">
        <v>11</v>
      </c>
      <c r="R72" s="19">
        <v>11</v>
      </c>
      <c r="S72" s="19" t="s">
        <v>316</v>
      </c>
      <c r="T72" s="19">
        <v>11</v>
      </c>
      <c r="U72" s="19">
        <v>11</v>
      </c>
      <c r="V72" s="19">
        <v>11</v>
      </c>
      <c r="W72" s="19">
        <v>11</v>
      </c>
      <c r="X72" s="19">
        <v>11</v>
      </c>
      <c r="Y72" s="19" t="s">
        <v>316</v>
      </c>
      <c r="Z72" s="19" t="s">
        <v>316</v>
      </c>
      <c r="AA72" s="19">
        <v>11</v>
      </c>
      <c r="AB72" s="19">
        <v>11</v>
      </c>
      <c r="AC72" s="19">
        <v>11</v>
      </c>
      <c r="AD72" s="19">
        <v>11</v>
      </c>
      <c r="AE72" s="19">
        <v>11</v>
      </c>
      <c r="AF72" s="19">
        <v>11</v>
      </c>
      <c r="AG72" s="19" t="s">
        <v>15</v>
      </c>
      <c r="AH72" s="19">
        <v>11</v>
      </c>
      <c r="AI72" s="19">
        <v>11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11</v>
      </c>
      <c r="AP72" s="19"/>
      <c r="AQ72" s="19"/>
      <c r="AR72" s="19"/>
      <c r="AS72" s="19">
        <v>0</v>
      </c>
      <c r="AT72" s="19">
        <f t="shared" si="160"/>
        <v>69</v>
      </c>
      <c r="AU72" s="19">
        <f t="shared" si="161"/>
        <v>0</v>
      </c>
      <c r="AV72" s="19">
        <f t="shared" si="162"/>
        <v>11</v>
      </c>
      <c r="AW72" s="16">
        <f t="shared" si="163"/>
        <v>26</v>
      </c>
      <c r="AX72" s="16">
        <f t="shared" si="164"/>
        <v>4</v>
      </c>
      <c r="AY72" s="16">
        <f t="shared" si="165"/>
        <v>0</v>
      </c>
      <c r="AZ72" s="21">
        <v>1100</v>
      </c>
      <c r="BA72" s="21">
        <v>100</v>
      </c>
      <c r="BB72" s="21">
        <v>0</v>
      </c>
      <c r="BC72" s="19">
        <f t="shared" si="166"/>
        <v>953</v>
      </c>
      <c r="BD72" s="19">
        <f t="shared" si="167"/>
        <v>87</v>
      </c>
      <c r="BE72" s="19">
        <f t="shared" si="168"/>
        <v>471</v>
      </c>
      <c r="BF72" s="19">
        <f t="shared" si="169"/>
        <v>0</v>
      </c>
      <c r="BG72" s="19">
        <f t="shared" si="170"/>
        <v>0</v>
      </c>
      <c r="BH72" s="19">
        <f t="shared" si="171"/>
        <v>0</v>
      </c>
      <c r="BI72" s="19">
        <v>0</v>
      </c>
      <c r="BJ72" s="19">
        <f t="shared" si="172"/>
        <v>1511</v>
      </c>
      <c r="BK72" s="19">
        <v>0</v>
      </c>
      <c r="BL72" s="19">
        <v>0</v>
      </c>
      <c r="BM72" s="19">
        <f t="shared" si="173"/>
        <v>0</v>
      </c>
      <c r="BN72" s="19">
        <f t="shared" si="174"/>
        <v>1511</v>
      </c>
      <c r="BO72" s="19">
        <v>0</v>
      </c>
      <c r="BP72" s="19">
        <v>0</v>
      </c>
      <c r="BQ72" s="22">
        <f t="shared" si="175"/>
        <v>1511</v>
      </c>
      <c r="BR72" s="82">
        <f t="shared" si="176"/>
        <v>0</v>
      </c>
      <c r="BS72" s="19">
        <f t="shared" si="177"/>
        <v>0</v>
      </c>
      <c r="BT72" s="19">
        <f t="shared" si="178"/>
        <v>0</v>
      </c>
      <c r="BU72" s="19">
        <f t="shared" si="179"/>
        <v>0</v>
      </c>
      <c r="BV72" s="19">
        <f t="shared" si="180"/>
        <v>0</v>
      </c>
      <c r="BW72" s="19">
        <f t="shared" si="181"/>
        <v>0</v>
      </c>
      <c r="BX72" s="19">
        <f t="shared" si="182"/>
        <v>0</v>
      </c>
      <c r="BY72" s="19">
        <f t="shared" si="183"/>
        <v>0</v>
      </c>
      <c r="BZ72" s="19">
        <f t="shared" si="184"/>
        <v>0</v>
      </c>
      <c r="CA72" s="19">
        <f t="shared" si="185"/>
        <v>0</v>
      </c>
      <c r="CB72" s="19">
        <f t="shared" si="186"/>
        <v>23</v>
      </c>
      <c r="CC72" s="19">
        <f t="shared" si="187"/>
        <v>69</v>
      </c>
      <c r="CD72" s="19">
        <f t="shared" si="188"/>
        <v>0</v>
      </c>
      <c r="CE72" s="19">
        <f t="shared" si="189"/>
        <v>0</v>
      </c>
      <c r="CF72" s="19">
        <f t="shared" si="190"/>
        <v>0</v>
      </c>
      <c r="CG72" s="19">
        <f t="shared" si="191"/>
        <v>0</v>
      </c>
      <c r="CH72" s="19">
        <f t="shared" si="192"/>
        <v>0</v>
      </c>
      <c r="CI72" s="19">
        <f t="shared" si="193"/>
        <v>0</v>
      </c>
      <c r="CJ72" s="19">
        <f t="shared" si="194"/>
        <v>0</v>
      </c>
      <c r="CK72" s="19">
        <f t="shared" si="195"/>
        <v>0</v>
      </c>
      <c r="CL72" s="19">
        <f t="shared" si="196"/>
        <v>0</v>
      </c>
      <c r="CM72" s="19">
        <f t="shared" si="197"/>
        <v>0</v>
      </c>
      <c r="CN72" s="19">
        <f t="shared" si="198"/>
        <v>0</v>
      </c>
      <c r="CO72" s="19">
        <f t="shared" si="199"/>
        <v>0</v>
      </c>
      <c r="CP72" s="19">
        <f t="shared" si="200"/>
        <v>0</v>
      </c>
      <c r="CQ72" s="19">
        <f t="shared" si="201"/>
        <v>0</v>
      </c>
      <c r="CR72" s="19">
        <f t="shared" si="202"/>
        <v>0</v>
      </c>
      <c r="CS72" s="19">
        <f t="shared" si="203"/>
        <v>0</v>
      </c>
      <c r="CT72" s="19">
        <f t="shared" si="204"/>
        <v>0</v>
      </c>
      <c r="CU72" s="19">
        <f t="shared" si="205"/>
        <v>0</v>
      </c>
      <c r="CV72" s="19">
        <f t="shared" si="206"/>
        <v>0</v>
      </c>
      <c r="CW72" s="19">
        <f t="shared" si="207"/>
        <v>0</v>
      </c>
      <c r="CX72" s="19">
        <f t="shared" si="208"/>
        <v>0</v>
      </c>
      <c r="CY72" s="19">
        <f t="shared" si="209"/>
        <v>0</v>
      </c>
      <c r="CZ72" s="19">
        <f t="shared" si="210"/>
        <v>0</v>
      </c>
      <c r="DA72" s="19">
        <f t="shared" si="211"/>
        <v>0</v>
      </c>
      <c r="DB72" s="19">
        <f t="shared" si="212"/>
        <v>0</v>
      </c>
      <c r="DC72" s="19">
        <f t="shared" si="213"/>
        <v>0</v>
      </c>
      <c r="DD72" s="19">
        <f t="shared" si="214"/>
        <v>0</v>
      </c>
      <c r="DE72" s="19">
        <f t="shared" si="215"/>
        <v>0</v>
      </c>
      <c r="DF72" s="19">
        <f t="shared" si="216"/>
        <v>0</v>
      </c>
      <c r="DG72" s="19">
        <f t="shared" si="217"/>
        <v>0</v>
      </c>
      <c r="DH72" s="19">
        <f t="shared" si="218"/>
        <v>0</v>
      </c>
      <c r="DI72" s="19">
        <f t="shared" si="219"/>
        <v>0</v>
      </c>
      <c r="DJ72" s="19">
        <f t="shared" si="220"/>
        <v>0</v>
      </c>
      <c r="DK72" s="19">
        <f t="shared" si="221"/>
        <v>0</v>
      </c>
      <c r="DL72" s="19">
        <f t="shared" si="222"/>
        <v>0</v>
      </c>
      <c r="DM72" s="19">
        <f t="shared" si="223"/>
        <v>0</v>
      </c>
      <c r="DN72" s="19">
        <f t="shared" si="224"/>
        <v>0</v>
      </c>
      <c r="DO72" s="19">
        <f t="shared" si="225"/>
        <v>0</v>
      </c>
      <c r="DP72" s="19">
        <f t="shared" si="226"/>
        <v>0</v>
      </c>
      <c r="DQ72" s="19">
        <f t="shared" si="227"/>
        <v>0</v>
      </c>
      <c r="DR72" s="19">
        <f t="shared" si="228"/>
        <v>0</v>
      </c>
      <c r="DS72" s="19">
        <f t="shared" si="229"/>
        <v>0</v>
      </c>
      <c r="DT72" s="19">
        <f t="shared" si="230"/>
        <v>0</v>
      </c>
      <c r="DU72" s="19">
        <f t="shared" si="231"/>
        <v>0</v>
      </c>
      <c r="DV72" s="19">
        <f t="shared" si="232"/>
        <v>0</v>
      </c>
      <c r="DW72" s="19">
        <f t="shared" si="233"/>
        <v>0</v>
      </c>
      <c r="DX72" s="19">
        <f t="shared" si="234"/>
        <v>0</v>
      </c>
      <c r="DY72" s="19">
        <f t="shared" si="235"/>
        <v>0</v>
      </c>
      <c r="DZ72" s="19">
        <f t="shared" si="236"/>
        <v>0</v>
      </c>
      <c r="EA72" s="19">
        <f t="shared" si="237"/>
        <v>0</v>
      </c>
      <c r="EB72" s="19">
        <f t="shared" si="238"/>
        <v>0</v>
      </c>
      <c r="EC72" s="19">
        <f t="shared" si="239"/>
        <v>0</v>
      </c>
    </row>
    <row r="73" spans="1:133" s="78" customFormat="1" ht="18" customHeight="1" x14ac:dyDescent="0.25">
      <c r="A73" s="15">
        <v>70</v>
      </c>
      <c r="B73" s="108" t="s">
        <v>458</v>
      </c>
      <c r="C73" s="74" t="s">
        <v>459</v>
      </c>
      <c r="D73" s="16" t="s">
        <v>61</v>
      </c>
      <c r="E73" s="18">
        <v>45683</v>
      </c>
      <c r="F73" s="19">
        <v>10</v>
      </c>
      <c r="G73" s="19" t="s">
        <v>316</v>
      </c>
      <c r="H73" s="19">
        <v>10</v>
      </c>
      <c r="I73" s="19">
        <v>10</v>
      </c>
      <c r="J73" s="19" t="s">
        <v>603</v>
      </c>
      <c r="K73" s="19" t="s">
        <v>316</v>
      </c>
      <c r="L73" s="19" t="s">
        <v>316</v>
      </c>
      <c r="M73" s="19">
        <v>10</v>
      </c>
      <c r="N73" s="19">
        <v>10</v>
      </c>
      <c r="O73" s="19">
        <v>10</v>
      </c>
      <c r="P73" s="19" t="s">
        <v>316</v>
      </c>
      <c r="Q73" s="19">
        <v>10</v>
      </c>
      <c r="R73" s="19">
        <v>10</v>
      </c>
      <c r="S73" s="19" t="s">
        <v>15</v>
      </c>
      <c r="T73" s="19">
        <v>10</v>
      </c>
      <c r="U73" s="19">
        <v>10</v>
      </c>
      <c r="V73" s="19">
        <v>10</v>
      </c>
      <c r="W73" s="19">
        <v>10</v>
      </c>
      <c r="X73" s="19">
        <v>10</v>
      </c>
      <c r="Y73" s="19">
        <v>10</v>
      </c>
      <c r="Z73" s="19" t="s">
        <v>15</v>
      </c>
      <c r="AA73" s="19">
        <v>10</v>
      </c>
      <c r="AB73" s="19">
        <v>10.5</v>
      </c>
      <c r="AC73" s="19">
        <v>10.5</v>
      </c>
      <c r="AD73" s="19">
        <v>10.5</v>
      </c>
      <c r="AE73" s="19">
        <v>10.5</v>
      </c>
      <c r="AF73" s="19">
        <v>10.5</v>
      </c>
      <c r="AG73" s="19" t="s">
        <v>15</v>
      </c>
      <c r="AH73" s="19">
        <v>10.5</v>
      </c>
      <c r="AI73" s="19">
        <v>10.5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/>
      <c r="AQ73" s="19"/>
      <c r="AR73" s="19"/>
      <c r="AS73" s="19">
        <v>0</v>
      </c>
      <c r="AT73" s="19">
        <f t="shared" si="160"/>
        <v>47.5</v>
      </c>
      <c r="AU73" s="19">
        <f t="shared" si="161"/>
        <v>0</v>
      </c>
      <c r="AV73" s="19">
        <f t="shared" si="162"/>
        <v>0</v>
      </c>
      <c r="AW73" s="16">
        <f t="shared" si="163"/>
        <v>26</v>
      </c>
      <c r="AX73" s="16">
        <f t="shared" si="164"/>
        <v>4</v>
      </c>
      <c r="AY73" s="16">
        <f t="shared" si="165"/>
        <v>0</v>
      </c>
      <c r="AZ73" s="21">
        <v>950</v>
      </c>
      <c r="BA73" s="21">
        <v>100</v>
      </c>
      <c r="BB73" s="21">
        <v>0</v>
      </c>
      <c r="BC73" s="19">
        <f t="shared" si="166"/>
        <v>823</v>
      </c>
      <c r="BD73" s="19">
        <f t="shared" si="167"/>
        <v>87</v>
      </c>
      <c r="BE73" s="19">
        <f t="shared" si="168"/>
        <v>235</v>
      </c>
      <c r="BF73" s="19">
        <f t="shared" si="169"/>
        <v>0</v>
      </c>
      <c r="BG73" s="19">
        <f t="shared" si="170"/>
        <v>0</v>
      </c>
      <c r="BH73" s="19">
        <f t="shared" si="171"/>
        <v>0</v>
      </c>
      <c r="BI73" s="19">
        <v>0</v>
      </c>
      <c r="BJ73" s="19">
        <f t="shared" si="172"/>
        <v>1145</v>
      </c>
      <c r="BK73" s="19">
        <v>0</v>
      </c>
      <c r="BL73" s="19">
        <v>0</v>
      </c>
      <c r="BM73" s="19">
        <f t="shared" si="173"/>
        <v>0</v>
      </c>
      <c r="BN73" s="19">
        <f t="shared" si="174"/>
        <v>1145</v>
      </c>
      <c r="BO73" s="19">
        <v>0</v>
      </c>
      <c r="BP73" s="19">
        <v>0</v>
      </c>
      <c r="BQ73" s="22">
        <f t="shared" si="175"/>
        <v>1145</v>
      </c>
      <c r="BR73" s="82">
        <f t="shared" si="176"/>
        <v>0</v>
      </c>
      <c r="BS73" s="19">
        <f t="shared" si="177"/>
        <v>0</v>
      </c>
      <c r="BT73" s="19">
        <f t="shared" si="178"/>
        <v>0</v>
      </c>
      <c r="BU73" s="19">
        <f t="shared" si="179"/>
        <v>0</v>
      </c>
      <c r="BV73" s="19">
        <f t="shared" si="180"/>
        <v>0</v>
      </c>
      <c r="BW73" s="19">
        <f t="shared" si="181"/>
        <v>0</v>
      </c>
      <c r="BX73" s="19">
        <f t="shared" si="182"/>
        <v>15</v>
      </c>
      <c r="BY73" s="19">
        <f t="shared" si="183"/>
        <v>30</v>
      </c>
      <c r="BZ73" s="19">
        <f t="shared" si="184"/>
        <v>7</v>
      </c>
      <c r="CA73" s="19">
        <f t="shared" si="185"/>
        <v>17.5</v>
      </c>
      <c r="CB73" s="19">
        <f t="shared" si="186"/>
        <v>0</v>
      </c>
      <c r="CC73" s="19">
        <f t="shared" si="187"/>
        <v>0</v>
      </c>
      <c r="CD73" s="19">
        <f t="shared" si="188"/>
        <v>0</v>
      </c>
      <c r="CE73" s="19">
        <f t="shared" si="189"/>
        <v>0</v>
      </c>
      <c r="CF73" s="19">
        <f t="shared" si="190"/>
        <v>0</v>
      </c>
      <c r="CG73" s="19">
        <f t="shared" si="191"/>
        <v>0</v>
      </c>
      <c r="CH73" s="19">
        <f t="shared" si="192"/>
        <v>0</v>
      </c>
      <c r="CI73" s="19">
        <f t="shared" si="193"/>
        <v>0</v>
      </c>
      <c r="CJ73" s="19">
        <f t="shared" si="194"/>
        <v>0</v>
      </c>
      <c r="CK73" s="19">
        <f t="shared" si="195"/>
        <v>0</v>
      </c>
      <c r="CL73" s="19">
        <f t="shared" si="196"/>
        <v>0</v>
      </c>
      <c r="CM73" s="19">
        <f t="shared" si="197"/>
        <v>0</v>
      </c>
      <c r="CN73" s="19">
        <f t="shared" si="198"/>
        <v>0</v>
      </c>
      <c r="CO73" s="19">
        <f t="shared" si="199"/>
        <v>0</v>
      </c>
      <c r="CP73" s="19">
        <f t="shared" si="200"/>
        <v>0</v>
      </c>
      <c r="CQ73" s="19">
        <f t="shared" si="201"/>
        <v>0</v>
      </c>
      <c r="CR73" s="19">
        <f t="shared" si="202"/>
        <v>0</v>
      </c>
      <c r="CS73" s="19">
        <f t="shared" si="203"/>
        <v>0</v>
      </c>
      <c r="CT73" s="19">
        <f t="shared" si="204"/>
        <v>0</v>
      </c>
      <c r="CU73" s="19">
        <f t="shared" si="205"/>
        <v>0</v>
      </c>
      <c r="CV73" s="19">
        <f t="shared" si="206"/>
        <v>0</v>
      </c>
      <c r="CW73" s="19">
        <f t="shared" si="207"/>
        <v>0</v>
      </c>
      <c r="CX73" s="19">
        <f t="shared" si="208"/>
        <v>0</v>
      </c>
      <c r="CY73" s="19">
        <f t="shared" si="209"/>
        <v>0</v>
      </c>
      <c r="CZ73" s="19">
        <f t="shared" si="210"/>
        <v>0</v>
      </c>
      <c r="DA73" s="19">
        <f t="shared" si="211"/>
        <v>0</v>
      </c>
      <c r="DB73" s="19">
        <f t="shared" si="212"/>
        <v>0</v>
      </c>
      <c r="DC73" s="19">
        <f t="shared" si="213"/>
        <v>0</v>
      </c>
      <c r="DD73" s="19">
        <f t="shared" si="214"/>
        <v>0</v>
      </c>
      <c r="DE73" s="19">
        <f t="shared" si="215"/>
        <v>0</v>
      </c>
      <c r="DF73" s="19">
        <f t="shared" si="216"/>
        <v>0</v>
      </c>
      <c r="DG73" s="19">
        <f t="shared" si="217"/>
        <v>0</v>
      </c>
      <c r="DH73" s="19">
        <f t="shared" si="218"/>
        <v>0</v>
      </c>
      <c r="DI73" s="19">
        <f t="shared" si="219"/>
        <v>0</v>
      </c>
      <c r="DJ73" s="19">
        <f t="shared" si="220"/>
        <v>0</v>
      </c>
      <c r="DK73" s="19">
        <f t="shared" si="221"/>
        <v>0</v>
      </c>
      <c r="DL73" s="19">
        <f t="shared" si="222"/>
        <v>0</v>
      </c>
      <c r="DM73" s="19">
        <f t="shared" si="223"/>
        <v>0</v>
      </c>
      <c r="DN73" s="19">
        <f t="shared" si="224"/>
        <v>0</v>
      </c>
      <c r="DO73" s="19">
        <f t="shared" si="225"/>
        <v>0</v>
      </c>
      <c r="DP73" s="19">
        <f t="shared" si="226"/>
        <v>0</v>
      </c>
      <c r="DQ73" s="19">
        <f t="shared" si="227"/>
        <v>0</v>
      </c>
      <c r="DR73" s="19">
        <f t="shared" si="228"/>
        <v>0</v>
      </c>
      <c r="DS73" s="19">
        <f t="shared" si="229"/>
        <v>0</v>
      </c>
      <c r="DT73" s="19">
        <f t="shared" si="230"/>
        <v>0</v>
      </c>
      <c r="DU73" s="19">
        <f t="shared" si="231"/>
        <v>0</v>
      </c>
      <c r="DV73" s="19">
        <f t="shared" si="232"/>
        <v>0</v>
      </c>
      <c r="DW73" s="19">
        <f t="shared" si="233"/>
        <v>0</v>
      </c>
      <c r="DX73" s="19">
        <f t="shared" si="234"/>
        <v>0</v>
      </c>
      <c r="DY73" s="19">
        <f t="shared" si="235"/>
        <v>0</v>
      </c>
      <c r="DZ73" s="19">
        <f t="shared" si="236"/>
        <v>0</v>
      </c>
      <c r="EA73" s="19">
        <f t="shared" si="237"/>
        <v>0</v>
      </c>
      <c r="EB73" s="19">
        <f t="shared" si="238"/>
        <v>0</v>
      </c>
      <c r="EC73" s="19">
        <f t="shared" si="239"/>
        <v>0</v>
      </c>
    </row>
    <row r="74" spans="1:133" s="78" customFormat="1" ht="18" customHeight="1" x14ac:dyDescent="0.25">
      <c r="A74" s="15">
        <v>71</v>
      </c>
      <c r="B74" s="108" t="s">
        <v>518</v>
      </c>
      <c r="C74" s="74" t="s">
        <v>471</v>
      </c>
      <c r="D74" s="16" t="s">
        <v>61</v>
      </c>
      <c r="E74" s="18">
        <v>45697</v>
      </c>
      <c r="F74" s="19">
        <v>11</v>
      </c>
      <c r="G74" s="19">
        <v>11</v>
      </c>
      <c r="H74" s="19">
        <v>11</v>
      </c>
      <c r="I74" s="19">
        <v>11</v>
      </c>
      <c r="J74" s="19" t="s">
        <v>603</v>
      </c>
      <c r="K74" s="19">
        <v>11</v>
      </c>
      <c r="L74" s="19" t="s">
        <v>15</v>
      </c>
      <c r="M74" s="19">
        <v>11</v>
      </c>
      <c r="N74" s="19">
        <v>11</v>
      </c>
      <c r="O74" s="19">
        <v>11</v>
      </c>
      <c r="P74" s="19">
        <v>11</v>
      </c>
      <c r="Q74" s="19">
        <v>11</v>
      </c>
      <c r="R74" s="19">
        <v>11</v>
      </c>
      <c r="S74" s="19" t="s">
        <v>15</v>
      </c>
      <c r="T74" s="19">
        <v>11</v>
      </c>
      <c r="U74" s="19">
        <v>11</v>
      </c>
      <c r="V74" s="19">
        <v>11</v>
      </c>
      <c r="W74" s="19">
        <v>11</v>
      </c>
      <c r="X74" s="19">
        <v>11</v>
      </c>
      <c r="Y74" s="19">
        <v>11</v>
      </c>
      <c r="Z74" s="19" t="s">
        <v>15</v>
      </c>
      <c r="AA74" s="19">
        <v>11</v>
      </c>
      <c r="AB74" s="19">
        <v>11</v>
      </c>
      <c r="AC74" s="19">
        <v>11</v>
      </c>
      <c r="AD74" s="19">
        <v>11</v>
      </c>
      <c r="AE74" s="19">
        <v>11</v>
      </c>
      <c r="AF74" s="19">
        <v>11</v>
      </c>
      <c r="AG74" s="19" t="s">
        <v>15</v>
      </c>
      <c r="AH74" s="19">
        <v>11</v>
      </c>
      <c r="AI74" s="19">
        <v>11</v>
      </c>
      <c r="AJ74" s="19">
        <v>10</v>
      </c>
      <c r="AK74" s="19">
        <v>10</v>
      </c>
      <c r="AL74" s="19">
        <v>10</v>
      </c>
      <c r="AM74" s="19">
        <v>11</v>
      </c>
      <c r="AN74" s="19">
        <v>0</v>
      </c>
      <c r="AO74" s="19">
        <v>0</v>
      </c>
      <c r="AP74" s="19"/>
      <c r="AQ74" s="19"/>
      <c r="AR74" s="19"/>
      <c r="AS74" s="19">
        <v>0</v>
      </c>
      <c r="AT74" s="19">
        <f t="shared" si="160"/>
        <v>75</v>
      </c>
      <c r="AU74" s="19">
        <f t="shared" si="161"/>
        <v>41</v>
      </c>
      <c r="AV74" s="19">
        <f t="shared" si="162"/>
        <v>0</v>
      </c>
      <c r="AW74" s="16">
        <f t="shared" si="163"/>
        <v>30</v>
      </c>
      <c r="AX74" s="16">
        <f t="shared" si="164"/>
        <v>0</v>
      </c>
      <c r="AY74" s="16">
        <f t="shared" si="165"/>
        <v>0</v>
      </c>
      <c r="AZ74" s="21">
        <v>950</v>
      </c>
      <c r="BA74" s="21">
        <v>100</v>
      </c>
      <c r="BB74" s="21">
        <v>0</v>
      </c>
      <c r="BC74" s="19">
        <f t="shared" si="166"/>
        <v>950</v>
      </c>
      <c r="BD74" s="19">
        <f t="shared" si="167"/>
        <v>100</v>
      </c>
      <c r="BE74" s="19">
        <f t="shared" si="168"/>
        <v>615</v>
      </c>
      <c r="BF74" s="19">
        <f t="shared" si="169"/>
        <v>0</v>
      </c>
      <c r="BG74" s="19">
        <f t="shared" si="170"/>
        <v>0</v>
      </c>
      <c r="BH74" s="19">
        <f t="shared" si="171"/>
        <v>0</v>
      </c>
      <c r="BI74" s="19">
        <v>95</v>
      </c>
      <c r="BJ74" s="19">
        <f t="shared" si="172"/>
        <v>1760</v>
      </c>
      <c r="BK74" s="19">
        <v>0</v>
      </c>
      <c r="BL74" s="19">
        <v>0</v>
      </c>
      <c r="BM74" s="19">
        <f t="shared" si="173"/>
        <v>0</v>
      </c>
      <c r="BN74" s="19">
        <f t="shared" si="174"/>
        <v>1760</v>
      </c>
      <c r="BO74" s="19">
        <v>0</v>
      </c>
      <c r="BP74" s="19">
        <v>0</v>
      </c>
      <c r="BQ74" s="22">
        <f t="shared" si="175"/>
        <v>1760</v>
      </c>
      <c r="BR74" s="82">
        <f t="shared" si="176"/>
        <v>0</v>
      </c>
      <c r="BS74" s="19">
        <f t="shared" si="177"/>
        <v>0</v>
      </c>
      <c r="BT74" s="19">
        <f t="shared" si="178"/>
        <v>0</v>
      </c>
      <c r="BU74" s="19">
        <f t="shared" si="179"/>
        <v>0</v>
      </c>
      <c r="BV74" s="19">
        <f t="shared" si="180"/>
        <v>0</v>
      </c>
      <c r="BW74" s="19">
        <f t="shared" si="181"/>
        <v>0</v>
      </c>
      <c r="BX74" s="19">
        <f t="shared" si="182"/>
        <v>0</v>
      </c>
      <c r="BY74" s="19">
        <f t="shared" si="183"/>
        <v>0</v>
      </c>
      <c r="BZ74" s="19">
        <f t="shared" si="184"/>
        <v>0</v>
      </c>
      <c r="CA74" s="19">
        <f t="shared" si="185"/>
        <v>0</v>
      </c>
      <c r="CB74" s="19">
        <f t="shared" si="186"/>
        <v>25</v>
      </c>
      <c r="CC74" s="19">
        <f t="shared" si="187"/>
        <v>75</v>
      </c>
      <c r="CD74" s="19">
        <f t="shared" si="188"/>
        <v>0</v>
      </c>
      <c r="CE74" s="19">
        <f t="shared" si="189"/>
        <v>0</v>
      </c>
      <c r="CF74" s="19">
        <f t="shared" si="190"/>
        <v>0</v>
      </c>
      <c r="CG74" s="19">
        <f t="shared" si="191"/>
        <v>0</v>
      </c>
      <c r="CH74" s="19">
        <f t="shared" si="192"/>
        <v>0</v>
      </c>
      <c r="CI74" s="19">
        <f t="shared" si="193"/>
        <v>0</v>
      </c>
      <c r="CJ74" s="19">
        <f t="shared" si="194"/>
        <v>0</v>
      </c>
      <c r="CK74" s="19">
        <f t="shared" si="195"/>
        <v>0</v>
      </c>
      <c r="CL74" s="19">
        <f t="shared" si="196"/>
        <v>0</v>
      </c>
      <c r="CM74" s="19">
        <f t="shared" si="197"/>
        <v>0</v>
      </c>
      <c r="CN74" s="19">
        <f t="shared" si="198"/>
        <v>0</v>
      </c>
      <c r="CO74" s="19">
        <f t="shared" si="199"/>
        <v>0</v>
      </c>
      <c r="CP74" s="19">
        <f t="shared" si="200"/>
        <v>0</v>
      </c>
      <c r="CQ74" s="19">
        <f t="shared" si="201"/>
        <v>0</v>
      </c>
      <c r="CR74" s="19">
        <f t="shared" si="202"/>
        <v>0</v>
      </c>
      <c r="CS74" s="19">
        <f t="shared" si="203"/>
        <v>0</v>
      </c>
      <c r="CT74" s="19">
        <f t="shared" si="204"/>
        <v>0</v>
      </c>
      <c r="CU74" s="19">
        <f t="shared" si="205"/>
        <v>0</v>
      </c>
      <c r="CV74" s="19">
        <f t="shared" si="206"/>
        <v>0</v>
      </c>
      <c r="CW74" s="19">
        <f t="shared" si="207"/>
        <v>0</v>
      </c>
      <c r="CX74" s="19">
        <f t="shared" si="208"/>
        <v>0</v>
      </c>
      <c r="CY74" s="19">
        <f t="shared" si="209"/>
        <v>0</v>
      </c>
      <c r="CZ74" s="19">
        <f t="shared" si="210"/>
        <v>0</v>
      </c>
      <c r="DA74" s="19">
        <f t="shared" si="211"/>
        <v>0</v>
      </c>
      <c r="DB74" s="19">
        <f t="shared" si="212"/>
        <v>0</v>
      </c>
      <c r="DC74" s="19">
        <f t="shared" si="213"/>
        <v>0</v>
      </c>
      <c r="DD74" s="19">
        <f t="shared" si="214"/>
        <v>0</v>
      </c>
      <c r="DE74" s="19">
        <f t="shared" si="215"/>
        <v>0</v>
      </c>
      <c r="DF74" s="19">
        <f t="shared" si="216"/>
        <v>0</v>
      </c>
      <c r="DG74" s="19">
        <f t="shared" si="217"/>
        <v>0</v>
      </c>
      <c r="DH74" s="19">
        <f t="shared" si="218"/>
        <v>0</v>
      </c>
      <c r="DI74" s="19">
        <f t="shared" si="219"/>
        <v>0</v>
      </c>
      <c r="DJ74" s="19">
        <f t="shared" si="220"/>
        <v>0</v>
      </c>
      <c r="DK74" s="19">
        <f t="shared" si="221"/>
        <v>0</v>
      </c>
      <c r="DL74" s="19">
        <f t="shared" si="222"/>
        <v>0</v>
      </c>
      <c r="DM74" s="19">
        <f t="shared" si="223"/>
        <v>0</v>
      </c>
      <c r="DN74" s="19">
        <f t="shared" si="224"/>
        <v>0</v>
      </c>
      <c r="DO74" s="19">
        <f t="shared" si="225"/>
        <v>0</v>
      </c>
      <c r="DP74" s="19">
        <f t="shared" si="226"/>
        <v>0</v>
      </c>
      <c r="DQ74" s="19">
        <f t="shared" si="227"/>
        <v>0</v>
      </c>
      <c r="DR74" s="19">
        <f t="shared" si="228"/>
        <v>0</v>
      </c>
      <c r="DS74" s="19">
        <f t="shared" si="229"/>
        <v>0</v>
      </c>
      <c r="DT74" s="19">
        <f t="shared" si="230"/>
        <v>0</v>
      </c>
      <c r="DU74" s="19">
        <f t="shared" si="231"/>
        <v>0</v>
      </c>
      <c r="DV74" s="19">
        <f t="shared" si="232"/>
        <v>0</v>
      </c>
      <c r="DW74" s="19">
        <f t="shared" si="233"/>
        <v>0</v>
      </c>
      <c r="DX74" s="19">
        <f t="shared" si="234"/>
        <v>0</v>
      </c>
      <c r="DY74" s="19">
        <f t="shared" si="235"/>
        <v>0</v>
      </c>
      <c r="DZ74" s="19">
        <f t="shared" si="236"/>
        <v>0</v>
      </c>
      <c r="EA74" s="19">
        <f t="shared" si="237"/>
        <v>0</v>
      </c>
      <c r="EB74" s="19">
        <f t="shared" si="238"/>
        <v>0</v>
      </c>
      <c r="EC74" s="19">
        <f t="shared" si="239"/>
        <v>0</v>
      </c>
    </row>
    <row r="75" spans="1:133" s="78" customFormat="1" ht="18" customHeight="1" x14ac:dyDescent="0.25">
      <c r="A75" s="15">
        <v>72</v>
      </c>
      <c r="B75" s="108" t="s">
        <v>519</v>
      </c>
      <c r="C75" s="74" t="s">
        <v>472</v>
      </c>
      <c r="D75" s="16" t="s">
        <v>61</v>
      </c>
      <c r="E75" s="18">
        <v>45708</v>
      </c>
      <c r="F75" s="19">
        <v>13</v>
      </c>
      <c r="G75" s="19">
        <v>12</v>
      </c>
      <c r="H75" s="19">
        <v>12</v>
      </c>
      <c r="I75" s="19">
        <v>12</v>
      </c>
      <c r="J75" s="19" t="s">
        <v>603</v>
      </c>
      <c r="K75" s="19">
        <v>12</v>
      </c>
      <c r="L75" s="19" t="s">
        <v>15</v>
      </c>
      <c r="M75" s="19">
        <v>10</v>
      </c>
      <c r="N75" s="19">
        <v>12</v>
      </c>
      <c r="O75" s="19">
        <v>10</v>
      </c>
      <c r="P75" s="19">
        <v>10</v>
      </c>
      <c r="Q75" s="19">
        <v>10</v>
      </c>
      <c r="R75" s="19">
        <v>10</v>
      </c>
      <c r="S75" s="19" t="s">
        <v>15</v>
      </c>
      <c r="T75" s="19">
        <v>10</v>
      </c>
      <c r="U75" s="19">
        <v>10</v>
      </c>
      <c r="V75" s="19">
        <v>8</v>
      </c>
      <c r="W75" s="19">
        <v>10</v>
      </c>
      <c r="X75" s="19">
        <v>10</v>
      </c>
      <c r="Y75" s="19">
        <v>10</v>
      </c>
      <c r="Z75" s="19" t="s">
        <v>15</v>
      </c>
      <c r="AA75" s="19">
        <v>10</v>
      </c>
      <c r="AB75" s="19">
        <v>12</v>
      </c>
      <c r="AC75" s="19">
        <v>10</v>
      </c>
      <c r="AD75" s="19">
        <v>10</v>
      </c>
      <c r="AE75" s="19">
        <v>12</v>
      </c>
      <c r="AF75" s="19">
        <v>11</v>
      </c>
      <c r="AG75" s="19" t="s">
        <v>15</v>
      </c>
      <c r="AH75" s="19">
        <v>11</v>
      </c>
      <c r="AI75" s="19">
        <v>11</v>
      </c>
      <c r="AJ75" s="19">
        <v>0</v>
      </c>
      <c r="AK75" s="19">
        <v>0</v>
      </c>
      <c r="AL75" s="19">
        <v>10</v>
      </c>
      <c r="AM75" s="19">
        <v>10</v>
      </c>
      <c r="AN75" s="19">
        <v>0</v>
      </c>
      <c r="AO75" s="19">
        <v>12</v>
      </c>
      <c r="AP75" s="19"/>
      <c r="AQ75" s="19"/>
      <c r="AR75" s="19"/>
      <c r="AS75" s="19">
        <v>0</v>
      </c>
      <c r="AT75" s="19">
        <f t="shared" si="160"/>
        <v>68</v>
      </c>
      <c r="AU75" s="19">
        <f t="shared" si="161"/>
        <v>20</v>
      </c>
      <c r="AV75" s="19">
        <f t="shared" si="162"/>
        <v>12</v>
      </c>
      <c r="AW75" s="16">
        <f t="shared" si="163"/>
        <v>30</v>
      </c>
      <c r="AX75" s="16">
        <f t="shared" si="164"/>
        <v>0</v>
      </c>
      <c r="AY75" s="16">
        <f t="shared" si="165"/>
        <v>0</v>
      </c>
      <c r="AZ75" s="21">
        <v>950</v>
      </c>
      <c r="BA75" s="21">
        <v>100</v>
      </c>
      <c r="BB75" s="21">
        <v>0</v>
      </c>
      <c r="BC75" s="19">
        <f t="shared" si="166"/>
        <v>950</v>
      </c>
      <c r="BD75" s="19">
        <f t="shared" si="167"/>
        <v>100</v>
      </c>
      <c r="BE75" s="19">
        <f t="shared" si="168"/>
        <v>526</v>
      </c>
      <c r="BF75" s="19">
        <f t="shared" si="169"/>
        <v>0</v>
      </c>
      <c r="BG75" s="19">
        <f t="shared" si="170"/>
        <v>0</v>
      </c>
      <c r="BH75" s="19">
        <f t="shared" si="171"/>
        <v>0</v>
      </c>
      <c r="BI75" s="19">
        <v>95</v>
      </c>
      <c r="BJ75" s="19">
        <f t="shared" si="172"/>
        <v>1671</v>
      </c>
      <c r="BK75" s="19">
        <v>0</v>
      </c>
      <c r="BL75" s="19">
        <v>0</v>
      </c>
      <c r="BM75" s="19">
        <f t="shared" si="173"/>
        <v>0</v>
      </c>
      <c r="BN75" s="19">
        <f t="shared" si="174"/>
        <v>1671</v>
      </c>
      <c r="BO75" s="19">
        <v>0</v>
      </c>
      <c r="BP75" s="19">
        <v>0</v>
      </c>
      <c r="BQ75" s="22">
        <f t="shared" si="175"/>
        <v>1671</v>
      </c>
      <c r="BR75" s="82">
        <f t="shared" si="176"/>
        <v>0</v>
      </c>
      <c r="BS75" s="19">
        <f t="shared" si="177"/>
        <v>0</v>
      </c>
      <c r="BT75" s="19">
        <f t="shared" si="178"/>
        <v>0</v>
      </c>
      <c r="BU75" s="19">
        <f t="shared" si="179"/>
        <v>0</v>
      </c>
      <c r="BV75" s="19">
        <f t="shared" si="180"/>
        <v>0</v>
      </c>
      <c r="BW75" s="19">
        <f t="shared" si="181"/>
        <v>0</v>
      </c>
      <c r="BX75" s="19">
        <f t="shared" si="182"/>
        <v>13</v>
      </c>
      <c r="BY75" s="19">
        <f t="shared" si="183"/>
        <v>26</v>
      </c>
      <c r="BZ75" s="19">
        <f t="shared" si="184"/>
        <v>0</v>
      </c>
      <c r="CA75" s="19">
        <f t="shared" si="185"/>
        <v>0</v>
      </c>
      <c r="CB75" s="19">
        <f t="shared" si="186"/>
        <v>3</v>
      </c>
      <c r="CC75" s="19">
        <f t="shared" si="187"/>
        <v>9</v>
      </c>
      <c r="CD75" s="19">
        <f t="shared" si="188"/>
        <v>0</v>
      </c>
      <c r="CE75" s="19">
        <f t="shared" si="189"/>
        <v>0</v>
      </c>
      <c r="CF75" s="19">
        <f t="shared" si="190"/>
        <v>7</v>
      </c>
      <c r="CG75" s="19">
        <f t="shared" si="191"/>
        <v>28</v>
      </c>
      <c r="CH75" s="19">
        <f t="shared" si="192"/>
        <v>0</v>
      </c>
      <c r="CI75" s="19">
        <f t="shared" si="193"/>
        <v>0</v>
      </c>
      <c r="CJ75" s="19">
        <f t="shared" si="194"/>
        <v>1</v>
      </c>
      <c r="CK75" s="19">
        <f t="shared" si="195"/>
        <v>5</v>
      </c>
      <c r="CL75" s="19">
        <f t="shared" si="196"/>
        <v>0</v>
      </c>
      <c r="CM75" s="19">
        <f t="shared" si="197"/>
        <v>0</v>
      </c>
      <c r="CN75" s="19">
        <f t="shared" si="198"/>
        <v>0</v>
      </c>
      <c r="CO75" s="19">
        <f t="shared" si="199"/>
        <v>0</v>
      </c>
      <c r="CP75" s="19">
        <f t="shared" si="200"/>
        <v>0</v>
      </c>
      <c r="CQ75" s="19">
        <f t="shared" si="201"/>
        <v>0</v>
      </c>
      <c r="CR75" s="19">
        <f t="shared" si="202"/>
        <v>0</v>
      </c>
      <c r="CS75" s="19">
        <f t="shared" si="203"/>
        <v>0</v>
      </c>
      <c r="CT75" s="19">
        <f t="shared" si="204"/>
        <v>0</v>
      </c>
      <c r="CU75" s="19">
        <f t="shared" si="205"/>
        <v>0</v>
      </c>
      <c r="CV75" s="19">
        <f t="shared" si="206"/>
        <v>0</v>
      </c>
      <c r="CW75" s="19">
        <f t="shared" si="207"/>
        <v>0</v>
      </c>
      <c r="CX75" s="19">
        <f t="shared" si="208"/>
        <v>0</v>
      </c>
      <c r="CY75" s="19">
        <f t="shared" si="209"/>
        <v>0</v>
      </c>
      <c r="CZ75" s="19">
        <f t="shared" si="210"/>
        <v>0</v>
      </c>
      <c r="DA75" s="19">
        <f t="shared" si="211"/>
        <v>0</v>
      </c>
      <c r="DB75" s="19">
        <f t="shared" si="212"/>
        <v>0</v>
      </c>
      <c r="DC75" s="19">
        <f t="shared" si="213"/>
        <v>0</v>
      </c>
      <c r="DD75" s="19">
        <f t="shared" si="214"/>
        <v>0</v>
      </c>
      <c r="DE75" s="19">
        <f t="shared" si="215"/>
        <v>0</v>
      </c>
      <c r="DF75" s="19">
        <f t="shared" si="216"/>
        <v>0</v>
      </c>
      <c r="DG75" s="19">
        <f t="shared" si="217"/>
        <v>0</v>
      </c>
      <c r="DH75" s="19">
        <f t="shared" si="218"/>
        <v>0</v>
      </c>
      <c r="DI75" s="19">
        <f t="shared" si="219"/>
        <v>0</v>
      </c>
      <c r="DJ75" s="19">
        <f t="shared" si="220"/>
        <v>0</v>
      </c>
      <c r="DK75" s="19">
        <f t="shared" si="221"/>
        <v>0</v>
      </c>
      <c r="DL75" s="19">
        <f t="shared" si="222"/>
        <v>0</v>
      </c>
      <c r="DM75" s="19">
        <f t="shared" si="223"/>
        <v>0</v>
      </c>
      <c r="DN75" s="19">
        <f t="shared" si="224"/>
        <v>0</v>
      </c>
      <c r="DO75" s="19">
        <f t="shared" si="225"/>
        <v>0</v>
      </c>
      <c r="DP75" s="19">
        <f t="shared" si="226"/>
        <v>0</v>
      </c>
      <c r="DQ75" s="19">
        <f t="shared" si="227"/>
        <v>0</v>
      </c>
      <c r="DR75" s="19">
        <f t="shared" si="228"/>
        <v>0</v>
      </c>
      <c r="DS75" s="19">
        <f t="shared" si="229"/>
        <v>0</v>
      </c>
      <c r="DT75" s="19">
        <f t="shared" si="230"/>
        <v>0</v>
      </c>
      <c r="DU75" s="19">
        <f t="shared" si="231"/>
        <v>0</v>
      </c>
      <c r="DV75" s="19">
        <f t="shared" si="232"/>
        <v>0</v>
      </c>
      <c r="DW75" s="19">
        <f t="shared" si="233"/>
        <v>0</v>
      </c>
      <c r="DX75" s="19">
        <f t="shared" si="234"/>
        <v>0</v>
      </c>
      <c r="DY75" s="19">
        <f t="shared" si="235"/>
        <v>0</v>
      </c>
      <c r="DZ75" s="19">
        <f t="shared" si="236"/>
        <v>0</v>
      </c>
      <c r="EA75" s="19">
        <f t="shared" si="237"/>
        <v>0</v>
      </c>
      <c r="EB75" s="19">
        <f t="shared" si="238"/>
        <v>0</v>
      </c>
      <c r="EC75" s="19">
        <f t="shared" si="239"/>
        <v>0</v>
      </c>
    </row>
    <row r="76" spans="1:133" s="78" customFormat="1" ht="18" customHeight="1" x14ac:dyDescent="0.25">
      <c r="A76" s="15">
        <v>73</v>
      </c>
      <c r="B76" s="108" t="s">
        <v>520</v>
      </c>
      <c r="C76" s="74" t="s">
        <v>483</v>
      </c>
      <c r="D76" s="16" t="s">
        <v>61</v>
      </c>
      <c r="E76" s="18">
        <v>45717</v>
      </c>
      <c r="F76" s="19">
        <v>10</v>
      </c>
      <c r="G76" s="19">
        <v>10</v>
      </c>
      <c r="H76" s="19">
        <v>10</v>
      </c>
      <c r="I76" s="19">
        <v>10</v>
      </c>
      <c r="J76" s="19" t="s">
        <v>603</v>
      </c>
      <c r="K76" s="19">
        <v>10</v>
      </c>
      <c r="L76" s="19" t="s">
        <v>15</v>
      </c>
      <c r="M76" s="19">
        <v>10</v>
      </c>
      <c r="N76" s="19">
        <v>10</v>
      </c>
      <c r="O76" s="19">
        <v>10</v>
      </c>
      <c r="P76" s="19">
        <v>10</v>
      </c>
      <c r="Q76" s="19">
        <v>10</v>
      </c>
      <c r="R76" s="19">
        <v>10</v>
      </c>
      <c r="S76" s="19" t="s">
        <v>15</v>
      </c>
      <c r="T76" s="19">
        <v>12.5</v>
      </c>
      <c r="U76" s="19" t="s">
        <v>316</v>
      </c>
      <c r="V76" s="19" t="s">
        <v>316</v>
      </c>
      <c r="W76" s="19">
        <v>11</v>
      </c>
      <c r="X76" s="19">
        <v>11</v>
      </c>
      <c r="Y76" s="19">
        <v>10</v>
      </c>
      <c r="Z76" s="19" t="s">
        <v>316</v>
      </c>
      <c r="AA76" s="19">
        <v>10</v>
      </c>
      <c r="AB76" s="19">
        <v>10</v>
      </c>
      <c r="AC76" s="19">
        <v>10</v>
      </c>
      <c r="AD76" s="19">
        <v>10</v>
      </c>
      <c r="AE76" s="19">
        <v>11</v>
      </c>
      <c r="AF76" s="19">
        <v>10</v>
      </c>
      <c r="AG76" s="19" t="s">
        <v>15</v>
      </c>
      <c r="AH76" s="19">
        <v>10</v>
      </c>
      <c r="AI76" s="19">
        <v>10</v>
      </c>
      <c r="AJ76" s="19">
        <v>0</v>
      </c>
      <c r="AK76" s="19">
        <v>11</v>
      </c>
      <c r="AL76" s="19">
        <v>0</v>
      </c>
      <c r="AM76" s="19">
        <v>11</v>
      </c>
      <c r="AN76" s="19">
        <v>0</v>
      </c>
      <c r="AO76" s="19">
        <v>10</v>
      </c>
      <c r="AP76" s="19"/>
      <c r="AQ76" s="19"/>
      <c r="AR76" s="19"/>
      <c r="AS76" s="19">
        <v>0</v>
      </c>
      <c r="AT76" s="19">
        <f t="shared" si="160"/>
        <v>51.5</v>
      </c>
      <c r="AU76" s="19">
        <f t="shared" si="161"/>
        <v>22</v>
      </c>
      <c r="AV76" s="19">
        <f t="shared" si="162"/>
        <v>10</v>
      </c>
      <c r="AW76" s="16">
        <f t="shared" si="163"/>
        <v>27</v>
      </c>
      <c r="AX76" s="16">
        <f t="shared" si="164"/>
        <v>3</v>
      </c>
      <c r="AY76" s="16">
        <f t="shared" si="165"/>
        <v>0</v>
      </c>
      <c r="AZ76" s="21">
        <v>1050</v>
      </c>
      <c r="BA76" s="21">
        <v>100</v>
      </c>
      <c r="BB76" s="21">
        <v>0</v>
      </c>
      <c r="BC76" s="19">
        <f t="shared" si="166"/>
        <v>945</v>
      </c>
      <c r="BD76" s="19">
        <f t="shared" si="167"/>
        <v>90</v>
      </c>
      <c r="BE76" s="19">
        <f t="shared" si="168"/>
        <v>492</v>
      </c>
      <c r="BF76" s="19">
        <f t="shared" si="169"/>
        <v>0</v>
      </c>
      <c r="BG76" s="19">
        <f t="shared" si="170"/>
        <v>0</v>
      </c>
      <c r="BH76" s="19">
        <f t="shared" si="171"/>
        <v>0</v>
      </c>
      <c r="BI76" s="19">
        <v>0</v>
      </c>
      <c r="BJ76" s="19">
        <f t="shared" si="172"/>
        <v>1527</v>
      </c>
      <c r="BK76" s="19">
        <v>0</v>
      </c>
      <c r="BL76" s="19">
        <v>0</v>
      </c>
      <c r="BM76" s="19">
        <f t="shared" si="173"/>
        <v>0</v>
      </c>
      <c r="BN76" s="19">
        <f t="shared" si="174"/>
        <v>1527</v>
      </c>
      <c r="BO76" s="19">
        <v>0</v>
      </c>
      <c r="BP76" s="19">
        <v>0</v>
      </c>
      <c r="BQ76" s="22">
        <f t="shared" si="175"/>
        <v>1527</v>
      </c>
      <c r="BR76" s="82">
        <f t="shared" si="176"/>
        <v>0</v>
      </c>
      <c r="BS76" s="19">
        <f t="shared" si="177"/>
        <v>0</v>
      </c>
      <c r="BT76" s="19">
        <f t="shared" si="178"/>
        <v>0</v>
      </c>
      <c r="BU76" s="19">
        <f t="shared" si="179"/>
        <v>0</v>
      </c>
      <c r="BV76" s="19">
        <f t="shared" si="180"/>
        <v>0</v>
      </c>
      <c r="BW76" s="19">
        <f t="shared" si="181"/>
        <v>0</v>
      </c>
      <c r="BX76" s="19">
        <f t="shared" si="182"/>
        <v>19</v>
      </c>
      <c r="BY76" s="19">
        <f t="shared" si="183"/>
        <v>38</v>
      </c>
      <c r="BZ76" s="19">
        <f t="shared" si="184"/>
        <v>0</v>
      </c>
      <c r="CA76" s="19">
        <f t="shared" si="185"/>
        <v>0</v>
      </c>
      <c r="CB76" s="19">
        <f t="shared" si="186"/>
        <v>3</v>
      </c>
      <c r="CC76" s="19">
        <f t="shared" si="187"/>
        <v>9</v>
      </c>
      <c r="CD76" s="19">
        <f t="shared" si="188"/>
        <v>0</v>
      </c>
      <c r="CE76" s="19">
        <f t="shared" si="189"/>
        <v>0</v>
      </c>
      <c r="CF76" s="19">
        <f t="shared" si="190"/>
        <v>0</v>
      </c>
      <c r="CG76" s="19">
        <f t="shared" si="191"/>
        <v>0</v>
      </c>
      <c r="CH76" s="19">
        <f t="shared" si="192"/>
        <v>1</v>
      </c>
      <c r="CI76" s="19">
        <f t="shared" si="193"/>
        <v>4.5</v>
      </c>
      <c r="CJ76" s="19">
        <f t="shared" si="194"/>
        <v>0</v>
      </c>
      <c r="CK76" s="19">
        <f t="shared" si="195"/>
        <v>0</v>
      </c>
      <c r="CL76" s="19">
        <f t="shared" si="196"/>
        <v>0</v>
      </c>
      <c r="CM76" s="19">
        <f t="shared" si="197"/>
        <v>0</v>
      </c>
      <c r="CN76" s="19">
        <f t="shared" si="198"/>
        <v>0</v>
      </c>
      <c r="CO76" s="19">
        <f t="shared" si="199"/>
        <v>0</v>
      </c>
      <c r="CP76" s="19">
        <f t="shared" si="200"/>
        <v>0</v>
      </c>
      <c r="CQ76" s="19">
        <f t="shared" si="201"/>
        <v>0</v>
      </c>
      <c r="CR76" s="19">
        <f t="shared" si="202"/>
        <v>0</v>
      </c>
      <c r="CS76" s="19">
        <f t="shared" si="203"/>
        <v>0</v>
      </c>
      <c r="CT76" s="19">
        <f t="shared" si="204"/>
        <v>0</v>
      </c>
      <c r="CU76" s="19">
        <f t="shared" si="205"/>
        <v>0</v>
      </c>
      <c r="CV76" s="19">
        <f t="shared" si="206"/>
        <v>0</v>
      </c>
      <c r="CW76" s="19">
        <f t="shared" si="207"/>
        <v>0</v>
      </c>
      <c r="CX76" s="19">
        <f t="shared" si="208"/>
        <v>0</v>
      </c>
      <c r="CY76" s="19">
        <f t="shared" si="209"/>
        <v>0</v>
      </c>
      <c r="CZ76" s="19">
        <f t="shared" si="210"/>
        <v>0</v>
      </c>
      <c r="DA76" s="19">
        <f t="shared" si="211"/>
        <v>0</v>
      </c>
      <c r="DB76" s="19">
        <f t="shared" si="212"/>
        <v>0</v>
      </c>
      <c r="DC76" s="19">
        <f t="shared" si="213"/>
        <v>0</v>
      </c>
      <c r="DD76" s="19">
        <f t="shared" si="214"/>
        <v>0</v>
      </c>
      <c r="DE76" s="19">
        <f t="shared" si="215"/>
        <v>0</v>
      </c>
      <c r="DF76" s="19">
        <f t="shared" si="216"/>
        <v>0</v>
      </c>
      <c r="DG76" s="19">
        <f t="shared" si="217"/>
        <v>0</v>
      </c>
      <c r="DH76" s="19">
        <f t="shared" si="218"/>
        <v>0</v>
      </c>
      <c r="DI76" s="19">
        <f t="shared" si="219"/>
        <v>0</v>
      </c>
      <c r="DJ76" s="19">
        <f t="shared" si="220"/>
        <v>0</v>
      </c>
      <c r="DK76" s="19">
        <f t="shared" si="221"/>
        <v>0</v>
      </c>
      <c r="DL76" s="19">
        <f t="shared" si="222"/>
        <v>0</v>
      </c>
      <c r="DM76" s="19">
        <f t="shared" si="223"/>
        <v>0</v>
      </c>
      <c r="DN76" s="19">
        <f t="shared" si="224"/>
        <v>0</v>
      </c>
      <c r="DO76" s="19">
        <f t="shared" si="225"/>
        <v>0</v>
      </c>
      <c r="DP76" s="19">
        <f t="shared" si="226"/>
        <v>0</v>
      </c>
      <c r="DQ76" s="19">
        <f t="shared" si="227"/>
        <v>0</v>
      </c>
      <c r="DR76" s="19">
        <f t="shared" si="228"/>
        <v>0</v>
      </c>
      <c r="DS76" s="19">
        <f t="shared" si="229"/>
        <v>0</v>
      </c>
      <c r="DT76" s="19">
        <f t="shared" si="230"/>
        <v>0</v>
      </c>
      <c r="DU76" s="19">
        <f t="shared" si="231"/>
        <v>0</v>
      </c>
      <c r="DV76" s="19">
        <f t="shared" si="232"/>
        <v>0</v>
      </c>
      <c r="DW76" s="19">
        <f t="shared" si="233"/>
        <v>0</v>
      </c>
      <c r="DX76" s="19">
        <f t="shared" si="234"/>
        <v>0</v>
      </c>
      <c r="DY76" s="19">
        <f t="shared" si="235"/>
        <v>0</v>
      </c>
      <c r="DZ76" s="19">
        <f t="shared" si="236"/>
        <v>0</v>
      </c>
      <c r="EA76" s="19">
        <f t="shared" si="237"/>
        <v>0</v>
      </c>
      <c r="EB76" s="19">
        <f t="shared" si="238"/>
        <v>0</v>
      </c>
      <c r="EC76" s="19">
        <f t="shared" si="239"/>
        <v>0</v>
      </c>
    </row>
    <row r="77" spans="1:133" s="78" customFormat="1" ht="18" customHeight="1" x14ac:dyDescent="0.25">
      <c r="A77" s="15">
        <v>74</v>
      </c>
      <c r="B77" s="108" t="s">
        <v>521</v>
      </c>
      <c r="C77" s="74" t="s">
        <v>484</v>
      </c>
      <c r="D77" s="16" t="s">
        <v>61</v>
      </c>
      <c r="E77" s="18">
        <v>45717</v>
      </c>
      <c r="F77" s="19">
        <v>11</v>
      </c>
      <c r="G77" s="19">
        <v>11</v>
      </c>
      <c r="H77" s="19">
        <v>11</v>
      </c>
      <c r="I77" s="19">
        <v>11</v>
      </c>
      <c r="J77" s="19" t="s">
        <v>603</v>
      </c>
      <c r="K77" s="19">
        <v>11</v>
      </c>
      <c r="L77" s="19" t="s">
        <v>15</v>
      </c>
      <c r="M77" s="19">
        <v>11</v>
      </c>
      <c r="N77" s="19">
        <v>11</v>
      </c>
      <c r="O77" s="19">
        <v>11</v>
      </c>
      <c r="P77" s="19">
        <v>11</v>
      </c>
      <c r="Q77" s="19">
        <v>11</v>
      </c>
      <c r="R77" s="19">
        <v>11</v>
      </c>
      <c r="S77" s="19" t="s">
        <v>15</v>
      </c>
      <c r="T77" s="19">
        <v>11</v>
      </c>
      <c r="U77" s="19">
        <v>11</v>
      </c>
      <c r="V77" s="19">
        <v>11</v>
      </c>
      <c r="W77" s="19">
        <v>11</v>
      </c>
      <c r="X77" s="19">
        <v>11</v>
      </c>
      <c r="Y77" s="19">
        <v>11</v>
      </c>
      <c r="Z77" s="19" t="s">
        <v>15</v>
      </c>
      <c r="AA77" s="19">
        <v>11</v>
      </c>
      <c r="AB77" s="19">
        <v>11</v>
      </c>
      <c r="AC77" s="19">
        <v>11</v>
      </c>
      <c r="AD77" s="19">
        <v>11</v>
      </c>
      <c r="AE77" s="19">
        <v>11</v>
      </c>
      <c r="AF77" s="19">
        <v>11</v>
      </c>
      <c r="AG77" s="19" t="s">
        <v>15</v>
      </c>
      <c r="AH77" s="19">
        <v>11</v>
      </c>
      <c r="AI77" s="19">
        <v>11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11</v>
      </c>
      <c r="AP77" s="19"/>
      <c r="AQ77" s="19"/>
      <c r="AR77" s="19"/>
      <c r="AS77" s="19">
        <v>0</v>
      </c>
      <c r="AT77" s="19">
        <f t="shared" si="160"/>
        <v>75</v>
      </c>
      <c r="AU77" s="19">
        <f t="shared" si="161"/>
        <v>0</v>
      </c>
      <c r="AV77" s="19">
        <f t="shared" si="162"/>
        <v>11</v>
      </c>
      <c r="AW77" s="16">
        <f t="shared" si="163"/>
        <v>30</v>
      </c>
      <c r="AX77" s="16">
        <f t="shared" si="164"/>
        <v>0</v>
      </c>
      <c r="AY77" s="16">
        <f t="shared" si="165"/>
        <v>0</v>
      </c>
      <c r="AZ77" s="21">
        <v>1000</v>
      </c>
      <c r="BA77" s="21">
        <v>100</v>
      </c>
      <c r="BB77" s="21">
        <v>0</v>
      </c>
      <c r="BC77" s="19">
        <f t="shared" si="166"/>
        <v>1000</v>
      </c>
      <c r="BD77" s="19">
        <f t="shared" si="167"/>
        <v>100</v>
      </c>
      <c r="BE77" s="19">
        <f t="shared" si="168"/>
        <v>459</v>
      </c>
      <c r="BF77" s="19">
        <f t="shared" si="169"/>
        <v>0</v>
      </c>
      <c r="BG77" s="19">
        <f t="shared" si="170"/>
        <v>0</v>
      </c>
      <c r="BH77" s="19">
        <f t="shared" si="171"/>
        <v>0</v>
      </c>
      <c r="BI77" s="19">
        <v>95</v>
      </c>
      <c r="BJ77" s="19">
        <f t="shared" si="172"/>
        <v>1654</v>
      </c>
      <c r="BK77" s="19">
        <v>0</v>
      </c>
      <c r="BL77" s="19">
        <v>0</v>
      </c>
      <c r="BM77" s="19">
        <f t="shared" si="173"/>
        <v>0</v>
      </c>
      <c r="BN77" s="19">
        <f t="shared" si="174"/>
        <v>1654</v>
      </c>
      <c r="BO77" s="19">
        <v>0</v>
      </c>
      <c r="BP77" s="19">
        <v>0</v>
      </c>
      <c r="BQ77" s="22">
        <f t="shared" si="175"/>
        <v>1654</v>
      </c>
      <c r="BR77" s="82">
        <f t="shared" si="176"/>
        <v>0</v>
      </c>
      <c r="BS77" s="19">
        <f t="shared" si="177"/>
        <v>0</v>
      </c>
      <c r="BT77" s="19">
        <f t="shared" si="178"/>
        <v>0</v>
      </c>
      <c r="BU77" s="19">
        <f t="shared" si="179"/>
        <v>0</v>
      </c>
      <c r="BV77" s="19">
        <f t="shared" si="180"/>
        <v>0</v>
      </c>
      <c r="BW77" s="19">
        <f t="shared" si="181"/>
        <v>0</v>
      </c>
      <c r="BX77" s="19">
        <f t="shared" si="182"/>
        <v>0</v>
      </c>
      <c r="BY77" s="19">
        <f t="shared" si="183"/>
        <v>0</v>
      </c>
      <c r="BZ77" s="19">
        <f t="shared" si="184"/>
        <v>0</v>
      </c>
      <c r="CA77" s="19">
        <f t="shared" si="185"/>
        <v>0</v>
      </c>
      <c r="CB77" s="19">
        <f t="shared" si="186"/>
        <v>25</v>
      </c>
      <c r="CC77" s="19">
        <f t="shared" si="187"/>
        <v>75</v>
      </c>
      <c r="CD77" s="19">
        <f t="shared" si="188"/>
        <v>0</v>
      </c>
      <c r="CE77" s="19">
        <f t="shared" si="189"/>
        <v>0</v>
      </c>
      <c r="CF77" s="19">
        <f t="shared" si="190"/>
        <v>0</v>
      </c>
      <c r="CG77" s="19">
        <f t="shared" si="191"/>
        <v>0</v>
      </c>
      <c r="CH77" s="19">
        <f t="shared" si="192"/>
        <v>0</v>
      </c>
      <c r="CI77" s="19">
        <f t="shared" si="193"/>
        <v>0</v>
      </c>
      <c r="CJ77" s="19">
        <f t="shared" si="194"/>
        <v>0</v>
      </c>
      <c r="CK77" s="19">
        <f t="shared" si="195"/>
        <v>0</v>
      </c>
      <c r="CL77" s="19">
        <f t="shared" si="196"/>
        <v>0</v>
      </c>
      <c r="CM77" s="19">
        <f t="shared" si="197"/>
        <v>0</v>
      </c>
      <c r="CN77" s="19">
        <f t="shared" si="198"/>
        <v>0</v>
      </c>
      <c r="CO77" s="19">
        <f t="shared" si="199"/>
        <v>0</v>
      </c>
      <c r="CP77" s="19">
        <f t="shared" si="200"/>
        <v>0</v>
      </c>
      <c r="CQ77" s="19">
        <f t="shared" si="201"/>
        <v>0</v>
      </c>
      <c r="CR77" s="19">
        <f t="shared" si="202"/>
        <v>0</v>
      </c>
      <c r="CS77" s="19">
        <f t="shared" si="203"/>
        <v>0</v>
      </c>
      <c r="CT77" s="19">
        <f t="shared" si="204"/>
        <v>0</v>
      </c>
      <c r="CU77" s="19">
        <f t="shared" si="205"/>
        <v>0</v>
      </c>
      <c r="CV77" s="19">
        <f t="shared" si="206"/>
        <v>0</v>
      </c>
      <c r="CW77" s="19">
        <f t="shared" si="207"/>
        <v>0</v>
      </c>
      <c r="CX77" s="19">
        <f t="shared" si="208"/>
        <v>0</v>
      </c>
      <c r="CY77" s="19">
        <f t="shared" si="209"/>
        <v>0</v>
      </c>
      <c r="CZ77" s="19">
        <f t="shared" si="210"/>
        <v>0</v>
      </c>
      <c r="DA77" s="19">
        <f t="shared" si="211"/>
        <v>0</v>
      </c>
      <c r="DB77" s="19">
        <f t="shared" si="212"/>
        <v>0</v>
      </c>
      <c r="DC77" s="19">
        <f t="shared" si="213"/>
        <v>0</v>
      </c>
      <c r="DD77" s="19">
        <f t="shared" si="214"/>
        <v>0</v>
      </c>
      <c r="DE77" s="19">
        <f t="shared" si="215"/>
        <v>0</v>
      </c>
      <c r="DF77" s="19">
        <f t="shared" si="216"/>
        <v>0</v>
      </c>
      <c r="DG77" s="19">
        <f t="shared" si="217"/>
        <v>0</v>
      </c>
      <c r="DH77" s="19">
        <f t="shared" si="218"/>
        <v>0</v>
      </c>
      <c r="DI77" s="19">
        <f t="shared" si="219"/>
        <v>0</v>
      </c>
      <c r="DJ77" s="19">
        <f t="shared" si="220"/>
        <v>0</v>
      </c>
      <c r="DK77" s="19">
        <f t="shared" si="221"/>
        <v>0</v>
      </c>
      <c r="DL77" s="19">
        <f t="shared" si="222"/>
        <v>0</v>
      </c>
      <c r="DM77" s="19">
        <f t="shared" si="223"/>
        <v>0</v>
      </c>
      <c r="DN77" s="19">
        <f t="shared" si="224"/>
        <v>0</v>
      </c>
      <c r="DO77" s="19">
        <f t="shared" si="225"/>
        <v>0</v>
      </c>
      <c r="DP77" s="19">
        <f t="shared" si="226"/>
        <v>0</v>
      </c>
      <c r="DQ77" s="19">
        <f t="shared" si="227"/>
        <v>0</v>
      </c>
      <c r="DR77" s="19">
        <f t="shared" si="228"/>
        <v>0</v>
      </c>
      <c r="DS77" s="19">
        <f t="shared" si="229"/>
        <v>0</v>
      </c>
      <c r="DT77" s="19">
        <f t="shared" si="230"/>
        <v>0</v>
      </c>
      <c r="DU77" s="19">
        <f t="shared" si="231"/>
        <v>0</v>
      </c>
      <c r="DV77" s="19">
        <f t="shared" si="232"/>
        <v>0</v>
      </c>
      <c r="DW77" s="19">
        <f t="shared" si="233"/>
        <v>0</v>
      </c>
      <c r="DX77" s="19">
        <f t="shared" si="234"/>
        <v>0</v>
      </c>
      <c r="DY77" s="19">
        <f t="shared" si="235"/>
        <v>0</v>
      </c>
      <c r="DZ77" s="19">
        <f t="shared" si="236"/>
        <v>0</v>
      </c>
      <c r="EA77" s="19">
        <f t="shared" si="237"/>
        <v>0</v>
      </c>
      <c r="EB77" s="19">
        <f t="shared" si="238"/>
        <v>0</v>
      </c>
      <c r="EC77" s="19">
        <f t="shared" si="239"/>
        <v>0</v>
      </c>
    </row>
    <row r="78" spans="1:133" s="78" customFormat="1" ht="18" customHeight="1" x14ac:dyDescent="0.25">
      <c r="A78" s="15">
        <v>75</v>
      </c>
      <c r="B78" s="108" t="s">
        <v>524</v>
      </c>
      <c r="C78" s="74" t="s">
        <v>487</v>
      </c>
      <c r="D78" s="16" t="s">
        <v>61</v>
      </c>
      <c r="E78" s="18">
        <v>45727</v>
      </c>
      <c r="F78" s="19" t="s">
        <v>316</v>
      </c>
      <c r="G78" s="19" t="s">
        <v>316</v>
      </c>
      <c r="H78" s="19">
        <v>10</v>
      </c>
      <c r="I78" s="19">
        <v>10</v>
      </c>
      <c r="J78" s="19" t="s">
        <v>603</v>
      </c>
      <c r="K78" s="19">
        <v>10</v>
      </c>
      <c r="L78" s="19" t="s">
        <v>316</v>
      </c>
      <c r="M78" s="19">
        <v>10</v>
      </c>
      <c r="N78" s="19" t="s">
        <v>316</v>
      </c>
      <c r="O78" s="19" t="s">
        <v>316</v>
      </c>
      <c r="P78" s="19" t="s">
        <v>316</v>
      </c>
      <c r="Q78" s="19" t="s">
        <v>316</v>
      </c>
      <c r="R78" s="19" t="s">
        <v>316</v>
      </c>
      <c r="S78" s="19" t="s">
        <v>316</v>
      </c>
      <c r="T78" s="19" t="s">
        <v>316</v>
      </c>
      <c r="U78" s="19" t="s">
        <v>316</v>
      </c>
      <c r="V78" s="19" t="s">
        <v>316</v>
      </c>
      <c r="W78" s="19" t="s">
        <v>316</v>
      </c>
      <c r="X78" s="19" t="s">
        <v>316</v>
      </c>
      <c r="Y78" s="19" t="s">
        <v>316</v>
      </c>
      <c r="Z78" s="19" t="s">
        <v>316</v>
      </c>
      <c r="AA78" s="19" t="s">
        <v>316</v>
      </c>
      <c r="AB78" s="19" t="s">
        <v>316</v>
      </c>
      <c r="AC78" s="19">
        <v>10.5</v>
      </c>
      <c r="AD78" s="19">
        <v>10.5</v>
      </c>
      <c r="AE78" s="19">
        <v>10.5</v>
      </c>
      <c r="AF78" s="19">
        <v>10.5</v>
      </c>
      <c r="AG78" s="19" t="s">
        <v>15</v>
      </c>
      <c r="AH78" s="19">
        <v>10.5</v>
      </c>
      <c r="AI78" s="19">
        <v>10.5</v>
      </c>
      <c r="AJ78" s="19">
        <v>6</v>
      </c>
      <c r="AK78" s="19">
        <v>0</v>
      </c>
      <c r="AL78" s="19">
        <v>0</v>
      </c>
      <c r="AM78" s="19">
        <v>0</v>
      </c>
      <c r="AN78" s="19">
        <v>0</v>
      </c>
      <c r="AO78" s="19">
        <v>10</v>
      </c>
      <c r="AP78" s="19"/>
      <c r="AQ78" s="19"/>
      <c r="AR78" s="19"/>
      <c r="AS78" s="19">
        <v>0</v>
      </c>
      <c r="AT78" s="19">
        <f t="shared" si="160"/>
        <v>23</v>
      </c>
      <c r="AU78" s="19">
        <f t="shared" si="161"/>
        <v>6</v>
      </c>
      <c r="AV78" s="19">
        <f t="shared" si="162"/>
        <v>10</v>
      </c>
      <c r="AW78" s="16">
        <f t="shared" si="163"/>
        <v>12</v>
      </c>
      <c r="AX78" s="16">
        <f t="shared" si="164"/>
        <v>18</v>
      </c>
      <c r="AY78" s="16">
        <f t="shared" si="165"/>
        <v>0</v>
      </c>
      <c r="AZ78" s="21">
        <v>950</v>
      </c>
      <c r="BA78" s="21">
        <v>100</v>
      </c>
      <c r="BB78" s="21">
        <v>0</v>
      </c>
      <c r="BC78" s="19">
        <f t="shared" si="166"/>
        <v>380</v>
      </c>
      <c r="BD78" s="19">
        <f t="shared" si="167"/>
        <v>40</v>
      </c>
      <c r="BE78" s="19">
        <f t="shared" si="168"/>
        <v>209</v>
      </c>
      <c r="BF78" s="19">
        <f t="shared" si="169"/>
        <v>0</v>
      </c>
      <c r="BG78" s="19">
        <f t="shared" si="170"/>
        <v>0</v>
      </c>
      <c r="BH78" s="19">
        <f t="shared" si="171"/>
        <v>0</v>
      </c>
      <c r="BI78" s="19">
        <v>0</v>
      </c>
      <c r="BJ78" s="19">
        <f t="shared" si="172"/>
        <v>629</v>
      </c>
      <c r="BK78" s="19">
        <v>0</v>
      </c>
      <c r="BL78" s="19">
        <v>0</v>
      </c>
      <c r="BM78" s="19">
        <f t="shared" si="173"/>
        <v>0</v>
      </c>
      <c r="BN78" s="19">
        <f t="shared" si="174"/>
        <v>629</v>
      </c>
      <c r="BO78" s="19">
        <v>0</v>
      </c>
      <c r="BP78" s="19">
        <v>0</v>
      </c>
      <c r="BQ78" s="22">
        <f t="shared" si="175"/>
        <v>629</v>
      </c>
      <c r="BR78" s="82">
        <f t="shared" si="176"/>
        <v>0</v>
      </c>
      <c r="BS78" s="19">
        <f t="shared" si="177"/>
        <v>0</v>
      </c>
      <c r="BT78" s="19">
        <f t="shared" si="178"/>
        <v>0</v>
      </c>
      <c r="BU78" s="19">
        <f t="shared" si="179"/>
        <v>0</v>
      </c>
      <c r="BV78" s="19">
        <f t="shared" si="180"/>
        <v>0</v>
      </c>
      <c r="BW78" s="19">
        <f t="shared" si="181"/>
        <v>0</v>
      </c>
      <c r="BX78" s="19">
        <f t="shared" si="182"/>
        <v>4</v>
      </c>
      <c r="BY78" s="19">
        <f t="shared" si="183"/>
        <v>8</v>
      </c>
      <c r="BZ78" s="19">
        <f t="shared" si="184"/>
        <v>6</v>
      </c>
      <c r="CA78" s="19">
        <f t="shared" si="185"/>
        <v>15</v>
      </c>
      <c r="CB78" s="19">
        <f t="shared" si="186"/>
        <v>0</v>
      </c>
      <c r="CC78" s="19">
        <f t="shared" si="187"/>
        <v>0</v>
      </c>
      <c r="CD78" s="19">
        <f t="shared" si="188"/>
        <v>0</v>
      </c>
      <c r="CE78" s="19">
        <f t="shared" si="189"/>
        <v>0</v>
      </c>
      <c r="CF78" s="19">
        <f t="shared" si="190"/>
        <v>0</v>
      </c>
      <c r="CG78" s="19">
        <f t="shared" si="191"/>
        <v>0</v>
      </c>
      <c r="CH78" s="19">
        <f t="shared" si="192"/>
        <v>0</v>
      </c>
      <c r="CI78" s="19">
        <f t="shared" si="193"/>
        <v>0</v>
      </c>
      <c r="CJ78" s="19">
        <f t="shared" si="194"/>
        <v>0</v>
      </c>
      <c r="CK78" s="19">
        <f t="shared" si="195"/>
        <v>0</v>
      </c>
      <c r="CL78" s="19">
        <f t="shared" si="196"/>
        <v>0</v>
      </c>
      <c r="CM78" s="19">
        <f t="shared" si="197"/>
        <v>0</v>
      </c>
      <c r="CN78" s="19">
        <f t="shared" si="198"/>
        <v>0</v>
      </c>
      <c r="CO78" s="19">
        <f t="shared" si="199"/>
        <v>0</v>
      </c>
      <c r="CP78" s="19">
        <f t="shared" si="200"/>
        <v>0</v>
      </c>
      <c r="CQ78" s="19">
        <f t="shared" si="201"/>
        <v>0</v>
      </c>
      <c r="CR78" s="19">
        <f t="shared" si="202"/>
        <v>0</v>
      </c>
      <c r="CS78" s="19">
        <f t="shared" si="203"/>
        <v>0</v>
      </c>
      <c r="CT78" s="19">
        <f t="shared" si="204"/>
        <v>0</v>
      </c>
      <c r="CU78" s="19">
        <f t="shared" si="205"/>
        <v>0</v>
      </c>
      <c r="CV78" s="19">
        <f t="shared" si="206"/>
        <v>0</v>
      </c>
      <c r="CW78" s="19">
        <f t="shared" si="207"/>
        <v>0</v>
      </c>
      <c r="CX78" s="19">
        <f t="shared" si="208"/>
        <v>0</v>
      </c>
      <c r="CY78" s="19">
        <f t="shared" si="209"/>
        <v>0</v>
      </c>
      <c r="CZ78" s="19">
        <f t="shared" si="210"/>
        <v>0</v>
      </c>
      <c r="DA78" s="19">
        <f t="shared" si="211"/>
        <v>0</v>
      </c>
      <c r="DB78" s="19">
        <f t="shared" si="212"/>
        <v>0</v>
      </c>
      <c r="DC78" s="19">
        <f t="shared" si="213"/>
        <v>0</v>
      </c>
      <c r="DD78" s="19">
        <f t="shared" si="214"/>
        <v>0</v>
      </c>
      <c r="DE78" s="19">
        <f t="shared" si="215"/>
        <v>0</v>
      </c>
      <c r="DF78" s="19">
        <f t="shared" si="216"/>
        <v>0</v>
      </c>
      <c r="DG78" s="19">
        <f t="shared" si="217"/>
        <v>0</v>
      </c>
      <c r="DH78" s="19">
        <f t="shared" si="218"/>
        <v>0</v>
      </c>
      <c r="DI78" s="19">
        <f t="shared" si="219"/>
        <v>0</v>
      </c>
      <c r="DJ78" s="19">
        <f t="shared" si="220"/>
        <v>0</v>
      </c>
      <c r="DK78" s="19">
        <f t="shared" si="221"/>
        <v>0</v>
      </c>
      <c r="DL78" s="19">
        <f t="shared" si="222"/>
        <v>0</v>
      </c>
      <c r="DM78" s="19">
        <f t="shared" si="223"/>
        <v>0</v>
      </c>
      <c r="DN78" s="19">
        <f t="shared" si="224"/>
        <v>0</v>
      </c>
      <c r="DO78" s="19">
        <f t="shared" si="225"/>
        <v>0</v>
      </c>
      <c r="DP78" s="19">
        <f t="shared" si="226"/>
        <v>0</v>
      </c>
      <c r="DQ78" s="19">
        <f t="shared" si="227"/>
        <v>0</v>
      </c>
      <c r="DR78" s="19">
        <f t="shared" si="228"/>
        <v>0</v>
      </c>
      <c r="DS78" s="19">
        <f t="shared" si="229"/>
        <v>0</v>
      </c>
      <c r="DT78" s="19">
        <f t="shared" si="230"/>
        <v>0</v>
      </c>
      <c r="DU78" s="19">
        <f t="shared" si="231"/>
        <v>0</v>
      </c>
      <c r="DV78" s="19">
        <f t="shared" si="232"/>
        <v>0</v>
      </c>
      <c r="DW78" s="19">
        <f t="shared" si="233"/>
        <v>0</v>
      </c>
      <c r="DX78" s="19">
        <f t="shared" si="234"/>
        <v>0</v>
      </c>
      <c r="DY78" s="19">
        <f t="shared" si="235"/>
        <v>0</v>
      </c>
      <c r="DZ78" s="19">
        <f t="shared" si="236"/>
        <v>0</v>
      </c>
      <c r="EA78" s="19">
        <f t="shared" si="237"/>
        <v>0</v>
      </c>
      <c r="EB78" s="19">
        <f t="shared" si="238"/>
        <v>0</v>
      </c>
      <c r="EC78" s="19">
        <f t="shared" si="239"/>
        <v>0</v>
      </c>
    </row>
    <row r="79" spans="1:133" s="78" customFormat="1" ht="18" customHeight="1" x14ac:dyDescent="0.25">
      <c r="A79" s="15">
        <v>76</v>
      </c>
      <c r="B79" s="108" t="s">
        <v>525</v>
      </c>
      <c r="C79" s="74" t="s">
        <v>488</v>
      </c>
      <c r="D79" s="16" t="s">
        <v>61</v>
      </c>
      <c r="E79" s="18">
        <v>45727</v>
      </c>
      <c r="F79" s="19">
        <v>10</v>
      </c>
      <c r="G79" s="19">
        <v>10</v>
      </c>
      <c r="H79" s="19">
        <v>10</v>
      </c>
      <c r="I79" s="19">
        <v>10</v>
      </c>
      <c r="J79" s="19" t="s">
        <v>603</v>
      </c>
      <c r="K79" s="19">
        <v>10</v>
      </c>
      <c r="L79" s="19" t="s">
        <v>15</v>
      </c>
      <c r="M79" s="19">
        <v>10</v>
      </c>
      <c r="N79" s="19">
        <v>10</v>
      </c>
      <c r="O79" s="19">
        <v>10</v>
      </c>
      <c r="P79" s="19">
        <v>10</v>
      </c>
      <c r="Q79" s="19">
        <v>10</v>
      </c>
      <c r="R79" s="19">
        <v>10</v>
      </c>
      <c r="S79" s="19" t="s">
        <v>15</v>
      </c>
      <c r="T79" s="19">
        <v>10</v>
      </c>
      <c r="U79" s="19">
        <v>10</v>
      </c>
      <c r="V79" s="19">
        <v>10</v>
      </c>
      <c r="W79" s="19">
        <v>10</v>
      </c>
      <c r="X79" s="19">
        <v>10</v>
      </c>
      <c r="Y79" s="19">
        <v>10</v>
      </c>
      <c r="Z79" s="19" t="s">
        <v>15</v>
      </c>
      <c r="AA79" s="19">
        <v>10</v>
      </c>
      <c r="AB79" s="19">
        <v>10</v>
      </c>
      <c r="AC79" s="19">
        <v>10</v>
      </c>
      <c r="AD79" s="19">
        <v>10</v>
      </c>
      <c r="AE79" s="19">
        <v>10</v>
      </c>
      <c r="AF79" s="19">
        <v>10</v>
      </c>
      <c r="AG79" s="19" t="s">
        <v>15</v>
      </c>
      <c r="AH79" s="19">
        <v>10</v>
      </c>
      <c r="AI79" s="19">
        <v>10</v>
      </c>
      <c r="AJ79" s="19">
        <v>0</v>
      </c>
      <c r="AK79" s="19">
        <v>0</v>
      </c>
      <c r="AL79" s="19">
        <v>0</v>
      </c>
      <c r="AM79" s="19">
        <v>10</v>
      </c>
      <c r="AN79" s="19">
        <v>0</v>
      </c>
      <c r="AO79" s="19">
        <v>6</v>
      </c>
      <c r="AP79" s="19"/>
      <c r="AQ79" s="19"/>
      <c r="AR79" s="19"/>
      <c r="AS79" s="19">
        <v>0</v>
      </c>
      <c r="AT79" s="19">
        <f t="shared" si="160"/>
        <v>50</v>
      </c>
      <c r="AU79" s="19">
        <f t="shared" si="161"/>
        <v>10</v>
      </c>
      <c r="AV79" s="19">
        <f t="shared" si="162"/>
        <v>6</v>
      </c>
      <c r="AW79" s="16">
        <f t="shared" si="163"/>
        <v>30</v>
      </c>
      <c r="AX79" s="16">
        <f t="shared" si="164"/>
        <v>0</v>
      </c>
      <c r="AY79" s="16">
        <f t="shared" si="165"/>
        <v>0</v>
      </c>
      <c r="AZ79" s="21">
        <v>1000</v>
      </c>
      <c r="BA79" s="21">
        <v>100</v>
      </c>
      <c r="BB79" s="21">
        <v>0</v>
      </c>
      <c r="BC79" s="19">
        <f t="shared" si="166"/>
        <v>1000</v>
      </c>
      <c r="BD79" s="19">
        <f t="shared" si="167"/>
        <v>100</v>
      </c>
      <c r="BE79" s="19">
        <f t="shared" si="168"/>
        <v>360</v>
      </c>
      <c r="BF79" s="19">
        <f t="shared" si="169"/>
        <v>0</v>
      </c>
      <c r="BG79" s="19">
        <f t="shared" si="170"/>
        <v>0</v>
      </c>
      <c r="BH79" s="19">
        <f t="shared" si="171"/>
        <v>0</v>
      </c>
      <c r="BI79" s="19">
        <v>95</v>
      </c>
      <c r="BJ79" s="19">
        <f t="shared" si="172"/>
        <v>1555</v>
      </c>
      <c r="BK79" s="19">
        <v>0</v>
      </c>
      <c r="BL79" s="19">
        <v>0</v>
      </c>
      <c r="BM79" s="19">
        <f t="shared" si="173"/>
        <v>0</v>
      </c>
      <c r="BN79" s="19">
        <f t="shared" si="174"/>
        <v>1555</v>
      </c>
      <c r="BO79" s="19">
        <v>0</v>
      </c>
      <c r="BP79" s="19">
        <v>0</v>
      </c>
      <c r="BQ79" s="22">
        <f t="shared" si="175"/>
        <v>1555</v>
      </c>
      <c r="BR79" s="82">
        <f t="shared" si="176"/>
        <v>0</v>
      </c>
      <c r="BS79" s="19">
        <f t="shared" si="177"/>
        <v>0</v>
      </c>
      <c r="BT79" s="19">
        <f t="shared" si="178"/>
        <v>0</v>
      </c>
      <c r="BU79" s="19">
        <f t="shared" si="179"/>
        <v>0</v>
      </c>
      <c r="BV79" s="19">
        <f t="shared" si="180"/>
        <v>0</v>
      </c>
      <c r="BW79" s="19">
        <f t="shared" si="181"/>
        <v>0</v>
      </c>
      <c r="BX79" s="19">
        <f t="shared" si="182"/>
        <v>25</v>
      </c>
      <c r="BY79" s="19">
        <f t="shared" si="183"/>
        <v>50</v>
      </c>
      <c r="BZ79" s="19">
        <f t="shared" si="184"/>
        <v>0</v>
      </c>
      <c r="CA79" s="19">
        <f t="shared" si="185"/>
        <v>0</v>
      </c>
      <c r="CB79" s="19">
        <f t="shared" si="186"/>
        <v>0</v>
      </c>
      <c r="CC79" s="19">
        <f t="shared" si="187"/>
        <v>0</v>
      </c>
      <c r="CD79" s="19">
        <f t="shared" si="188"/>
        <v>0</v>
      </c>
      <c r="CE79" s="19">
        <f t="shared" si="189"/>
        <v>0</v>
      </c>
      <c r="CF79" s="19">
        <f t="shared" si="190"/>
        <v>0</v>
      </c>
      <c r="CG79" s="19">
        <f t="shared" si="191"/>
        <v>0</v>
      </c>
      <c r="CH79" s="19">
        <f t="shared" si="192"/>
        <v>0</v>
      </c>
      <c r="CI79" s="19">
        <f t="shared" si="193"/>
        <v>0</v>
      </c>
      <c r="CJ79" s="19">
        <f t="shared" si="194"/>
        <v>0</v>
      </c>
      <c r="CK79" s="19">
        <f t="shared" si="195"/>
        <v>0</v>
      </c>
      <c r="CL79" s="19">
        <f t="shared" si="196"/>
        <v>0</v>
      </c>
      <c r="CM79" s="19">
        <f t="shared" si="197"/>
        <v>0</v>
      </c>
      <c r="CN79" s="19">
        <f t="shared" si="198"/>
        <v>0</v>
      </c>
      <c r="CO79" s="19">
        <f t="shared" si="199"/>
        <v>0</v>
      </c>
      <c r="CP79" s="19">
        <f t="shared" si="200"/>
        <v>0</v>
      </c>
      <c r="CQ79" s="19">
        <f t="shared" si="201"/>
        <v>0</v>
      </c>
      <c r="CR79" s="19">
        <f t="shared" si="202"/>
        <v>0</v>
      </c>
      <c r="CS79" s="19">
        <f t="shared" si="203"/>
        <v>0</v>
      </c>
      <c r="CT79" s="19">
        <f t="shared" si="204"/>
        <v>0</v>
      </c>
      <c r="CU79" s="19">
        <f t="shared" si="205"/>
        <v>0</v>
      </c>
      <c r="CV79" s="19">
        <f t="shared" si="206"/>
        <v>0</v>
      </c>
      <c r="CW79" s="19">
        <f t="shared" si="207"/>
        <v>0</v>
      </c>
      <c r="CX79" s="19">
        <f t="shared" si="208"/>
        <v>0</v>
      </c>
      <c r="CY79" s="19">
        <f t="shared" si="209"/>
        <v>0</v>
      </c>
      <c r="CZ79" s="19">
        <f t="shared" si="210"/>
        <v>0</v>
      </c>
      <c r="DA79" s="19">
        <f t="shared" si="211"/>
        <v>0</v>
      </c>
      <c r="DB79" s="19">
        <f t="shared" si="212"/>
        <v>0</v>
      </c>
      <c r="DC79" s="19">
        <f t="shared" si="213"/>
        <v>0</v>
      </c>
      <c r="DD79" s="19">
        <f t="shared" si="214"/>
        <v>0</v>
      </c>
      <c r="DE79" s="19">
        <f t="shared" si="215"/>
        <v>0</v>
      </c>
      <c r="DF79" s="19">
        <f t="shared" si="216"/>
        <v>0</v>
      </c>
      <c r="DG79" s="19">
        <f t="shared" si="217"/>
        <v>0</v>
      </c>
      <c r="DH79" s="19">
        <f t="shared" si="218"/>
        <v>0</v>
      </c>
      <c r="DI79" s="19">
        <f t="shared" si="219"/>
        <v>0</v>
      </c>
      <c r="DJ79" s="19">
        <f t="shared" si="220"/>
        <v>0</v>
      </c>
      <c r="DK79" s="19">
        <f t="shared" si="221"/>
        <v>0</v>
      </c>
      <c r="DL79" s="19">
        <f t="shared" si="222"/>
        <v>0</v>
      </c>
      <c r="DM79" s="19">
        <f t="shared" si="223"/>
        <v>0</v>
      </c>
      <c r="DN79" s="19">
        <f t="shared" si="224"/>
        <v>0</v>
      </c>
      <c r="DO79" s="19">
        <f t="shared" si="225"/>
        <v>0</v>
      </c>
      <c r="DP79" s="19">
        <f t="shared" si="226"/>
        <v>0</v>
      </c>
      <c r="DQ79" s="19">
        <f t="shared" si="227"/>
        <v>0</v>
      </c>
      <c r="DR79" s="19">
        <f t="shared" si="228"/>
        <v>0</v>
      </c>
      <c r="DS79" s="19">
        <f t="shared" si="229"/>
        <v>0</v>
      </c>
      <c r="DT79" s="19">
        <f t="shared" si="230"/>
        <v>0</v>
      </c>
      <c r="DU79" s="19">
        <f t="shared" si="231"/>
        <v>0</v>
      </c>
      <c r="DV79" s="19">
        <f t="shared" si="232"/>
        <v>0</v>
      </c>
      <c r="DW79" s="19">
        <f t="shared" si="233"/>
        <v>0</v>
      </c>
      <c r="DX79" s="19">
        <f t="shared" si="234"/>
        <v>0</v>
      </c>
      <c r="DY79" s="19">
        <f t="shared" si="235"/>
        <v>0</v>
      </c>
      <c r="DZ79" s="19">
        <f t="shared" si="236"/>
        <v>0</v>
      </c>
      <c r="EA79" s="19">
        <f t="shared" si="237"/>
        <v>0</v>
      </c>
      <c r="EB79" s="19">
        <f t="shared" si="238"/>
        <v>0</v>
      </c>
      <c r="EC79" s="19">
        <f t="shared" si="239"/>
        <v>0</v>
      </c>
    </row>
    <row r="80" spans="1:133" s="78" customFormat="1" ht="18" customHeight="1" x14ac:dyDescent="0.25">
      <c r="A80" s="15">
        <v>77</v>
      </c>
      <c r="B80" s="108" t="s">
        <v>526</v>
      </c>
      <c r="C80" s="74" t="s">
        <v>489</v>
      </c>
      <c r="D80" s="16" t="s">
        <v>61</v>
      </c>
      <c r="E80" s="18">
        <v>45730</v>
      </c>
      <c r="F80" s="19">
        <v>10</v>
      </c>
      <c r="G80" s="19">
        <v>10</v>
      </c>
      <c r="H80" s="19">
        <v>10</v>
      </c>
      <c r="I80" s="19">
        <v>10</v>
      </c>
      <c r="J80" s="19" t="s">
        <v>603</v>
      </c>
      <c r="K80" s="19">
        <v>10</v>
      </c>
      <c r="L80" s="19" t="s">
        <v>15</v>
      </c>
      <c r="M80" s="19">
        <v>10</v>
      </c>
      <c r="N80" s="19">
        <v>10</v>
      </c>
      <c r="O80" s="19">
        <v>10</v>
      </c>
      <c r="P80" s="19">
        <v>10</v>
      </c>
      <c r="Q80" s="19">
        <v>10</v>
      </c>
      <c r="R80" s="19">
        <v>10</v>
      </c>
      <c r="S80" s="19" t="s">
        <v>15</v>
      </c>
      <c r="T80" s="19">
        <v>10</v>
      </c>
      <c r="U80" s="19">
        <v>10</v>
      </c>
      <c r="V80" s="19">
        <v>10</v>
      </c>
      <c r="W80" s="19">
        <v>10</v>
      </c>
      <c r="X80" s="19">
        <v>10</v>
      </c>
      <c r="Y80" s="19">
        <v>10</v>
      </c>
      <c r="Z80" s="19" t="s">
        <v>15</v>
      </c>
      <c r="AA80" s="19">
        <v>10</v>
      </c>
      <c r="AB80" s="19">
        <v>10</v>
      </c>
      <c r="AC80" s="19">
        <v>10</v>
      </c>
      <c r="AD80" s="19">
        <v>10</v>
      </c>
      <c r="AE80" s="19">
        <v>10</v>
      </c>
      <c r="AF80" s="19">
        <v>10</v>
      </c>
      <c r="AG80" s="19" t="s">
        <v>15</v>
      </c>
      <c r="AH80" s="19">
        <v>10</v>
      </c>
      <c r="AI80" s="19">
        <v>10</v>
      </c>
      <c r="AJ80" s="19">
        <v>0</v>
      </c>
      <c r="AK80" s="19">
        <v>0</v>
      </c>
      <c r="AL80" s="19">
        <v>0</v>
      </c>
      <c r="AM80" s="19">
        <v>10</v>
      </c>
      <c r="AN80" s="19">
        <v>0</v>
      </c>
      <c r="AO80" s="19">
        <v>6</v>
      </c>
      <c r="AP80" s="19"/>
      <c r="AQ80" s="19"/>
      <c r="AR80" s="19"/>
      <c r="AS80" s="19">
        <v>0</v>
      </c>
      <c r="AT80" s="19">
        <f t="shared" si="160"/>
        <v>50</v>
      </c>
      <c r="AU80" s="19">
        <f t="shared" si="161"/>
        <v>10</v>
      </c>
      <c r="AV80" s="19">
        <f t="shared" si="162"/>
        <v>6</v>
      </c>
      <c r="AW80" s="16">
        <f t="shared" si="163"/>
        <v>30</v>
      </c>
      <c r="AX80" s="16">
        <f t="shared" si="164"/>
        <v>0</v>
      </c>
      <c r="AY80" s="16">
        <f t="shared" si="165"/>
        <v>0</v>
      </c>
      <c r="AZ80" s="21">
        <v>900</v>
      </c>
      <c r="BA80" s="21">
        <v>100</v>
      </c>
      <c r="BB80" s="21">
        <v>0</v>
      </c>
      <c r="BC80" s="19">
        <f t="shared" si="166"/>
        <v>900</v>
      </c>
      <c r="BD80" s="19">
        <f t="shared" si="167"/>
        <v>100</v>
      </c>
      <c r="BE80" s="19">
        <f t="shared" si="168"/>
        <v>324</v>
      </c>
      <c r="BF80" s="19">
        <f t="shared" si="169"/>
        <v>0</v>
      </c>
      <c r="BG80" s="19">
        <f t="shared" si="170"/>
        <v>0</v>
      </c>
      <c r="BH80" s="19">
        <f t="shared" si="171"/>
        <v>0</v>
      </c>
      <c r="BI80" s="19">
        <v>95</v>
      </c>
      <c r="BJ80" s="19">
        <f t="shared" si="172"/>
        <v>1419</v>
      </c>
      <c r="BK80" s="19">
        <v>0</v>
      </c>
      <c r="BL80" s="19">
        <v>0</v>
      </c>
      <c r="BM80" s="19">
        <f t="shared" si="173"/>
        <v>0</v>
      </c>
      <c r="BN80" s="19">
        <f t="shared" si="174"/>
        <v>1419</v>
      </c>
      <c r="BO80" s="19">
        <v>0</v>
      </c>
      <c r="BP80" s="19">
        <v>0</v>
      </c>
      <c r="BQ80" s="22">
        <f t="shared" si="175"/>
        <v>1419</v>
      </c>
      <c r="BR80" s="82">
        <f t="shared" si="176"/>
        <v>0</v>
      </c>
      <c r="BS80" s="19">
        <f t="shared" si="177"/>
        <v>0</v>
      </c>
      <c r="BT80" s="19">
        <f t="shared" si="178"/>
        <v>0</v>
      </c>
      <c r="BU80" s="19">
        <f t="shared" si="179"/>
        <v>0</v>
      </c>
      <c r="BV80" s="19">
        <f t="shared" si="180"/>
        <v>0</v>
      </c>
      <c r="BW80" s="19">
        <f t="shared" si="181"/>
        <v>0</v>
      </c>
      <c r="BX80" s="19">
        <f t="shared" si="182"/>
        <v>25</v>
      </c>
      <c r="BY80" s="19">
        <f t="shared" si="183"/>
        <v>50</v>
      </c>
      <c r="BZ80" s="19">
        <f t="shared" si="184"/>
        <v>0</v>
      </c>
      <c r="CA80" s="19">
        <f t="shared" si="185"/>
        <v>0</v>
      </c>
      <c r="CB80" s="19">
        <f t="shared" si="186"/>
        <v>0</v>
      </c>
      <c r="CC80" s="19">
        <f t="shared" si="187"/>
        <v>0</v>
      </c>
      <c r="CD80" s="19">
        <f t="shared" si="188"/>
        <v>0</v>
      </c>
      <c r="CE80" s="19">
        <f t="shared" si="189"/>
        <v>0</v>
      </c>
      <c r="CF80" s="19">
        <f t="shared" si="190"/>
        <v>0</v>
      </c>
      <c r="CG80" s="19">
        <f t="shared" si="191"/>
        <v>0</v>
      </c>
      <c r="CH80" s="19">
        <f t="shared" si="192"/>
        <v>0</v>
      </c>
      <c r="CI80" s="19">
        <f t="shared" si="193"/>
        <v>0</v>
      </c>
      <c r="CJ80" s="19">
        <f t="shared" si="194"/>
        <v>0</v>
      </c>
      <c r="CK80" s="19">
        <f t="shared" si="195"/>
        <v>0</v>
      </c>
      <c r="CL80" s="19">
        <f t="shared" si="196"/>
        <v>0</v>
      </c>
      <c r="CM80" s="19">
        <f t="shared" si="197"/>
        <v>0</v>
      </c>
      <c r="CN80" s="19">
        <f t="shared" si="198"/>
        <v>0</v>
      </c>
      <c r="CO80" s="19">
        <f t="shared" si="199"/>
        <v>0</v>
      </c>
      <c r="CP80" s="19">
        <f t="shared" si="200"/>
        <v>0</v>
      </c>
      <c r="CQ80" s="19">
        <f t="shared" si="201"/>
        <v>0</v>
      </c>
      <c r="CR80" s="19">
        <f t="shared" si="202"/>
        <v>0</v>
      </c>
      <c r="CS80" s="19">
        <f t="shared" si="203"/>
        <v>0</v>
      </c>
      <c r="CT80" s="19">
        <f t="shared" si="204"/>
        <v>0</v>
      </c>
      <c r="CU80" s="19">
        <f t="shared" si="205"/>
        <v>0</v>
      </c>
      <c r="CV80" s="19">
        <f t="shared" si="206"/>
        <v>0</v>
      </c>
      <c r="CW80" s="19">
        <f t="shared" si="207"/>
        <v>0</v>
      </c>
      <c r="CX80" s="19">
        <f t="shared" si="208"/>
        <v>0</v>
      </c>
      <c r="CY80" s="19">
        <f t="shared" si="209"/>
        <v>0</v>
      </c>
      <c r="CZ80" s="19">
        <f t="shared" si="210"/>
        <v>0</v>
      </c>
      <c r="DA80" s="19">
        <f t="shared" si="211"/>
        <v>0</v>
      </c>
      <c r="DB80" s="19">
        <f t="shared" si="212"/>
        <v>0</v>
      </c>
      <c r="DC80" s="19">
        <f t="shared" si="213"/>
        <v>0</v>
      </c>
      <c r="DD80" s="19">
        <f t="shared" si="214"/>
        <v>0</v>
      </c>
      <c r="DE80" s="19">
        <f t="shared" si="215"/>
        <v>0</v>
      </c>
      <c r="DF80" s="19">
        <f t="shared" si="216"/>
        <v>0</v>
      </c>
      <c r="DG80" s="19">
        <f t="shared" si="217"/>
        <v>0</v>
      </c>
      <c r="DH80" s="19">
        <f t="shared" si="218"/>
        <v>0</v>
      </c>
      <c r="DI80" s="19">
        <f t="shared" si="219"/>
        <v>0</v>
      </c>
      <c r="DJ80" s="19">
        <f t="shared" si="220"/>
        <v>0</v>
      </c>
      <c r="DK80" s="19">
        <f t="shared" si="221"/>
        <v>0</v>
      </c>
      <c r="DL80" s="19">
        <f t="shared" si="222"/>
        <v>0</v>
      </c>
      <c r="DM80" s="19">
        <f t="shared" si="223"/>
        <v>0</v>
      </c>
      <c r="DN80" s="19">
        <f t="shared" si="224"/>
        <v>0</v>
      </c>
      <c r="DO80" s="19">
        <f t="shared" si="225"/>
        <v>0</v>
      </c>
      <c r="DP80" s="19">
        <f t="shared" si="226"/>
        <v>0</v>
      </c>
      <c r="DQ80" s="19">
        <f t="shared" si="227"/>
        <v>0</v>
      </c>
      <c r="DR80" s="19">
        <f t="shared" si="228"/>
        <v>0</v>
      </c>
      <c r="DS80" s="19">
        <f t="shared" si="229"/>
        <v>0</v>
      </c>
      <c r="DT80" s="19">
        <f t="shared" si="230"/>
        <v>0</v>
      </c>
      <c r="DU80" s="19">
        <f t="shared" si="231"/>
        <v>0</v>
      </c>
      <c r="DV80" s="19">
        <f t="shared" si="232"/>
        <v>0</v>
      </c>
      <c r="DW80" s="19">
        <f t="shared" si="233"/>
        <v>0</v>
      </c>
      <c r="DX80" s="19">
        <f t="shared" si="234"/>
        <v>0</v>
      </c>
      <c r="DY80" s="19">
        <f t="shared" si="235"/>
        <v>0</v>
      </c>
      <c r="DZ80" s="19">
        <f t="shared" si="236"/>
        <v>0</v>
      </c>
      <c r="EA80" s="19">
        <f t="shared" si="237"/>
        <v>0</v>
      </c>
      <c r="EB80" s="19">
        <f t="shared" si="238"/>
        <v>0</v>
      </c>
      <c r="EC80" s="19">
        <f t="shared" si="239"/>
        <v>0</v>
      </c>
    </row>
    <row r="81" spans="1:133" s="78" customFormat="1" ht="18" customHeight="1" x14ac:dyDescent="0.25">
      <c r="A81" s="15">
        <v>78</v>
      </c>
      <c r="B81" s="108" t="s">
        <v>527</v>
      </c>
      <c r="C81" s="74" t="s">
        <v>490</v>
      </c>
      <c r="D81" s="16" t="s">
        <v>61</v>
      </c>
      <c r="E81" s="18">
        <v>45730</v>
      </c>
      <c r="F81" s="19">
        <v>11</v>
      </c>
      <c r="G81" s="19" t="s">
        <v>316</v>
      </c>
      <c r="H81" s="19">
        <v>10</v>
      </c>
      <c r="I81" s="19">
        <v>11</v>
      </c>
      <c r="J81" s="19" t="s">
        <v>603</v>
      </c>
      <c r="K81" s="19">
        <v>10</v>
      </c>
      <c r="L81" s="19" t="s">
        <v>316</v>
      </c>
      <c r="M81" s="19">
        <v>10</v>
      </c>
      <c r="N81" s="19">
        <v>10</v>
      </c>
      <c r="O81" s="19">
        <v>11</v>
      </c>
      <c r="P81" s="19">
        <v>11</v>
      </c>
      <c r="Q81" s="19">
        <v>11</v>
      </c>
      <c r="R81" s="19">
        <v>11</v>
      </c>
      <c r="S81" s="19" t="s">
        <v>15</v>
      </c>
      <c r="T81" s="19">
        <v>11</v>
      </c>
      <c r="U81" s="19" t="s">
        <v>316</v>
      </c>
      <c r="V81" s="19">
        <v>11</v>
      </c>
      <c r="W81" s="19">
        <v>11</v>
      </c>
      <c r="X81" s="19">
        <v>12</v>
      </c>
      <c r="Y81" s="19">
        <v>11</v>
      </c>
      <c r="Z81" s="19" t="s">
        <v>316</v>
      </c>
      <c r="AA81" s="19">
        <v>10</v>
      </c>
      <c r="AB81" s="19">
        <v>10</v>
      </c>
      <c r="AC81" s="19">
        <v>10</v>
      </c>
      <c r="AD81" s="19">
        <v>10</v>
      </c>
      <c r="AE81" s="19">
        <v>12</v>
      </c>
      <c r="AF81" s="19">
        <v>10</v>
      </c>
      <c r="AG81" s="19" t="s">
        <v>15</v>
      </c>
      <c r="AH81" s="19">
        <v>10</v>
      </c>
      <c r="AI81" s="19">
        <v>10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11</v>
      </c>
      <c r="AP81" s="19"/>
      <c r="AQ81" s="19"/>
      <c r="AR81" s="19"/>
      <c r="AS81" s="19">
        <v>0</v>
      </c>
      <c r="AT81" s="19">
        <f t="shared" si="160"/>
        <v>60</v>
      </c>
      <c r="AU81" s="19">
        <f t="shared" si="161"/>
        <v>0</v>
      </c>
      <c r="AV81" s="19">
        <f t="shared" si="162"/>
        <v>11</v>
      </c>
      <c r="AW81" s="16">
        <f t="shared" si="163"/>
        <v>26</v>
      </c>
      <c r="AX81" s="16">
        <f t="shared" si="164"/>
        <v>4</v>
      </c>
      <c r="AY81" s="16">
        <f t="shared" si="165"/>
        <v>0</v>
      </c>
      <c r="AZ81" s="21">
        <v>1000</v>
      </c>
      <c r="BA81" s="21">
        <v>100</v>
      </c>
      <c r="BB81" s="21">
        <v>0</v>
      </c>
      <c r="BC81" s="19">
        <f t="shared" si="166"/>
        <v>867</v>
      </c>
      <c r="BD81" s="19">
        <f t="shared" si="167"/>
        <v>87</v>
      </c>
      <c r="BE81" s="19">
        <f t="shared" si="168"/>
        <v>381</v>
      </c>
      <c r="BF81" s="19">
        <f t="shared" si="169"/>
        <v>0</v>
      </c>
      <c r="BG81" s="19">
        <f t="shared" si="170"/>
        <v>0</v>
      </c>
      <c r="BH81" s="19">
        <f t="shared" si="171"/>
        <v>0</v>
      </c>
      <c r="BI81" s="19">
        <v>0</v>
      </c>
      <c r="BJ81" s="19">
        <f t="shared" si="172"/>
        <v>1335</v>
      </c>
      <c r="BK81" s="19">
        <v>0</v>
      </c>
      <c r="BL81" s="19">
        <v>0</v>
      </c>
      <c r="BM81" s="19">
        <f t="shared" si="173"/>
        <v>0</v>
      </c>
      <c r="BN81" s="19">
        <f t="shared" si="174"/>
        <v>1335</v>
      </c>
      <c r="BO81" s="19">
        <v>0</v>
      </c>
      <c r="BP81" s="19">
        <v>0</v>
      </c>
      <c r="BQ81" s="22">
        <f t="shared" si="175"/>
        <v>1335</v>
      </c>
      <c r="BR81" s="82">
        <f t="shared" si="176"/>
        <v>0</v>
      </c>
      <c r="BS81" s="19">
        <f t="shared" si="177"/>
        <v>0</v>
      </c>
      <c r="BT81" s="19">
        <f t="shared" si="178"/>
        <v>0</v>
      </c>
      <c r="BU81" s="19">
        <f t="shared" si="179"/>
        <v>0</v>
      </c>
      <c r="BV81" s="19">
        <f t="shared" si="180"/>
        <v>0</v>
      </c>
      <c r="BW81" s="19">
        <f t="shared" si="181"/>
        <v>0</v>
      </c>
      <c r="BX81" s="19">
        <f t="shared" si="182"/>
        <v>11</v>
      </c>
      <c r="BY81" s="19">
        <f t="shared" si="183"/>
        <v>22</v>
      </c>
      <c r="BZ81" s="19">
        <f t="shared" si="184"/>
        <v>0</v>
      </c>
      <c r="CA81" s="19">
        <f t="shared" si="185"/>
        <v>0</v>
      </c>
      <c r="CB81" s="19">
        <f t="shared" si="186"/>
        <v>10</v>
      </c>
      <c r="CC81" s="19">
        <f t="shared" si="187"/>
        <v>30</v>
      </c>
      <c r="CD81" s="19">
        <f t="shared" si="188"/>
        <v>0</v>
      </c>
      <c r="CE81" s="19">
        <f t="shared" si="189"/>
        <v>0</v>
      </c>
      <c r="CF81" s="19">
        <f t="shared" si="190"/>
        <v>2</v>
      </c>
      <c r="CG81" s="19">
        <f t="shared" si="191"/>
        <v>8</v>
      </c>
      <c r="CH81" s="19">
        <f t="shared" si="192"/>
        <v>0</v>
      </c>
      <c r="CI81" s="19">
        <f t="shared" si="193"/>
        <v>0</v>
      </c>
      <c r="CJ81" s="19">
        <f t="shared" si="194"/>
        <v>0</v>
      </c>
      <c r="CK81" s="19">
        <f t="shared" si="195"/>
        <v>0</v>
      </c>
      <c r="CL81" s="19">
        <f t="shared" si="196"/>
        <v>0</v>
      </c>
      <c r="CM81" s="19">
        <f t="shared" si="197"/>
        <v>0</v>
      </c>
      <c r="CN81" s="19">
        <f t="shared" si="198"/>
        <v>0</v>
      </c>
      <c r="CO81" s="19">
        <f t="shared" si="199"/>
        <v>0</v>
      </c>
      <c r="CP81" s="19">
        <f t="shared" si="200"/>
        <v>0</v>
      </c>
      <c r="CQ81" s="19">
        <f t="shared" si="201"/>
        <v>0</v>
      </c>
      <c r="CR81" s="19">
        <f t="shared" si="202"/>
        <v>0</v>
      </c>
      <c r="CS81" s="19">
        <f t="shared" si="203"/>
        <v>0</v>
      </c>
      <c r="CT81" s="19">
        <f t="shared" si="204"/>
        <v>0</v>
      </c>
      <c r="CU81" s="19">
        <f t="shared" si="205"/>
        <v>0</v>
      </c>
      <c r="CV81" s="19">
        <f t="shared" si="206"/>
        <v>0</v>
      </c>
      <c r="CW81" s="19">
        <f t="shared" si="207"/>
        <v>0</v>
      </c>
      <c r="CX81" s="19">
        <f t="shared" si="208"/>
        <v>0</v>
      </c>
      <c r="CY81" s="19">
        <f t="shared" si="209"/>
        <v>0</v>
      </c>
      <c r="CZ81" s="19">
        <f t="shared" si="210"/>
        <v>0</v>
      </c>
      <c r="DA81" s="19">
        <f t="shared" si="211"/>
        <v>0</v>
      </c>
      <c r="DB81" s="19">
        <f t="shared" si="212"/>
        <v>0</v>
      </c>
      <c r="DC81" s="19">
        <f t="shared" si="213"/>
        <v>0</v>
      </c>
      <c r="DD81" s="19">
        <f t="shared" si="214"/>
        <v>0</v>
      </c>
      <c r="DE81" s="19">
        <f t="shared" si="215"/>
        <v>0</v>
      </c>
      <c r="DF81" s="19">
        <f t="shared" si="216"/>
        <v>0</v>
      </c>
      <c r="DG81" s="19">
        <f t="shared" si="217"/>
        <v>0</v>
      </c>
      <c r="DH81" s="19">
        <f t="shared" si="218"/>
        <v>0</v>
      </c>
      <c r="DI81" s="19">
        <f t="shared" si="219"/>
        <v>0</v>
      </c>
      <c r="DJ81" s="19">
        <f t="shared" si="220"/>
        <v>0</v>
      </c>
      <c r="DK81" s="19">
        <f t="shared" si="221"/>
        <v>0</v>
      </c>
      <c r="DL81" s="19">
        <f t="shared" si="222"/>
        <v>0</v>
      </c>
      <c r="DM81" s="19">
        <f t="shared" si="223"/>
        <v>0</v>
      </c>
      <c r="DN81" s="19">
        <f t="shared" si="224"/>
        <v>0</v>
      </c>
      <c r="DO81" s="19">
        <f t="shared" si="225"/>
        <v>0</v>
      </c>
      <c r="DP81" s="19">
        <f t="shared" si="226"/>
        <v>0</v>
      </c>
      <c r="DQ81" s="19">
        <f t="shared" si="227"/>
        <v>0</v>
      </c>
      <c r="DR81" s="19">
        <f t="shared" si="228"/>
        <v>0</v>
      </c>
      <c r="DS81" s="19">
        <f t="shared" si="229"/>
        <v>0</v>
      </c>
      <c r="DT81" s="19">
        <f t="shared" si="230"/>
        <v>0</v>
      </c>
      <c r="DU81" s="19">
        <f t="shared" si="231"/>
        <v>0</v>
      </c>
      <c r="DV81" s="19">
        <f t="shared" si="232"/>
        <v>0</v>
      </c>
      <c r="DW81" s="19">
        <f t="shared" si="233"/>
        <v>0</v>
      </c>
      <c r="DX81" s="19">
        <f t="shared" si="234"/>
        <v>0</v>
      </c>
      <c r="DY81" s="19">
        <f t="shared" si="235"/>
        <v>0</v>
      </c>
      <c r="DZ81" s="19">
        <f t="shared" si="236"/>
        <v>0</v>
      </c>
      <c r="EA81" s="19">
        <f t="shared" si="237"/>
        <v>0</v>
      </c>
      <c r="EB81" s="19">
        <f t="shared" si="238"/>
        <v>0</v>
      </c>
      <c r="EC81" s="19">
        <f t="shared" si="239"/>
        <v>0</v>
      </c>
    </row>
    <row r="82" spans="1:133" s="78" customFormat="1" ht="18" customHeight="1" x14ac:dyDescent="0.25">
      <c r="A82" s="15">
        <v>79</v>
      </c>
      <c r="B82" s="108" t="s">
        <v>528</v>
      </c>
      <c r="C82" s="74" t="s">
        <v>491</v>
      </c>
      <c r="D82" s="16" t="s">
        <v>61</v>
      </c>
      <c r="E82" s="18">
        <v>45730</v>
      </c>
      <c r="F82" s="19">
        <v>10</v>
      </c>
      <c r="G82" s="19">
        <v>10</v>
      </c>
      <c r="H82" s="19">
        <v>10</v>
      </c>
      <c r="I82" s="19">
        <v>10</v>
      </c>
      <c r="J82" s="19" t="s">
        <v>603</v>
      </c>
      <c r="K82" s="19">
        <v>10</v>
      </c>
      <c r="L82" s="19" t="s">
        <v>15</v>
      </c>
      <c r="M82" s="19">
        <v>10</v>
      </c>
      <c r="N82" s="19">
        <v>10</v>
      </c>
      <c r="O82" s="19">
        <v>10</v>
      </c>
      <c r="P82" s="19">
        <v>10</v>
      </c>
      <c r="Q82" s="19">
        <v>10</v>
      </c>
      <c r="R82" s="19">
        <v>10</v>
      </c>
      <c r="S82" s="19" t="s">
        <v>15</v>
      </c>
      <c r="T82" s="19">
        <v>12.5</v>
      </c>
      <c r="U82" s="19">
        <v>14</v>
      </c>
      <c r="V82" s="19">
        <v>11</v>
      </c>
      <c r="W82" s="19">
        <v>11</v>
      </c>
      <c r="X82" s="19">
        <v>11</v>
      </c>
      <c r="Y82" s="19">
        <v>10</v>
      </c>
      <c r="Z82" s="19" t="s">
        <v>15</v>
      </c>
      <c r="AA82" s="19">
        <v>10</v>
      </c>
      <c r="AB82" s="19">
        <v>10</v>
      </c>
      <c r="AC82" s="19">
        <v>10</v>
      </c>
      <c r="AD82" s="19">
        <v>10</v>
      </c>
      <c r="AE82" s="19">
        <v>11</v>
      </c>
      <c r="AF82" s="19">
        <v>10</v>
      </c>
      <c r="AG82" s="19" t="s">
        <v>15</v>
      </c>
      <c r="AH82" s="19">
        <v>10</v>
      </c>
      <c r="AI82" s="19">
        <v>10</v>
      </c>
      <c r="AJ82" s="19">
        <v>0</v>
      </c>
      <c r="AK82" s="19">
        <v>11</v>
      </c>
      <c r="AL82" s="19">
        <v>0</v>
      </c>
      <c r="AM82" s="19">
        <v>11</v>
      </c>
      <c r="AN82" s="19">
        <v>0</v>
      </c>
      <c r="AO82" s="19">
        <v>10</v>
      </c>
      <c r="AP82" s="19"/>
      <c r="AQ82" s="19"/>
      <c r="AR82" s="19"/>
      <c r="AS82" s="19">
        <v>0</v>
      </c>
      <c r="AT82" s="19">
        <f t="shared" si="160"/>
        <v>60.5</v>
      </c>
      <c r="AU82" s="19">
        <f t="shared" si="161"/>
        <v>22</v>
      </c>
      <c r="AV82" s="19">
        <f t="shared" si="162"/>
        <v>10</v>
      </c>
      <c r="AW82" s="16">
        <f t="shared" si="163"/>
        <v>30</v>
      </c>
      <c r="AX82" s="16">
        <f t="shared" si="164"/>
        <v>0</v>
      </c>
      <c r="AY82" s="16">
        <f t="shared" si="165"/>
        <v>0</v>
      </c>
      <c r="AZ82" s="21">
        <v>900</v>
      </c>
      <c r="BA82" s="21">
        <v>100</v>
      </c>
      <c r="BB82" s="21">
        <v>0</v>
      </c>
      <c r="BC82" s="19">
        <f t="shared" si="166"/>
        <v>900</v>
      </c>
      <c r="BD82" s="19">
        <f t="shared" si="167"/>
        <v>100</v>
      </c>
      <c r="BE82" s="19">
        <f t="shared" si="168"/>
        <v>464</v>
      </c>
      <c r="BF82" s="19">
        <f t="shared" si="169"/>
        <v>0</v>
      </c>
      <c r="BG82" s="19">
        <f t="shared" si="170"/>
        <v>0</v>
      </c>
      <c r="BH82" s="19">
        <f t="shared" si="171"/>
        <v>0</v>
      </c>
      <c r="BI82" s="19">
        <v>95</v>
      </c>
      <c r="BJ82" s="19">
        <f t="shared" si="172"/>
        <v>1559</v>
      </c>
      <c r="BK82" s="19">
        <v>0</v>
      </c>
      <c r="BL82" s="19">
        <v>0</v>
      </c>
      <c r="BM82" s="19">
        <f t="shared" si="173"/>
        <v>0</v>
      </c>
      <c r="BN82" s="19">
        <f t="shared" si="174"/>
        <v>1559</v>
      </c>
      <c r="BO82" s="19">
        <v>0</v>
      </c>
      <c r="BP82" s="19">
        <v>0</v>
      </c>
      <c r="BQ82" s="22">
        <f t="shared" si="175"/>
        <v>1559</v>
      </c>
      <c r="BR82" s="82">
        <f t="shared" si="176"/>
        <v>0</v>
      </c>
      <c r="BS82" s="19">
        <f t="shared" si="177"/>
        <v>0</v>
      </c>
      <c r="BT82" s="19">
        <f t="shared" si="178"/>
        <v>0</v>
      </c>
      <c r="BU82" s="19">
        <f t="shared" si="179"/>
        <v>0</v>
      </c>
      <c r="BV82" s="19">
        <f t="shared" si="180"/>
        <v>0</v>
      </c>
      <c r="BW82" s="19">
        <f t="shared" si="181"/>
        <v>0</v>
      </c>
      <c r="BX82" s="19">
        <f t="shared" si="182"/>
        <v>19</v>
      </c>
      <c r="BY82" s="19">
        <f t="shared" si="183"/>
        <v>38</v>
      </c>
      <c r="BZ82" s="19">
        <f t="shared" si="184"/>
        <v>0</v>
      </c>
      <c r="CA82" s="19">
        <f t="shared" si="185"/>
        <v>0</v>
      </c>
      <c r="CB82" s="19">
        <f t="shared" si="186"/>
        <v>4</v>
      </c>
      <c r="CC82" s="19">
        <f t="shared" si="187"/>
        <v>12</v>
      </c>
      <c r="CD82" s="19">
        <f t="shared" si="188"/>
        <v>0</v>
      </c>
      <c r="CE82" s="19">
        <f t="shared" si="189"/>
        <v>0</v>
      </c>
      <c r="CF82" s="19">
        <f t="shared" si="190"/>
        <v>0</v>
      </c>
      <c r="CG82" s="19">
        <f t="shared" si="191"/>
        <v>0</v>
      </c>
      <c r="CH82" s="19">
        <f t="shared" si="192"/>
        <v>1</v>
      </c>
      <c r="CI82" s="19">
        <f t="shared" si="193"/>
        <v>4.5</v>
      </c>
      <c r="CJ82" s="19">
        <f t="shared" si="194"/>
        <v>0</v>
      </c>
      <c r="CK82" s="19">
        <f t="shared" si="195"/>
        <v>0</v>
      </c>
      <c r="CL82" s="19">
        <f t="shared" si="196"/>
        <v>0</v>
      </c>
      <c r="CM82" s="19">
        <f t="shared" si="197"/>
        <v>0</v>
      </c>
      <c r="CN82" s="19">
        <f t="shared" si="198"/>
        <v>1</v>
      </c>
      <c r="CO82" s="19">
        <f t="shared" si="199"/>
        <v>6</v>
      </c>
      <c r="CP82" s="19">
        <f t="shared" si="200"/>
        <v>0</v>
      </c>
      <c r="CQ82" s="19">
        <f t="shared" si="201"/>
        <v>0</v>
      </c>
      <c r="CR82" s="19">
        <f t="shared" si="202"/>
        <v>0</v>
      </c>
      <c r="CS82" s="19">
        <f t="shared" si="203"/>
        <v>0</v>
      </c>
      <c r="CT82" s="19">
        <f t="shared" si="204"/>
        <v>0</v>
      </c>
      <c r="CU82" s="19">
        <f t="shared" si="205"/>
        <v>0</v>
      </c>
      <c r="CV82" s="19">
        <f t="shared" si="206"/>
        <v>0</v>
      </c>
      <c r="CW82" s="19">
        <f t="shared" si="207"/>
        <v>0</v>
      </c>
      <c r="CX82" s="19">
        <f t="shared" si="208"/>
        <v>0</v>
      </c>
      <c r="CY82" s="19">
        <f t="shared" si="209"/>
        <v>0</v>
      </c>
      <c r="CZ82" s="19">
        <f t="shared" si="210"/>
        <v>0</v>
      </c>
      <c r="DA82" s="19">
        <f t="shared" si="211"/>
        <v>0</v>
      </c>
      <c r="DB82" s="19">
        <f t="shared" si="212"/>
        <v>0</v>
      </c>
      <c r="DC82" s="19">
        <f t="shared" si="213"/>
        <v>0</v>
      </c>
      <c r="DD82" s="19">
        <f t="shared" si="214"/>
        <v>0</v>
      </c>
      <c r="DE82" s="19">
        <f t="shared" si="215"/>
        <v>0</v>
      </c>
      <c r="DF82" s="19">
        <f t="shared" si="216"/>
        <v>0</v>
      </c>
      <c r="DG82" s="19">
        <f t="shared" si="217"/>
        <v>0</v>
      </c>
      <c r="DH82" s="19">
        <f t="shared" si="218"/>
        <v>0</v>
      </c>
      <c r="DI82" s="19">
        <f t="shared" si="219"/>
        <v>0</v>
      </c>
      <c r="DJ82" s="19">
        <f t="shared" si="220"/>
        <v>0</v>
      </c>
      <c r="DK82" s="19">
        <f t="shared" si="221"/>
        <v>0</v>
      </c>
      <c r="DL82" s="19">
        <f t="shared" si="222"/>
        <v>0</v>
      </c>
      <c r="DM82" s="19">
        <f t="shared" si="223"/>
        <v>0</v>
      </c>
      <c r="DN82" s="19">
        <f t="shared" si="224"/>
        <v>0</v>
      </c>
      <c r="DO82" s="19">
        <f t="shared" si="225"/>
        <v>0</v>
      </c>
      <c r="DP82" s="19">
        <f t="shared" si="226"/>
        <v>0</v>
      </c>
      <c r="DQ82" s="19">
        <f t="shared" si="227"/>
        <v>0</v>
      </c>
      <c r="DR82" s="19">
        <f t="shared" si="228"/>
        <v>0</v>
      </c>
      <c r="DS82" s="19">
        <f t="shared" si="229"/>
        <v>0</v>
      </c>
      <c r="DT82" s="19">
        <f t="shared" si="230"/>
        <v>0</v>
      </c>
      <c r="DU82" s="19">
        <f t="shared" si="231"/>
        <v>0</v>
      </c>
      <c r="DV82" s="19">
        <f t="shared" si="232"/>
        <v>0</v>
      </c>
      <c r="DW82" s="19">
        <f t="shared" si="233"/>
        <v>0</v>
      </c>
      <c r="DX82" s="19">
        <f t="shared" si="234"/>
        <v>0</v>
      </c>
      <c r="DY82" s="19">
        <f t="shared" si="235"/>
        <v>0</v>
      </c>
      <c r="DZ82" s="19">
        <f t="shared" si="236"/>
        <v>0</v>
      </c>
      <c r="EA82" s="19">
        <f t="shared" si="237"/>
        <v>0</v>
      </c>
      <c r="EB82" s="19">
        <f t="shared" si="238"/>
        <v>0</v>
      </c>
      <c r="EC82" s="19">
        <f t="shared" si="239"/>
        <v>0</v>
      </c>
    </row>
    <row r="83" spans="1:133" s="78" customFormat="1" ht="18" customHeight="1" x14ac:dyDescent="0.25">
      <c r="A83" s="15">
        <v>80</v>
      </c>
      <c r="B83" s="108" t="s">
        <v>529</v>
      </c>
      <c r="C83" s="74" t="s">
        <v>505</v>
      </c>
      <c r="D83" s="16" t="s">
        <v>61</v>
      </c>
      <c r="E83" s="18">
        <v>45768</v>
      </c>
      <c r="F83" s="19">
        <v>11</v>
      </c>
      <c r="G83" s="19">
        <v>11</v>
      </c>
      <c r="H83" s="19">
        <v>11</v>
      </c>
      <c r="I83" s="19">
        <v>11</v>
      </c>
      <c r="J83" s="19" t="s">
        <v>603</v>
      </c>
      <c r="K83" s="19">
        <v>11</v>
      </c>
      <c r="L83" s="19" t="s">
        <v>15</v>
      </c>
      <c r="M83" s="19">
        <v>11</v>
      </c>
      <c r="N83" s="19">
        <v>10</v>
      </c>
      <c r="O83" s="19">
        <v>11</v>
      </c>
      <c r="P83" s="19">
        <v>11</v>
      </c>
      <c r="Q83" s="19">
        <v>11</v>
      </c>
      <c r="R83" s="19">
        <v>11</v>
      </c>
      <c r="S83" s="19" t="s">
        <v>15</v>
      </c>
      <c r="T83" s="19">
        <v>11</v>
      </c>
      <c r="U83" s="19">
        <v>11</v>
      </c>
      <c r="V83" s="19">
        <v>12</v>
      </c>
      <c r="W83" s="19">
        <v>10</v>
      </c>
      <c r="X83" s="19">
        <v>11</v>
      </c>
      <c r="Y83" s="19">
        <v>11</v>
      </c>
      <c r="Z83" s="19" t="s">
        <v>15</v>
      </c>
      <c r="AA83" s="19">
        <v>11</v>
      </c>
      <c r="AB83" s="19">
        <v>10</v>
      </c>
      <c r="AC83" s="19">
        <v>11</v>
      </c>
      <c r="AD83" s="19">
        <v>11</v>
      </c>
      <c r="AE83" s="19">
        <v>11</v>
      </c>
      <c r="AF83" s="19">
        <v>11</v>
      </c>
      <c r="AG83" s="19" t="s">
        <v>15</v>
      </c>
      <c r="AH83" s="19">
        <v>11</v>
      </c>
      <c r="AI83" s="19">
        <v>11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/>
      <c r="AQ83" s="19"/>
      <c r="AR83" s="19"/>
      <c r="AS83" s="19">
        <v>0</v>
      </c>
      <c r="AT83" s="19">
        <f t="shared" si="160"/>
        <v>73</v>
      </c>
      <c r="AU83" s="19">
        <f t="shared" si="161"/>
        <v>0</v>
      </c>
      <c r="AV83" s="19">
        <f t="shared" si="162"/>
        <v>0</v>
      </c>
      <c r="AW83" s="16">
        <f t="shared" si="163"/>
        <v>30</v>
      </c>
      <c r="AX83" s="16">
        <f t="shared" si="164"/>
        <v>0</v>
      </c>
      <c r="AY83" s="16">
        <f t="shared" si="165"/>
        <v>0</v>
      </c>
      <c r="AZ83" s="21">
        <v>1050</v>
      </c>
      <c r="BA83" s="21">
        <v>100</v>
      </c>
      <c r="BB83" s="21">
        <v>0</v>
      </c>
      <c r="BC83" s="19">
        <f t="shared" si="166"/>
        <v>1050</v>
      </c>
      <c r="BD83" s="19">
        <f t="shared" si="167"/>
        <v>100</v>
      </c>
      <c r="BE83" s="19">
        <f t="shared" si="168"/>
        <v>399</v>
      </c>
      <c r="BF83" s="19">
        <f t="shared" si="169"/>
        <v>0</v>
      </c>
      <c r="BG83" s="19">
        <f t="shared" si="170"/>
        <v>0</v>
      </c>
      <c r="BH83" s="19">
        <f t="shared" si="171"/>
        <v>0</v>
      </c>
      <c r="BI83" s="19">
        <v>95</v>
      </c>
      <c r="BJ83" s="19">
        <f t="shared" si="172"/>
        <v>1644</v>
      </c>
      <c r="BK83" s="19">
        <v>0</v>
      </c>
      <c r="BL83" s="19">
        <v>0</v>
      </c>
      <c r="BM83" s="19">
        <f t="shared" si="173"/>
        <v>0</v>
      </c>
      <c r="BN83" s="19">
        <f t="shared" si="174"/>
        <v>1644</v>
      </c>
      <c r="BO83" s="19">
        <v>0</v>
      </c>
      <c r="BP83" s="19">
        <v>0</v>
      </c>
      <c r="BQ83" s="22">
        <f t="shared" si="175"/>
        <v>1644</v>
      </c>
      <c r="BR83" s="82">
        <f t="shared" si="176"/>
        <v>0</v>
      </c>
      <c r="BS83" s="19">
        <f t="shared" si="177"/>
        <v>0</v>
      </c>
      <c r="BT83" s="19">
        <f t="shared" si="178"/>
        <v>0</v>
      </c>
      <c r="BU83" s="19">
        <f t="shared" si="179"/>
        <v>0</v>
      </c>
      <c r="BV83" s="19">
        <f t="shared" si="180"/>
        <v>0</v>
      </c>
      <c r="BW83" s="19">
        <f t="shared" si="181"/>
        <v>0</v>
      </c>
      <c r="BX83" s="19">
        <f t="shared" si="182"/>
        <v>3</v>
      </c>
      <c r="BY83" s="19">
        <f t="shared" si="183"/>
        <v>6</v>
      </c>
      <c r="BZ83" s="19">
        <f t="shared" si="184"/>
        <v>0</v>
      </c>
      <c r="CA83" s="19">
        <f t="shared" si="185"/>
        <v>0</v>
      </c>
      <c r="CB83" s="19">
        <f t="shared" si="186"/>
        <v>21</v>
      </c>
      <c r="CC83" s="19">
        <f t="shared" si="187"/>
        <v>63</v>
      </c>
      <c r="CD83" s="19">
        <f t="shared" si="188"/>
        <v>0</v>
      </c>
      <c r="CE83" s="19">
        <f t="shared" si="189"/>
        <v>0</v>
      </c>
      <c r="CF83" s="19">
        <f t="shared" si="190"/>
        <v>1</v>
      </c>
      <c r="CG83" s="19">
        <f t="shared" si="191"/>
        <v>4</v>
      </c>
      <c r="CH83" s="19">
        <f t="shared" si="192"/>
        <v>0</v>
      </c>
      <c r="CI83" s="19">
        <f t="shared" si="193"/>
        <v>0</v>
      </c>
      <c r="CJ83" s="19">
        <f t="shared" si="194"/>
        <v>0</v>
      </c>
      <c r="CK83" s="19">
        <f t="shared" si="195"/>
        <v>0</v>
      </c>
      <c r="CL83" s="19">
        <f t="shared" si="196"/>
        <v>0</v>
      </c>
      <c r="CM83" s="19">
        <f t="shared" si="197"/>
        <v>0</v>
      </c>
      <c r="CN83" s="19">
        <f t="shared" si="198"/>
        <v>0</v>
      </c>
      <c r="CO83" s="19">
        <f t="shared" si="199"/>
        <v>0</v>
      </c>
      <c r="CP83" s="19">
        <f t="shared" si="200"/>
        <v>0</v>
      </c>
      <c r="CQ83" s="19">
        <f t="shared" si="201"/>
        <v>0</v>
      </c>
      <c r="CR83" s="19">
        <f t="shared" si="202"/>
        <v>0</v>
      </c>
      <c r="CS83" s="19">
        <f t="shared" si="203"/>
        <v>0</v>
      </c>
      <c r="CT83" s="19">
        <f t="shared" si="204"/>
        <v>0</v>
      </c>
      <c r="CU83" s="19">
        <f t="shared" si="205"/>
        <v>0</v>
      </c>
      <c r="CV83" s="19">
        <f t="shared" si="206"/>
        <v>0</v>
      </c>
      <c r="CW83" s="19">
        <f t="shared" si="207"/>
        <v>0</v>
      </c>
      <c r="CX83" s="19">
        <f t="shared" si="208"/>
        <v>0</v>
      </c>
      <c r="CY83" s="19">
        <f t="shared" si="209"/>
        <v>0</v>
      </c>
      <c r="CZ83" s="19">
        <f t="shared" si="210"/>
        <v>0</v>
      </c>
      <c r="DA83" s="19">
        <f t="shared" si="211"/>
        <v>0</v>
      </c>
      <c r="DB83" s="19">
        <f t="shared" si="212"/>
        <v>0</v>
      </c>
      <c r="DC83" s="19">
        <f t="shared" si="213"/>
        <v>0</v>
      </c>
      <c r="DD83" s="19">
        <f t="shared" si="214"/>
        <v>0</v>
      </c>
      <c r="DE83" s="19">
        <f t="shared" si="215"/>
        <v>0</v>
      </c>
      <c r="DF83" s="19">
        <f t="shared" si="216"/>
        <v>0</v>
      </c>
      <c r="DG83" s="19">
        <f t="shared" si="217"/>
        <v>0</v>
      </c>
      <c r="DH83" s="19">
        <f t="shared" si="218"/>
        <v>0</v>
      </c>
      <c r="DI83" s="19">
        <f t="shared" si="219"/>
        <v>0</v>
      </c>
      <c r="DJ83" s="19">
        <f t="shared" si="220"/>
        <v>0</v>
      </c>
      <c r="DK83" s="19">
        <f t="shared" si="221"/>
        <v>0</v>
      </c>
      <c r="DL83" s="19">
        <f t="shared" si="222"/>
        <v>0</v>
      </c>
      <c r="DM83" s="19">
        <f t="shared" si="223"/>
        <v>0</v>
      </c>
      <c r="DN83" s="19">
        <f t="shared" si="224"/>
        <v>0</v>
      </c>
      <c r="DO83" s="19">
        <f t="shared" si="225"/>
        <v>0</v>
      </c>
      <c r="DP83" s="19">
        <f t="shared" si="226"/>
        <v>0</v>
      </c>
      <c r="DQ83" s="19">
        <f t="shared" si="227"/>
        <v>0</v>
      </c>
      <c r="DR83" s="19">
        <f t="shared" si="228"/>
        <v>0</v>
      </c>
      <c r="DS83" s="19">
        <f t="shared" si="229"/>
        <v>0</v>
      </c>
      <c r="DT83" s="19">
        <f t="shared" si="230"/>
        <v>0</v>
      </c>
      <c r="DU83" s="19">
        <f t="shared" si="231"/>
        <v>0</v>
      </c>
      <c r="DV83" s="19">
        <f t="shared" si="232"/>
        <v>0</v>
      </c>
      <c r="DW83" s="19">
        <f t="shared" si="233"/>
        <v>0</v>
      </c>
      <c r="DX83" s="19">
        <f t="shared" si="234"/>
        <v>0</v>
      </c>
      <c r="DY83" s="19">
        <f t="shared" si="235"/>
        <v>0</v>
      </c>
      <c r="DZ83" s="19">
        <f t="shared" si="236"/>
        <v>0</v>
      </c>
      <c r="EA83" s="19">
        <f t="shared" si="237"/>
        <v>0</v>
      </c>
      <c r="EB83" s="19">
        <f t="shared" si="238"/>
        <v>0</v>
      </c>
      <c r="EC83" s="19">
        <f t="shared" si="239"/>
        <v>0</v>
      </c>
    </row>
    <row r="84" spans="1:133" s="78" customFormat="1" ht="18" customHeight="1" x14ac:dyDescent="0.25">
      <c r="A84" s="15">
        <v>81</v>
      </c>
      <c r="B84" s="108" t="s">
        <v>531</v>
      </c>
      <c r="C84" s="74" t="s">
        <v>507</v>
      </c>
      <c r="D84" s="16" t="s">
        <v>61</v>
      </c>
      <c r="E84" s="18">
        <v>45768</v>
      </c>
      <c r="F84" s="19">
        <v>10</v>
      </c>
      <c r="G84" s="19">
        <v>10</v>
      </c>
      <c r="H84" s="19">
        <v>10</v>
      </c>
      <c r="I84" s="19">
        <v>10</v>
      </c>
      <c r="J84" s="19" t="s">
        <v>603</v>
      </c>
      <c r="K84" s="19">
        <v>10</v>
      </c>
      <c r="L84" s="19" t="s">
        <v>15</v>
      </c>
      <c r="M84" s="19">
        <v>10</v>
      </c>
      <c r="N84" s="19">
        <v>10</v>
      </c>
      <c r="O84" s="19">
        <v>10</v>
      </c>
      <c r="P84" s="19">
        <v>10</v>
      </c>
      <c r="Q84" s="19">
        <v>10</v>
      </c>
      <c r="R84" s="19">
        <v>10</v>
      </c>
      <c r="S84" s="19" t="s">
        <v>15</v>
      </c>
      <c r="T84" s="19">
        <v>10</v>
      </c>
      <c r="U84" s="19">
        <v>10</v>
      </c>
      <c r="V84" s="19">
        <v>10</v>
      </c>
      <c r="W84" s="19">
        <v>10</v>
      </c>
      <c r="X84" s="19">
        <v>12</v>
      </c>
      <c r="Y84" s="19">
        <v>11</v>
      </c>
      <c r="Z84" s="19" t="s">
        <v>15</v>
      </c>
      <c r="AA84" s="19">
        <v>10</v>
      </c>
      <c r="AB84" s="19">
        <v>10</v>
      </c>
      <c r="AC84" s="19">
        <v>10</v>
      </c>
      <c r="AD84" s="19">
        <v>10</v>
      </c>
      <c r="AE84" s="19">
        <v>11</v>
      </c>
      <c r="AF84" s="19">
        <v>10</v>
      </c>
      <c r="AG84" s="19" t="s">
        <v>15</v>
      </c>
      <c r="AH84" s="19">
        <v>10</v>
      </c>
      <c r="AI84" s="19">
        <v>10</v>
      </c>
      <c r="AJ84" s="19">
        <v>6</v>
      </c>
      <c r="AK84" s="19">
        <v>0</v>
      </c>
      <c r="AL84" s="19">
        <v>0</v>
      </c>
      <c r="AM84" s="19">
        <v>0</v>
      </c>
      <c r="AN84" s="19">
        <v>0</v>
      </c>
      <c r="AO84" s="19">
        <v>10</v>
      </c>
      <c r="AP84" s="19"/>
      <c r="AQ84" s="19"/>
      <c r="AR84" s="19"/>
      <c r="AS84" s="19">
        <v>0</v>
      </c>
      <c r="AT84" s="19">
        <f t="shared" si="160"/>
        <v>54</v>
      </c>
      <c r="AU84" s="19">
        <f t="shared" si="161"/>
        <v>6</v>
      </c>
      <c r="AV84" s="19">
        <f t="shared" si="162"/>
        <v>10</v>
      </c>
      <c r="AW84" s="16">
        <f t="shared" si="163"/>
        <v>30</v>
      </c>
      <c r="AX84" s="16">
        <f t="shared" si="164"/>
        <v>0</v>
      </c>
      <c r="AY84" s="16">
        <f t="shared" si="165"/>
        <v>0</v>
      </c>
      <c r="AZ84" s="21">
        <v>1100</v>
      </c>
      <c r="BA84" s="21">
        <v>100</v>
      </c>
      <c r="BB84" s="21">
        <v>0</v>
      </c>
      <c r="BC84" s="19">
        <f t="shared" si="166"/>
        <v>1100</v>
      </c>
      <c r="BD84" s="19">
        <f t="shared" si="167"/>
        <v>100</v>
      </c>
      <c r="BE84" s="19">
        <f t="shared" si="168"/>
        <v>419</v>
      </c>
      <c r="BF84" s="19">
        <f t="shared" si="169"/>
        <v>0</v>
      </c>
      <c r="BG84" s="19">
        <f t="shared" si="170"/>
        <v>0</v>
      </c>
      <c r="BH84" s="19">
        <f t="shared" si="171"/>
        <v>0</v>
      </c>
      <c r="BI84" s="19">
        <v>95</v>
      </c>
      <c r="BJ84" s="19">
        <f t="shared" si="172"/>
        <v>1714</v>
      </c>
      <c r="BK84" s="19">
        <v>0</v>
      </c>
      <c r="BL84" s="19">
        <v>0</v>
      </c>
      <c r="BM84" s="19">
        <f t="shared" si="173"/>
        <v>0</v>
      </c>
      <c r="BN84" s="19">
        <f t="shared" si="174"/>
        <v>1714</v>
      </c>
      <c r="BO84" s="19">
        <v>0</v>
      </c>
      <c r="BP84" s="19">
        <v>0</v>
      </c>
      <c r="BQ84" s="22">
        <f t="shared" si="175"/>
        <v>1714</v>
      </c>
      <c r="BR84" s="82">
        <f t="shared" si="176"/>
        <v>0</v>
      </c>
      <c r="BS84" s="19">
        <f t="shared" si="177"/>
        <v>0</v>
      </c>
      <c r="BT84" s="19">
        <f t="shared" si="178"/>
        <v>0</v>
      </c>
      <c r="BU84" s="19">
        <f t="shared" si="179"/>
        <v>0</v>
      </c>
      <c r="BV84" s="19">
        <f t="shared" si="180"/>
        <v>0</v>
      </c>
      <c r="BW84" s="19">
        <f t="shared" si="181"/>
        <v>0</v>
      </c>
      <c r="BX84" s="19">
        <f t="shared" si="182"/>
        <v>22</v>
      </c>
      <c r="BY84" s="19">
        <f t="shared" si="183"/>
        <v>44</v>
      </c>
      <c r="BZ84" s="19">
        <f t="shared" si="184"/>
        <v>0</v>
      </c>
      <c r="CA84" s="19">
        <f t="shared" si="185"/>
        <v>0</v>
      </c>
      <c r="CB84" s="19">
        <f t="shared" si="186"/>
        <v>2</v>
      </c>
      <c r="CC84" s="19">
        <f t="shared" si="187"/>
        <v>6</v>
      </c>
      <c r="CD84" s="19">
        <f t="shared" si="188"/>
        <v>0</v>
      </c>
      <c r="CE84" s="19">
        <f t="shared" si="189"/>
        <v>0</v>
      </c>
      <c r="CF84" s="19">
        <f t="shared" si="190"/>
        <v>1</v>
      </c>
      <c r="CG84" s="19">
        <f t="shared" si="191"/>
        <v>4</v>
      </c>
      <c r="CH84" s="19">
        <f t="shared" si="192"/>
        <v>0</v>
      </c>
      <c r="CI84" s="19">
        <f t="shared" si="193"/>
        <v>0</v>
      </c>
      <c r="CJ84" s="19">
        <f t="shared" si="194"/>
        <v>0</v>
      </c>
      <c r="CK84" s="19">
        <f t="shared" si="195"/>
        <v>0</v>
      </c>
      <c r="CL84" s="19">
        <f t="shared" si="196"/>
        <v>0</v>
      </c>
      <c r="CM84" s="19">
        <f t="shared" si="197"/>
        <v>0</v>
      </c>
      <c r="CN84" s="19">
        <f t="shared" si="198"/>
        <v>0</v>
      </c>
      <c r="CO84" s="19">
        <f t="shared" si="199"/>
        <v>0</v>
      </c>
      <c r="CP84" s="19">
        <f t="shared" si="200"/>
        <v>0</v>
      </c>
      <c r="CQ84" s="19">
        <f t="shared" si="201"/>
        <v>0</v>
      </c>
      <c r="CR84" s="19">
        <f t="shared" si="202"/>
        <v>0</v>
      </c>
      <c r="CS84" s="19">
        <f t="shared" si="203"/>
        <v>0</v>
      </c>
      <c r="CT84" s="19">
        <f t="shared" si="204"/>
        <v>0</v>
      </c>
      <c r="CU84" s="19">
        <f t="shared" si="205"/>
        <v>0</v>
      </c>
      <c r="CV84" s="19">
        <f t="shared" si="206"/>
        <v>0</v>
      </c>
      <c r="CW84" s="19">
        <f t="shared" si="207"/>
        <v>0</v>
      </c>
      <c r="CX84" s="19">
        <f t="shared" si="208"/>
        <v>0</v>
      </c>
      <c r="CY84" s="19">
        <f t="shared" si="209"/>
        <v>0</v>
      </c>
      <c r="CZ84" s="19">
        <f t="shared" si="210"/>
        <v>0</v>
      </c>
      <c r="DA84" s="19">
        <f t="shared" si="211"/>
        <v>0</v>
      </c>
      <c r="DB84" s="19">
        <f t="shared" si="212"/>
        <v>0</v>
      </c>
      <c r="DC84" s="19">
        <f t="shared" si="213"/>
        <v>0</v>
      </c>
      <c r="DD84" s="19">
        <f t="shared" si="214"/>
        <v>0</v>
      </c>
      <c r="DE84" s="19">
        <f t="shared" si="215"/>
        <v>0</v>
      </c>
      <c r="DF84" s="19">
        <f t="shared" si="216"/>
        <v>0</v>
      </c>
      <c r="DG84" s="19">
        <f t="shared" si="217"/>
        <v>0</v>
      </c>
      <c r="DH84" s="19">
        <f t="shared" si="218"/>
        <v>0</v>
      </c>
      <c r="DI84" s="19">
        <f t="shared" si="219"/>
        <v>0</v>
      </c>
      <c r="DJ84" s="19">
        <f t="shared" si="220"/>
        <v>0</v>
      </c>
      <c r="DK84" s="19">
        <f t="shared" si="221"/>
        <v>0</v>
      </c>
      <c r="DL84" s="19">
        <f t="shared" si="222"/>
        <v>0</v>
      </c>
      <c r="DM84" s="19">
        <f t="shared" si="223"/>
        <v>0</v>
      </c>
      <c r="DN84" s="19">
        <f t="shared" si="224"/>
        <v>0</v>
      </c>
      <c r="DO84" s="19">
        <f t="shared" si="225"/>
        <v>0</v>
      </c>
      <c r="DP84" s="19">
        <f t="shared" si="226"/>
        <v>0</v>
      </c>
      <c r="DQ84" s="19">
        <f t="shared" si="227"/>
        <v>0</v>
      </c>
      <c r="DR84" s="19">
        <f t="shared" si="228"/>
        <v>0</v>
      </c>
      <c r="DS84" s="19">
        <f t="shared" si="229"/>
        <v>0</v>
      </c>
      <c r="DT84" s="19">
        <f t="shared" si="230"/>
        <v>0</v>
      </c>
      <c r="DU84" s="19">
        <f t="shared" si="231"/>
        <v>0</v>
      </c>
      <c r="DV84" s="19">
        <f t="shared" si="232"/>
        <v>0</v>
      </c>
      <c r="DW84" s="19">
        <f t="shared" si="233"/>
        <v>0</v>
      </c>
      <c r="DX84" s="19">
        <f t="shared" si="234"/>
        <v>0</v>
      </c>
      <c r="DY84" s="19">
        <f t="shared" si="235"/>
        <v>0</v>
      </c>
      <c r="DZ84" s="19">
        <f t="shared" si="236"/>
        <v>0</v>
      </c>
      <c r="EA84" s="19">
        <f t="shared" si="237"/>
        <v>0</v>
      </c>
      <c r="EB84" s="19">
        <f t="shared" si="238"/>
        <v>0</v>
      </c>
      <c r="EC84" s="19">
        <f t="shared" si="239"/>
        <v>0</v>
      </c>
    </row>
    <row r="85" spans="1:133" s="78" customFormat="1" ht="18" customHeight="1" x14ac:dyDescent="0.25">
      <c r="A85" s="15">
        <v>82</v>
      </c>
      <c r="B85" s="108" t="s">
        <v>532</v>
      </c>
      <c r="C85" s="74" t="s">
        <v>508</v>
      </c>
      <c r="D85" s="16" t="s">
        <v>61</v>
      </c>
      <c r="E85" s="18">
        <v>45776</v>
      </c>
      <c r="F85" s="19">
        <v>13</v>
      </c>
      <c r="G85" s="19">
        <v>12</v>
      </c>
      <c r="H85" s="19">
        <v>12</v>
      </c>
      <c r="I85" s="19">
        <v>12</v>
      </c>
      <c r="J85" s="19" t="s">
        <v>603</v>
      </c>
      <c r="K85" s="19">
        <v>12</v>
      </c>
      <c r="L85" s="19" t="s">
        <v>15</v>
      </c>
      <c r="M85" s="19">
        <v>10</v>
      </c>
      <c r="N85" s="19">
        <v>12</v>
      </c>
      <c r="O85" s="19">
        <v>10</v>
      </c>
      <c r="P85" s="19">
        <v>10</v>
      </c>
      <c r="Q85" s="19">
        <v>10</v>
      </c>
      <c r="R85" s="19">
        <v>10</v>
      </c>
      <c r="S85" s="19" t="s">
        <v>15</v>
      </c>
      <c r="T85" s="19">
        <v>10</v>
      </c>
      <c r="U85" s="19">
        <v>10</v>
      </c>
      <c r="V85" s="19">
        <v>10</v>
      </c>
      <c r="W85" s="19">
        <v>10</v>
      </c>
      <c r="X85" s="19">
        <v>10</v>
      </c>
      <c r="Y85" s="19">
        <v>10</v>
      </c>
      <c r="Z85" s="19" t="s">
        <v>15</v>
      </c>
      <c r="AA85" s="19">
        <v>10</v>
      </c>
      <c r="AB85" s="19">
        <v>10</v>
      </c>
      <c r="AC85" s="19">
        <v>10</v>
      </c>
      <c r="AD85" s="19">
        <v>10</v>
      </c>
      <c r="AE85" s="19">
        <v>12</v>
      </c>
      <c r="AF85" s="19">
        <v>11</v>
      </c>
      <c r="AG85" s="19" t="s">
        <v>15</v>
      </c>
      <c r="AH85" s="19">
        <v>11</v>
      </c>
      <c r="AI85" s="19">
        <v>11</v>
      </c>
      <c r="AJ85" s="19">
        <v>0</v>
      </c>
      <c r="AK85" s="19">
        <v>0</v>
      </c>
      <c r="AL85" s="19">
        <v>10</v>
      </c>
      <c r="AM85" s="19">
        <v>10</v>
      </c>
      <c r="AN85" s="19">
        <v>0</v>
      </c>
      <c r="AO85" s="19">
        <v>12</v>
      </c>
      <c r="AP85" s="19"/>
      <c r="AQ85" s="19"/>
      <c r="AR85" s="19"/>
      <c r="AS85" s="19">
        <v>0</v>
      </c>
      <c r="AT85" s="19">
        <f t="shared" si="160"/>
        <v>68</v>
      </c>
      <c r="AU85" s="19">
        <f t="shared" si="161"/>
        <v>20</v>
      </c>
      <c r="AV85" s="19">
        <f t="shared" si="162"/>
        <v>12</v>
      </c>
      <c r="AW85" s="16">
        <f t="shared" si="163"/>
        <v>30</v>
      </c>
      <c r="AX85" s="16">
        <f t="shared" si="164"/>
        <v>0</v>
      </c>
      <c r="AY85" s="16">
        <f t="shared" si="165"/>
        <v>0</v>
      </c>
      <c r="AZ85" s="21">
        <v>1100</v>
      </c>
      <c r="BA85" s="21">
        <v>100</v>
      </c>
      <c r="BB85" s="21">
        <v>0</v>
      </c>
      <c r="BC85" s="19">
        <f t="shared" si="166"/>
        <v>1100</v>
      </c>
      <c r="BD85" s="19">
        <f t="shared" si="167"/>
        <v>100</v>
      </c>
      <c r="BE85" s="19">
        <f t="shared" si="168"/>
        <v>610</v>
      </c>
      <c r="BF85" s="19">
        <f t="shared" si="169"/>
        <v>0</v>
      </c>
      <c r="BG85" s="19">
        <f t="shared" si="170"/>
        <v>0</v>
      </c>
      <c r="BH85" s="19">
        <f t="shared" si="171"/>
        <v>0</v>
      </c>
      <c r="BI85" s="19">
        <v>95</v>
      </c>
      <c r="BJ85" s="19">
        <f t="shared" si="172"/>
        <v>1905</v>
      </c>
      <c r="BK85" s="19">
        <v>0</v>
      </c>
      <c r="BL85" s="19">
        <v>0</v>
      </c>
      <c r="BM85" s="19">
        <f t="shared" si="173"/>
        <v>0</v>
      </c>
      <c r="BN85" s="19">
        <f t="shared" si="174"/>
        <v>1905</v>
      </c>
      <c r="BO85" s="19">
        <v>0</v>
      </c>
      <c r="BP85" s="19">
        <v>0</v>
      </c>
      <c r="BQ85" s="22">
        <f t="shared" si="175"/>
        <v>1905</v>
      </c>
      <c r="BR85" s="82">
        <f t="shared" si="176"/>
        <v>0</v>
      </c>
      <c r="BS85" s="19">
        <f t="shared" si="177"/>
        <v>0</v>
      </c>
      <c r="BT85" s="19">
        <f t="shared" si="178"/>
        <v>0</v>
      </c>
      <c r="BU85" s="19">
        <f t="shared" si="179"/>
        <v>0</v>
      </c>
      <c r="BV85" s="19">
        <f t="shared" si="180"/>
        <v>0</v>
      </c>
      <c r="BW85" s="19">
        <f t="shared" si="181"/>
        <v>0</v>
      </c>
      <c r="BX85" s="19">
        <f t="shared" si="182"/>
        <v>15</v>
      </c>
      <c r="BY85" s="19">
        <f t="shared" si="183"/>
        <v>30</v>
      </c>
      <c r="BZ85" s="19">
        <f t="shared" si="184"/>
        <v>0</v>
      </c>
      <c r="CA85" s="19">
        <f t="shared" si="185"/>
        <v>0</v>
      </c>
      <c r="CB85" s="19">
        <f t="shared" si="186"/>
        <v>3</v>
      </c>
      <c r="CC85" s="19">
        <f t="shared" si="187"/>
        <v>9</v>
      </c>
      <c r="CD85" s="19">
        <f t="shared" si="188"/>
        <v>0</v>
      </c>
      <c r="CE85" s="19">
        <f t="shared" si="189"/>
        <v>0</v>
      </c>
      <c r="CF85" s="19">
        <f t="shared" si="190"/>
        <v>6</v>
      </c>
      <c r="CG85" s="19">
        <f t="shared" si="191"/>
        <v>24</v>
      </c>
      <c r="CH85" s="19">
        <f t="shared" si="192"/>
        <v>0</v>
      </c>
      <c r="CI85" s="19">
        <f t="shared" si="193"/>
        <v>0</v>
      </c>
      <c r="CJ85" s="19">
        <f t="shared" si="194"/>
        <v>1</v>
      </c>
      <c r="CK85" s="19">
        <f t="shared" si="195"/>
        <v>5</v>
      </c>
      <c r="CL85" s="19">
        <f t="shared" si="196"/>
        <v>0</v>
      </c>
      <c r="CM85" s="19">
        <f t="shared" si="197"/>
        <v>0</v>
      </c>
      <c r="CN85" s="19">
        <f t="shared" si="198"/>
        <v>0</v>
      </c>
      <c r="CO85" s="19">
        <f t="shared" si="199"/>
        <v>0</v>
      </c>
      <c r="CP85" s="19">
        <f t="shared" si="200"/>
        <v>0</v>
      </c>
      <c r="CQ85" s="19">
        <f t="shared" si="201"/>
        <v>0</v>
      </c>
      <c r="CR85" s="19">
        <f t="shared" si="202"/>
        <v>0</v>
      </c>
      <c r="CS85" s="19">
        <f t="shared" si="203"/>
        <v>0</v>
      </c>
      <c r="CT85" s="19">
        <f t="shared" si="204"/>
        <v>0</v>
      </c>
      <c r="CU85" s="19">
        <f t="shared" si="205"/>
        <v>0</v>
      </c>
      <c r="CV85" s="19">
        <f t="shared" si="206"/>
        <v>0</v>
      </c>
      <c r="CW85" s="19">
        <f t="shared" si="207"/>
        <v>0</v>
      </c>
      <c r="CX85" s="19">
        <f t="shared" si="208"/>
        <v>0</v>
      </c>
      <c r="CY85" s="19">
        <f t="shared" si="209"/>
        <v>0</v>
      </c>
      <c r="CZ85" s="19">
        <f t="shared" si="210"/>
        <v>0</v>
      </c>
      <c r="DA85" s="19">
        <f t="shared" si="211"/>
        <v>0</v>
      </c>
      <c r="DB85" s="19">
        <f t="shared" si="212"/>
        <v>0</v>
      </c>
      <c r="DC85" s="19">
        <f t="shared" si="213"/>
        <v>0</v>
      </c>
      <c r="DD85" s="19">
        <f t="shared" si="214"/>
        <v>0</v>
      </c>
      <c r="DE85" s="19">
        <f t="shared" si="215"/>
        <v>0</v>
      </c>
      <c r="DF85" s="19">
        <f t="shared" si="216"/>
        <v>0</v>
      </c>
      <c r="DG85" s="19">
        <f t="shared" si="217"/>
        <v>0</v>
      </c>
      <c r="DH85" s="19">
        <f t="shared" si="218"/>
        <v>0</v>
      </c>
      <c r="DI85" s="19">
        <f t="shared" si="219"/>
        <v>0</v>
      </c>
      <c r="DJ85" s="19">
        <f t="shared" si="220"/>
        <v>0</v>
      </c>
      <c r="DK85" s="19">
        <f t="shared" si="221"/>
        <v>0</v>
      </c>
      <c r="DL85" s="19">
        <f t="shared" si="222"/>
        <v>0</v>
      </c>
      <c r="DM85" s="19">
        <f t="shared" si="223"/>
        <v>0</v>
      </c>
      <c r="DN85" s="19">
        <f t="shared" si="224"/>
        <v>0</v>
      </c>
      <c r="DO85" s="19">
        <f t="shared" si="225"/>
        <v>0</v>
      </c>
      <c r="DP85" s="19">
        <f t="shared" si="226"/>
        <v>0</v>
      </c>
      <c r="DQ85" s="19">
        <f t="shared" si="227"/>
        <v>0</v>
      </c>
      <c r="DR85" s="19">
        <f t="shared" si="228"/>
        <v>0</v>
      </c>
      <c r="DS85" s="19">
        <f t="shared" si="229"/>
        <v>0</v>
      </c>
      <c r="DT85" s="19">
        <f t="shared" si="230"/>
        <v>0</v>
      </c>
      <c r="DU85" s="19">
        <f t="shared" si="231"/>
        <v>0</v>
      </c>
      <c r="DV85" s="19">
        <f t="shared" si="232"/>
        <v>0</v>
      </c>
      <c r="DW85" s="19">
        <f t="shared" si="233"/>
        <v>0</v>
      </c>
      <c r="DX85" s="19">
        <f t="shared" si="234"/>
        <v>0</v>
      </c>
      <c r="DY85" s="19">
        <f t="shared" si="235"/>
        <v>0</v>
      </c>
      <c r="DZ85" s="19">
        <f t="shared" si="236"/>
        <v>0</v>
      </c>
      <c r="EA85" s="19">
        <f t="shared" si="237"/>
        <v>0</v>
      </c>
      <c r="EB85" s="19">
        <f t="shared" si="238"/>
        <v>0</v>
      </c>
      <c r="EC85" s="19">
        <f t="shared" si="239"/>
        <v>0</v>
      </c>
    </row>
    <row r="86" spans="1:133" s="78" customFormat="1" ht="18" customHeight="1" x14ac:dyDescent="0.25">
      <c r="A86" s="15">
        <v>83</v>
      </c>
      <c r="B86" s="108" t="s">
        <v>533</v>
      </c>
      <c r="C86" s="74" t="s">
        <v>538</v>
      </c>
      <c r="D86" s="16" t="s">
        <v>61</v>
      </c>
      <c r="E86" s="18">
        <v>45777</v>
      </c>
      <c r="F86" s="19">
        <v>10.5</v>
      </c>
      <c r="G86" s="19">
        <v>10.5</v>
      </c>
      <c r="H86" s="19">
        <v>10.5</v>
      </c>
      <c r="I86" s="19">
        <v>10.5</v>
      </c>
      <c r="J86" s="19" t="s">
        <v>603</v>
      </c>
      <c r="K86" s="19">
        <v>10.5</v>
      </c>
      <c r="L86" s="19" t="s">
        <v>15</v>
      </c>
      <c r="M86" s="19">
        <v>10.5</v>
      </c>
      <c r="N86" s="19">
        <v>10.5</v>
      </c>
      <c r="O86" s="19">
        <v>10.5</v>
      </c>
      <c r="P86" s="19">
        <v>10.5</v>
      </c>
      <c r="Q86" s="19">
        <v>10.5</v>
      </c>
      <c r="R86" s="19">
        <v>10.5</v>
      </c>
      <c r="S86" s="19" t="s">
        <v>15</v>
      </c>
      <c r="T86" s="19">
        <v>10</v>
      </c>
      <c r="U86" s="19">
        <v>10.5</v>
      </c>
      <c r="V86" s="19">
        <v>10.5</v>
      </c>
      <c r="W86" s="19">
        <v>10.5</v>
      </c>
      <c r="X86" s="19">
        <v>10.5</v>
      </c>
      <c r="Y86" s="19">
        <v>10.5</v>
      </c>
      <c r="Z86" s="19" t="s">
        <v>15</v>
      </c>
      <c r="AA86" s="19">
        <v>10.5</v>
      </c>
      <c r="AB86" s="19">
        <v>10.5</v>
      </c>
      <c r="AC86" s="19">
        <v>10.5</v>
      </c>
      <c r="AD86" s="19">
        <v>10.5</v>
      </c>
      <c r="AE86" s="19">
        <v>10.5</v>
      </c>
      <c r="AF86" s="19">
        <v>10.5</v>
      </c>
      <c r="AG86" s="19" t="s">
        <v>15</v>
      </c>
      <c r="AH86" s="19">
        <v>10.5</v>
      </c>
      <c r="AI86" s="19">
        <v>10.5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10.5</v>
      </c>
      <c r="AP86" s="19"/>
      <c r="AQ86" s="19"/>
      <c r="AR86" s="19"/>
      <c r="AS86" s="19">
        <v>0</v>
      </c>
      <c r="AT86" s="19">
        <f t="shared" si="160"/>
        <v>62</v>
      </c>
      <c r="AU86" s="19">
        <f t="shared" si="161"/>
        <v>0</v>
      </c>
      <c r="AV86" s="19">
        <f t="shared" si="162"/>
        <v>10.5</v>
      </c>
      <c r="AW86" s="16">
        <f t="shared" si="163"/>
        <v>30</v>
      </c>
      <c r="AX86" s="16">
        <f t="shared" si="164"/>
        <v>0</v>
      </c>
      <c r="AY86" s="16">
        <f t="shared" si="165"/>
        <v>0</v>
      </c>
      <c r="AZ86" s="21">
        <v>1050</v>
      </c>
      <c r="BA86" s="21">
        <v>100</v>
      </c>
      <c r="BB86" s="21">
        <v>0</v>
      </c>
      <c r="BC86" s="19">
        <f t="shared" si="166"/>
        <v>1050</v>
      </c>
      <c r="BD86" s="19">
        <f t="shared" si="167"/>
        <v>100</v>
      </c>
      <c r="BE86" s="19">
        <f t="shared" si="168"/>
        <v>408</v>
      </c>
      <c r="BF86" s="19">
        <f t="shared" si="169"/>
        <v>0</v>
      </c>
      <c r="BG86" s="19">
        <f t="shared" si="170"/>
        <v>0</v>
      </c>
      <c r="BH86" s="19">
        <f t="shared" si="171"/>
        <v>0</v>
      </c>
      <c r="BI86" s="19">
        <v>95</v>
      </c>
      <c r="BJ86" s="19">
        <f t="shared" si="172"/>
        <v>1653</v>
      </c>
      <c r="BK86" s="19">
        <v>0</v>
      </c>
      <c r="BL86" s="19">
        <v>0</v>
      </c>
      <c r="BM86" s="19">
        <f t="shared" si="173"/>
        <v>0</v>
      </c>
      <c r="BN86" s="19">
        <f t="shared" si="174"/>
        <v>1653</v>
      </c>
      <c r="BO86" s="19">
        <v>0</v>
      </c>
      <c r="BP86" s="19">
        <v>0</v>
      </c>
      <c r="BQ86" s="22">
        <f t="shared" si="175"/>
        <v>1653</v>
      </c>
      <c r="BR86" s="82">
        <f t="shared" si="176"/>
        <v>0</v>
      </c>
      <c r="BS86" s="19">
        <f t="shared" si="177"/>
        <v>0</v>
      </c>
      <c r="BT86" s="19">
        <f t="shared" si="178"/>
        <v>0</v>
      </c>
      <c r="BU86" s="19">
        <f t="shared" si="179"/>
        <v>0</v>
      </c>
      <c r="BV86" s="19">
        <f t="shared" si="180"/>
        <v>0</v>
      </c>
      <c r="BW86" s="19">
        <f t="shared" si="181"/>
        <v>0</v>
      </c>
      <c r="BX86" s="19">
        <f t="shared" si="182"/>
        <v>1</v>
      </c>
      <c r="BY86" s="19">
        <f t="shared" si="183"/>
        <v>2</v>
      </c>
      <c r="BZ86" s="19">
        <f t="shared" si="184"/>
        <v>24</v>
      </c>
      <c r="CA86" s="19">
        <f t="shared" si="185"/>
        <v>60</v>
      </c>
      <c r="CB86" s="19">
        <f t="shared" si="186"/>
        <v>0</v>
      </c>
      <c r="CC86" s="19">
        <f t="shared" si="187"/>
        <v>0</v>
      </c>
      <c r="CD86" s="19">
        <f t="shared" si="188"/>
        <v>0</v>
      </c>
      <c r="CE86" s="19">
        <f t="shared" si="189"/>
        <v>0</v>
      </c>
      <c r="CF86" s="19">
        <f t="shared" si="190"/>
        <v>0</v>
      </c>
      <c r="CG86" s="19">
        <f t="shared" si="191"/>
        <v>0</v>
      </c>
      <c r="CH86" s="19">
        <f t="shared" si="192"/>
        <v>0</v>
      </c>
      <c r="CI86" s="19">
        <f t="shared" si="193"/>
        <v>0</v>
      </c>
      <c r="CJ86" s="19">
        <f t="shared" si="194"/>
        <v>0</v>
      </c>
      <c r="CK86" s="19">
        <f t="shared" si="195"/>
        <v>0</v>
      </c>
      <c r="CL86" s="19">
        <f t="shared" si="196"/>
        <v>0</v>
      </c>
      <c r="CM86" s="19">
        <f t="shared" si="197"/>
        <v>0</v>
      </c>
      <c r="CN86" s="19">
        <f t="shared" si="198"/>
        <v>0</v>
      </c>
      <c r="CO86" s="19">
        <f t="shared" si="199"/>
        <v>0</v>
      </c>
      <c r="CP86" s="19">
        <f t="shared" si="200"/>
        <v>0</v>
      </c>
      <c r="CQ86" s="19">
        <f t="shared" si="201"/>
        <v>0</v>
      </c>
      <c r="CR86" s="19">
        <f t="shared" si="202"/>
        <v>0</v>
      </c>
      <c r="CS86" s="19">
        <f t="shared" si="203"/>
        <v>0</v>
      </c>
      <c r="CT86" s="19">
        <f t="shared" si="204"/>
        <v>0</v>
      </c>
      <c r="CU86" s="19">
        <f t="shared" si="205"/>
        <v>0</v>
      </c>
      <c r="CV86" s="19">
        <f t="shared" si="206"/>
        <v>0</v>
      </c>
      <c r="CW86" s="19">
        <f t="shared" si="207"/>
        <v>0</v>
      </c>
      <c r="CX86" s="19">
        <f t="shared" si="208"/>
        <v>0</v>
      </c>
      <c r="CY86" s="19">
        <f t="shared" si="209"/>
        <v>0</v>
      </c>
      <c r="CZ86" s="19">
        <f t="shared" si="210"/>
        <v>0</v>
      </c>
      <c r="DA86" s="19">
        <f t="shared" si="211"/>
        <v>0</v>
      </c>
      <c r="DB86" s="19">
        <f t="shared" si="212"/>
        <v>0</v>
      </c>
      <c r="DC86" s="19">
        <f t="shared" si="213"/>
        <v>0</v>
      </c>
      <c r="DD86" s="19">
        <f t="shared" si="214"/>
        <v>0</v>
      </c>
      <c r="DE86" s="19">
        <f t="shared" si="215"/>
        <v>0</v>
      </c>
      <c r="DF86" s="19">
        <f t="shared" si="216"/>
        <v>0</v>
      </c>
      <c r="DG86" s="19">
        <f t="shared" si="217"/>
        <v>0</v>
      </c>
      <c r="DH86" s="19">
        <f t="shared" si="218"/>
        <v>0</v>
      </c>
      <c r="DI86" s="19">
        <f t="shared" si="219"/>
        <v>0</v>
      </c>
      <c r="DJ86" s="19">
        <f t="shared" si="220"/>
        <v>0</v>
      </c>
      <c r="DK86" s="19">
        <f t="shared" si="221"/>
        <v>0</v>
      </c>
      <c r="DL86" s="19">
        <f t="shared" si="222"/>
        <v>0</v>
      </c>
      <c r="DM86" s="19">
        <f t="shared" si="223"/>
        <v>0</v>
      </c>
      <c r="DN86" s="19">
        <f t="shared" si="224"/>
        <v>0</v>
      </c>
      <c r="DO86" s="19">
        <f t="shared" si="225"/>
        <v>0</v>
      </c>
      <c r="DP86" s="19">
        <f t="shared" si="226"/>
        <v>0</v>
      </c>
      <c r="DQ86" s="19">
        <f t="shared" si="227"/>
        <v>0</v>
      </c>
      <c r="DR86" s="19">
        <f t="shared" si="228"/>
        <v>0</v>
      </c>
      <c r="DS86" s="19">
        <f t="shared" si="229"/>
        <v>0</v>
      </c>
      <c r="DT86" s="19">
        <f t="shared" si="230"/>
        <v>0</v>
      </c>
      <c r="DU86" s="19">
        <f t="shared" si="231"/>
        <v>0</v>
      </c>
      <c r="DV86" s="19">
        <f t="shared" si="232"/>
        <v>0</v>
      </c>
      <c r="DW86" s="19">
        <f t="shared" si="233"/>
        <v>0</v>
      </c>
      <c r="DX86" s="19">
        <f t="shared" si="234"/>
        <v>0</v>
      </c>
      <c r="DY86" s="19">
        <f t="shared" si="235"/>
        <v>0</v>
      </c>
      <c r="DZ86" s="19">
        <f t="shared" si="236"/>
        <v>0</v>
      </c>
      <c r="EA86" s="19">
        <f t="shared" si="237"/>
        <v>0</v>
      </c>
      <c r="EB86" s="19">
        <f t="shared" si="238"/>
        <v>0</v>
      </c>
      <c r="EC86" s="19">
        <f t="shared" si="239"/>
        <v>0</v>
      </c>
    </row>
    <row r="87" spans="1:133" s="78" customFormat="1" ht="18" customHeight="1" x14ac:dyDescent="0.25">
      <c r="A87" s="15">
        <v>84</v>
      </c>
      <c r="B87" s="108" t="s">
        <v>534</v>
      </c>
      <c r="C87" s="74" t="s">
        <v>539</v>
      </c>
      <c r="D87" s="16" t="s">
        <v>61</v>
      </c>
      <c r="E87" s="18">
        <v>45777</v>
      </c>
      <c r="F87" s="19">
        <v>10</v>
      </c>
      <c r="G87" s="19">
        <v>12</v>
      </c>
      <c r="H87" s="19">
        <v>12</v>
      </c>
      <c r="I87" s="19">
        <v>12</v>
      </c>
      <c r="J87" s="19" t="s">
        <v>603</v>
      </c>
      <c r="K87" s="19">
        <v>10</v>
      </c>
      <c r="L87" s="19" t="s">
        <v>15</v>
      </c>
      <c r="M87" s="19">
        <v>12</v>
      </c>
      <c r="N87" s="19">
        <v>12</v>
      </c>
      <c r="O87" s="19">
        <v>12</v>
      </c>
      <c r="P87" s="19">
        <v>12</v>
      </c>
      <c r="Q87" s="19">
        <v>12</v>
      </c>
      <c r="R87" s="19">
        <v>12</v>
      </c>
      <c r="S87" s="19" t="s">
        <v>15</v>
      </c>
      <c r="T87" s="19">
        <v>12</v>
      </c>
      <c r="U87" s="19">
        <v>10</v>
      </c>
      <c r="V87" s="19">
        <v>10</v>
      </c>
      <c r="W87" s="19">
        <v>10</v>
      </c>
      <c r="X87" s="19">
        <v>10</v>
      </c>
      <c r="Y87" s="19">
        <v>10</v>
      </c>
      <c r="Z87" s="19" t="s">
        <v>15</v>
      </c>
      <c r="AA87" s="19">
        <v>10</v>
      </c>
      <c r="AB87" s="19">
        <v>10</v>
      </c>
      <c r="AC87" s="19">
        <v>10</v>
      </c>
      <c r="AD87" s="19">
        <v>10</v>
      </c>
      <c r="AE87" s="19">
        <v>10</v>
      </c>
      <c r="AF87" s="19">
        <v>10</v>
      </c>
      <c r="AG87" s="19" t="s">
        <v>15</v>
      </c>
      <c r="AH87" s="19">
        <v>10</v>
      </c>
      <c r="AI87" s="19">
        <v>10</v>
      </c>
      <c r="AJ87" s="19">
        <v>11</v>
      </c>
      <c r="AK87" s="19">
        <v>11</v>
      </c>
      <c r="AL87" s="19">
        <v>0</v>
      </c>
      <c r="AM87" s="19">
        <v>10</v>
      </c>
      <c r="AN87" s="19">
        <v>0</v>
      </c>
      <c r="AO87" s="19">
        <v>10</v>
      </c>
      <c r="AP87" s="19"/>
      <c r="AQ87" s="19"/>
      <c r="AR87" s="19"/>
      <c r="AS87" s="19">
        <v>0</v>
      </c>
      <c r="AT87" s="19">
        <f t="shared" si="160"/>
        <v>70</v>
      </c>
      <c r="AU87" s="19">
        <f t="shared" si="161"/>
        <v>32</v>
      </c>
      <c r="AV87" s="19">
        <f t="shared" si="162"/>
        <v>10</v>
      </c>
      <c r="AW87" s="16">
        <f t="shared" si="163"/>
        <v>30</v>
      </c>
      <c r="AX87" s="16">
        <f t="shared" si="164"/>
        <v>0</v>
      </c>
      <c r="AY87" s="16">
        <f t="shared" si="165"/>
        <v>0</v>
      </c>
      <c r="AZ87" s="21">
        <v>900</v>
      </c>
      <c r="BA87" s="21">
        <v>100</v>
      </c>
      <c r="BB87" s="21">
        <v>0</v>
      </c>
      <c r="BC87" s="19">
        <f t="shared" si="166"/>
        <v>900</v>
      </c>
      <c r="BD87" s="19">
        <f t="shared" si="167"/>
        <v>100</v>
      </c>
      <c r="BE87" s="19">
        <f t="shared" si="168"/>
        <v>564</v>
      </c>
      <c r="BF87" s="19">
        <f t="shared" si="169"/>
        <v>0</v>
      </c>
      <c r="BG87" s="19">
        <f t="shared" si="170"/>
        <v>0</v>
      </c>
      <c r="BH87" s="19">
        <f t="shared" si="171"/>
        <v>0</v>
      </c>
      <c r="BI87" s="19">
        <v>95</v>
      </c>
      <c r="BJ87" s="19">
        <f t="shared" si="172"/>
        <v>1659</v>
      </c>
      <c r="BK87" s="19">
        <v>0</v>
      </c>
      <c r="BL87" s="19">
        <v>0</v>
      </c>
      <c r="BM87" s="19">
        <f t="shared" si="173"/>
        <v>0</v>
      </c>
      <c r="BN87" s="19">
        <f t="shared" si="174"/>
        <v>1659</v>
      </c>
      <c r="BO87" s="19">
        <v>0</v>
      </c>
      <c r="BP87" s="19">
        <v>0</v>
      </c>
      <c r="BQ87" s="22">
        <f t="shared" si="175"/>
        <v>1659</v>
      </c>
      <c r="BR87" s="82">
        <f t="shared" si="176"/>
        <v>0</v>
      </c>
      <c r="BS87" s="19">
        <f t="shared" si="177"/>
        <v>0</v>
      </c>
      <c r="BT87" s="19">
        <f t="shared" si="178"/>
        <v>0</v>
      </c>
      <c r="BU87" s="19">
        <f t="shared" si="179"/>
        <v>0</v>
      </c>
      <c r="BV87" s="19">
        <f t="shared" si="180"/>
        <v>0</v>
      </c>
      <c r="BW87" s="19">
        <f t="shared" si="181"/>
        <v>0</v>
      </c>
      <c r="BX87" s="19">
        <f t="shared" si="182"/>
        <v>15</v>
      </c>
      <c r="BY87" s="19">
        <f t="shared" si="183"/>
        <v>30</v>
      </c>
      <c r="BZ87" s="19">
        <f t="shared" si="184"/>
        <v>0</v>
      </c>
      <c r="CA87" s="19">
        <f t="shared" si="185"/>
        <v>0</v>
      </c>
      <c r="CB87" s="19">
        <f t="shared" si="186"/>
        <v>0</v>
      </c>
      <c r="CC87" s="19">
        <f t="shared" si="187"/>
        <v>0</v>
      </c>
      <c r="CD87" s="19">
        <f t="shared" si="188"/>
        <v>0</v>
      </c>
      <c r="CE87" s="19">
        <f t="shared" si="189"/>
        <v>0</v>
      </c>
      <c r="CF87" s="19">
        <f t="shared" si="190"/>
        <v>10</v>
      </c>
      <c r="CG87" s="19">
        <f t="shared" si="191"/>
        <v>40</v>
      </c>
      <c r="CH87" s="19">
        <f t="shared" si="192"/>
        <v>0</v>
      </c>
      <c r="CI87" s="19">
        <f t="shared" si="193"/>
        <v>0</v>
      </c>
      <c r="CJ87" s="19">
        <f t="shared" si="194"/>
        <v>0</v>
      </c>
      <c r="CK87" s="19">
        <f t="shared" si="195"/>
        <v>0</v>
      </c>
      <c r="CL87" s="19">
        <f t="shared" si="196"/>
        <v>0</v>
      </c>
      <c r="CM87" s="19">
        <f t="shared" si="197"/>
        <v>0</v>
      </c>
      <c r="CN87" s="19">
        <f t="shared" si="198"/>
        <v>0</v>
      </c>
      <c r="CO87" s="19">
        <f t="shared" si="199"/>
        <v>0</v>
      </c>
      <c r="CP87" s="19">
        <f t="shared" si="200"/>
        <v>0</v>
      </c>
      <c r="CQ87" s="19">
        <f t="shared" si="201"/>
        <v>0</v>
      </c>
      <c r="CR87" s="19">
        <f t="shared" si="202"/>
        <v>0</v>
      </c>
      <c r="CS87" s="19">
        <f t="shared" si="203"/>
        <v>0</v>
      </c>
      <c r="CT87" s="19">
        <f t="shared" si="204"/>
        <v>0</v>
      </c>
      <c r="CU87" s="19">
        <f t="shared" si="205"/>
        <v>0</v>
      </c>
      <c r="CV87" s="19">
        <f t="shared" si="206"/>
        <v>0</v>
      </c>
      <c r="CW87" s="19">
        <f t="shared" si="207"/>
        <v>0</v>
      </c>
      <c r="CX87" s="19">
        <f t="shared" si="208"/>
        <v>0</v>
      </c>
      <c r="CY87" s="19">
        <f t="shared" si="209"/>
        <v>0</v>
      </c>
      <c r="CZ87" s="19">
        <f t="shared" si="210"/>
        <v>0</v>
      </c>
      <c r="DA87" s="19">
        <f t="shared" si="211"/>
        <v>0</v>
      </c>
      <c r="DB87" s="19">
        <f t="shared" si="212"/>
        <v>0</v>
      </c>
      <c r="DC87" s="19">
        <f t="shared" si="213"/>
        <v>0</v>
      </c>
      <c r="DD87" s="19">
        <f t="shared" si="214"/>
        <v>0</v>
      </c>
      <c r="DE87" s="19">
        <f t="shared" si="215"/>
        <v>0</v>
      </c>
      <c r="DF87" s="19">
        <f t="shared" si="216"/>
        <v>0</v>
      </c>
      <c r="DG87" s="19">
        <f t="shared" si="217"/>
        <v>0</v>
      </c>
      <c r="DH87" s="19">
        <f t="shared" si="218"/>
        <v>0</v>
      </c>
      <c r="DI87" s="19">
        <f t="shared" si="219"/>
        <v>0</v>
      </c>
      <c r="DJ87" s="19">
        <f t="shared" si="220"/>
        <v>0</v>
      </c>
      <c r="DK87" s="19">
        <f t="shared" si="221"/>
        <v>0</v>
      </c>
      <c r="DL87" s="19">
        <f t="shared" si="222"/>
        <v>0</v>
      </c>
      <c r="DM87" s="19">
        <f t="shared" si="223"/>
        <v>0</v>
      </c>
      <c r="DN87" s="19">
        <f t="shared" si="224"/>
        <v>0</v>
      </c>
      <c r="DO87" s="19">
        <f t="shared" si="225"/>
        <v>0</v>
      </c>
      <c r="DP87" s="19">
        <f t="shared" si="226"/>
        <v>0</v>
      </c>
      <c r="DQ87" s="19">
        <f t="shared" si="227"/>
        <v>0</v>
      </c>
      <c r="DR87" s="19">
        <f t="shared" si="228"/>
        <v>0</v>
      </c>
      <c r="DS87" s="19">
        <f t="shared" si="229"/>
        <v>0</v>
      </c>
      <c r="DT87" s="19">
        <f t="shared" si="230"/>
        <v>0</v>
      </c>
      <c r="DU87" s="19">
        <f t="shared" si="231"/>
        <v>0</v>
      </c>
      <c r="DV87" s="19">
        <f t="shared" si="232"/>
        <v>0</v>
      </c>
      <c r="DW87" s="19">
        <f t="shared" si="233"/>
        <v>0</v>
      </c>
      <c r="DX87" s="19">
        <f t="shared" si="234"/>
        <v>0</v>
      </c>
      <c r="DY87" s="19">
        <f t="shared" si="235"/>
        <v>0</v>
      </c>
      <c r="DZ87" s="19">
        <f t="shared" si="236"/>
        <v>0</v>
      </c>
      <c r="EA87" s="19">
        <f t="shared" si="237"/>
        <v>0</v>
      </c>
      <c r="EB87" s="19">
        <f t="shared" si="238"/>
        <v>0</v>
      </c>
      <c r="EC87" s="19">
        <f t="shared" si="239"/>
        <v>0</v>
      </c>
    </row>
    <row r="88" spans="1:133" s="78" customFormat="1" ht="18" customHeight="1" x14ac:dyDescent="0.25">
      <c r="A88" s="15">
        <v>85</v>
      </c>
      <c r="B88" s="108" t="s">
        <v>535</v>
      </c>
      <c r="C88" s="74" t="s">
        <v>540</v>
      </c>
      <c r="D88" s="16" t="s">
        <v>61</v>
      </c>
      <c r="E88" s="18">
        <v>45777</v>
      </c>
      <c r="F88" s="19" t="s">
        <v>316</v>
      </c>
      <c r="G88" s="19">
        <v>10</v>
      </c>
      <c r="H88" s="19">
        <v>10</v>
      </c>
      <c r="I88" s="19">
        <v>10</v>
      </c>
      <c r="J88" s="19" t="s">
        <v>603</v>
      </c>
      <c r="K88" s="19">
        <v>10</v>
      </c>
      <c r="L88" s="19" t="s">
        <v>316</v>
      </c>
      <c r="M88" s="19">
        <v>10</v>
      </c>
      <c r="N88" s="19">
        <v>10</v>
      </c>
      <c r="O88" s="19">
        <v>12</v>
      </c>
      <c r="P88" s="19">
        <v>11</v>
      </c>
      <c r="Q88" s="19">
        <v>10</v>
      </c>
      <c r="R88" s="19">
        <v>10</v>
      </c>
      <c r="S88" s="19" t="s">
        <v>15</v>
      </c>
      <c r="T88" s="19">
        <v>10</v>
      </c>
      <c r="U88" s="19">
        <v>15</v>
      </c>
      <c r="V88" s="19">
        <v>10</v>
      </c>
      <c r="W88" s="19">
        <v>10</v>
      </c>
      <c r="X88" s="19">
        <v>10</v>
      </c>
      <c r="Y88" s="19">
        <v>10</v>
      </c>
      <c r="Z88" s="19" t="s">
        <v>15</v>
      </c>
      <c r="AA88" s="19">
        <v>10</v>
      </c>
      <c r="AB88" s="19">
        <v>10</v>
      </c>
      <c r="AC88" s="19">
        <v>10</v>
      </c>
      <c r="AD88" s="19">
        <v>10</v>
      </c>
      <c r="AE88" s="19">
        <v>10</v>
      </c>
      <c r="AF88" s="19">
        <v>16</v>
      </c>
      <c r="AG88" s="19" t="s">
        <v>15</v>
      </c>
      <c r="AH88" s="19">
        <v>10</v>
      </c>
      <c r="AI88" s="19">
        <v>10</v>
      </c>
      <c r="AJ88" s="19">
        <v>0</v>
      </c>
      <c r="AK88" s="19">
        <v>11</v>
      </c>
      <c r="AL88" s="19">
        <v>0</v>
      </c>
      <c r="AM88" s="19">
        <v>0</v>
      </c>
      <c r="AN88" s="19">
        <v>0</v>
      </c>
      <c r="AO88" s="19">
        <v>10</v>
      </c>
      <c r="AP88" s="19"/>
      <c r="AQ88" s="19"/>
      <c r="AR88" s="19"/>
      <c r="AS88" s="19">
        <v>0</v>
      </c>
      <c r="AT88" s="19">
        <f t="shared" si="160"/>
        <v>62</v>
      </c>
      <c r="AU88" s="19">
        <f t="shared" si="161"/>
        <v>11</v>
      </c>
      <c r="AV88" s="19">
        <f t="shared" si="162"/>
        <v>10</v>
      </c>
      <c r="AW88" s="16">
        <f t="shared" si="163"/>
        <v>28</v>
      </c>
      <c r="AX88" s="16">
        <f t="shared" si="164"/>
        <v>2</v>
      </c>
      <c r="AY88" s="16">
        <f t="shared" si="165"/>
        <v>0</v>
      </c>
      <c r="AZ88" s="21">
        <v>1050</v>
      </c>
      <c r="BA88" s="21">
        <v>100</v>
      </c>
      <c r="BB88" s="21">
        <v>0</v>
      </c>
      <c r="BC88" s="19">
        <f t="shared" si="166"/>
        <v>980</v>
      </c>
      <c r="BD88" s="19">
        <f t="shared" si="167"/>
        <v>93</v>
      </c>
      <c r="BE88" s="19">
        <f t="shared" si="168"/>
        <v>477</v>
      </c>
      <c r="BF88" s="19">
        <f t="shared" si="169"/>
        <v>0</v>
      </c>
      <c r="BG88" s="19">
        <f t="shared" si="170"/>
        <v>0</v>
      </c>
      <c r="BH88" s="19">
        <f t="shared" si="171"/>
        <v>0</v>
      </c>
      <c r="BI88" s="19">
        <v>0</v>
      </c>
      <c r="BJ88" s="19">
        <f t="shared" si="172"/>
        <v>1550</v>
      </c>
      <c r="BK88" s="19">
        <v>0</v>
      </c>
      <c r="BL88" s="19">
        <v>0</v>
      </c>
      <c r="BM88" s="19">
        <f t="shared" si="173"/>
        <v>0</v>
      </c>
      <c r="BN88" s="19">
        <f t="shared" si="174"/>
        <v>1550</v>
      </c>
      <c r="BO88" s="19">
        <v>0</v>
      </c>
      <c r="BP88" s="19">
        <v>0</v>
      </c>
      <c r="BQ88" s="22">
        <f t="shared" si="175"/>
        <v>1550</v>
      </c>
      <c r="BR88" s="82">
        <f t="shared" si="176"/>
        <v>0</v>
      </c>
      <c r="BS88" s="19">
        <f t="shared" si="177"/>
        <v>0</v>
      </c>
      <c r="BT88" s="19">
        <f t="shared" si="178"/>
        <v>0</v>
      </c>
      <c r="BU88" s="19">
        <f t="shared" si="179"/>
        <v>0</v>
      </c>
      <c r="BV88" s="19">
        <f t="shared" si="180"/>
        <v>0</v>
      </c>
      <c r="BW88" s="19">
        <f t="shared" si="181"/>
        <v>0</v>
      </c>
      <c r="BX88" s="19">
        <f t="shared" si="182"/>
        <v>20</v>
      </c>
      <c r="BY88" s="19">
        <f t="shared" si="183"/>
        <v>40</v>
      </c>
      <c r="BZ88" s="19">
        <f t="shared" si="184"/>
        <v>0</v>
      </c>
      <c r="CA88" s="19">
        <f t="shared" si="185"/>
        <v>0</v>
      </c>
      <c r="CB88" s="19">
        <f t="shared" si="186"/>
        <v>1</v>
      </c>
      <c r="CC88" s="19">
        <f t="shared" si="187"/>
        <v>3</v>
      </c>
      <c r="CD88" s="19">
        <f t="shared" si="188"/>
        <v>0</v>
      </c>
      <c r="CE88" s="19">
        <f t="shared" si="189"/>
        <v>0</v>
      </c>
      <c r="CF88" s="19">
        <f t="shared" si="190"/>
        <v>1</v>
      </c>
      <c r="CG88" s="19">
        <f t="shared" si="191"/>
        <v>4</v>
      </c>
      <c r="CH88" s="19">
        <f t="shared" si="192"/>
        <v>0</v>
      </c>
      <c r="CI88" s="19">
        <f t="shared" si="193"/>
        <v>0</v>
      </c>
      <c r="CJ88" s="19">
        <f t="shared" si="194"/>
        <v>0</v>
      </c>
      <c r="CK88" s="19">
        <f t="shared" si="195"/>
        <v>0</v>
      </c>
      <c r="CL88" s="19">
        <f t="shared" si="196"/>
        <v>0</v>
      </c>
      <c r="CM88" s="19">
        <f t="shared" si="197"/>
        <v>0</v>
      </c>
      <c r="CN88" s="19">
        <f t="shared" si="198"/>
        <v>0</v>
      </c>
      <c r="CO88" s="19">
        <f t="shared" si="199"/>
        <v>0</v>
      </c>
      <c r="CP88" s="19">
        <f t="shared" si="200"/>
        <v>0</v>
      </c>
      <c r="CQ88" s="19">
        <f t="shared" si="201"/>
        <v>0</v>
      </c>
      <c r="CR88" s="19">
        <f t="shared" si="202"/>
        <v>1</v>
      </c>
      <c r="CS88" s="19">
        <f t="shared" si="203"/>
        <v>7</v>
      </c>
      <c r="CT88" s="19">
        <f t="shared" si="204"/>
        <v>0</v>
      </c>
      <c r="CU88" s="19">
        <f t="shared" si="205"/>
        <v>0</v>
      </c>
      <c r="CV88" s="19">
        <f t="shared" si="206"/>
        <v>1</v>
      </c>
      <c r="CW88" s="19">
        <f t="shared" si="207"/>
        <v>8</v>
      </c>
      <c r="CX88" s="19">
        <f t="shared" si="208"/>
        <v>0</v>
      </c>
      <c r="CY88" s="19">
        <f t="shared" si="209"/>
        <v>0</v>
      </c>
      <c r="CZ88" s="19">
        <f t="shared" si="210"/>
        <v>0</v>
      </c>
      <c r="DA88" s="19">
        <f t="shared" si="211"/>
        <v>0</v>
      </c>
      <c r="DB88" s="19">
        <f t="shared" si="212"/>
        <v>0</v>
      </c>
      <c r="DC88" s="19">
        <f t="shared" si="213"/>
        <v>0</v>
      </c>
      <c r="DD88" s="19">
        <f t="shared" si="214"/>
        <v>0</v>
      </c>
      <c r="DE88" s="19">
        <f t="shared" si="215"/>
        <v>0</v>
      </c>
      <c r="DF88" s="19">
        <f t="shared" si="216"/>
        <v>0</v>
      </c>
      <c r="DG88" s="19">
        <f t="shared" si="217"/>
        <v>0</v>
      </c>
      <c r="DH88" s="19">
        <f t="shared" si="218"/>
        <v>0</v>
      </c>
      <c r="DI88" s="19">
        <f t="shared" si="219"/>
        <v>0</v>
      </c>
      <c r="DJ88" s="19">
        <f t="shared" si="220"/>
        <v>0</v>
      </c>
      <c r="DK88" s="19">
        <f t="shared" si="221"/>
        <v>0</v>
      </c>
      <c r="DL88" s="19">
        <f t="shared" si="222"/>
        <v>0</v>
      </c>
      <c r="DM88" s="19">
        <f t="shared" si="223"/>
        <v>0</v>
      </c>
      <c r="DN88" s="19">
        <f t="shared" si="224"/>
        <v>0</v>
      </c>
      <c r="DO88" s="19">
        <f t="shared" si="225"/>
        <v>0</v>
      </c>
      <c r="DP88" s="19">
        <f t="shared" si="226"/>
        <v>0</v>
      </c>
      <c r="DQ88" s="19">
        <f t="shared" si="227"/>
        <v>0</v>
      </c>
      <c r="DR88" s="19">
        <f t="shared" si="228"/>
        <v>0</v>
      </c>
      <c r="DS88" s="19">
        <f t="shared" si="229"/>
        <v>0</v>
      </c>
      <c r="DT88" s="19">
        <f t="shared" si="230"/>
        <v>0</v>
      </c>
      <c r="DU88" s="19">
        <f t="shared" si="231"/>
        <v>0</v>
      </c>
      <c r="DV88" s="19">
        <f t="shared" si="232"/>
        <v>0</v>
      </c>
      <c r="DW88" s="19">
        <f t="shared" si="233"/>
        <v>0</v>
      </c>
      <c r="DX88" s="19">
        <f t="shared" si="234"/>
        <v>0</v>
      </c>
      <c r="DY88" s="19">
        <f t="shared" si="235"/>
        <v>0</v>
      </c>
      <c r="DZ88" s="19">
        <f t="shared" si="236"/>
        <v>0</v>
      </c>
      <c r="EA88" s="19">
        <f t="shared" si="237"/>
        <v>0</v>
      </c>
      <c r="EB88" s="19">
        <f t="shared" si="238"/>
        <v>0</v>
      </c>
      <c r="EC88" s="19">
        <f t="shared" si="239"/>
        <v>0</v>
      </c>
    </row>
    <row r="89" spans="1:133" s="78" customFormat="1" ht="18" customHeight="1" x14ac:dyDescent="0.25">
      <c r="A89" s="15">
        <v>86</v>
      </c>
      <c r="B89" s="108" t="s">
        <v>536</v>
      </c>
      <c r="C89" s="74" t="s">
        <v>541</v>
      </c>
      <c r="D89" s="16" t="s">
        <v>61</v>
      </c>
      <c r="E89" s="18">
        <v>45801</v>
      </c>
      <c r="F89" s="19" t="s">
        <v>316</v>
      </c>
      <c r="G89" s="19" t="s">
        <v>316</v>
      </c>
      <c r="H89" s="19" t="s">
        <v>316</v>
      </c>
      <c r="I89" s="19">
        <v>11</v>
      </c>
      <c r="J89" s="19" t="s">
        <v>603</v>
      </c>
      <c r="K89" s="19">
        <v>11</v>
      </c>
      <c r="L89" s="19" t="s">
        <v>316</v>
      </c>
      <c r="M89" s="19">
        <v>11</v>
      </c>
      <c r="N89" s="19">
        <v>11</v>
      </c>
      <c r="O89" s="19">
        <v>11</v>
      </c>
      <c r="P89" s="19">
        <v>11</v>
      </c>
      <c r="Q89" s="19">
        <v>11</v>
      </c>
      <c r="R89" s="19">
        <v>11</v>
      </c>
      <c r="S89" s="19" t="s">
        <v>15</v>
      </c>
      <c r="T89" s="19">
        <v>11</v>
      </c>
      <c r="U89" s="19">
        <v>11</v>
      </c>
      <c r="V89" s="19">
        <v>11</v>
      </c>
      <c r="W89" s="19">
        <v>11</v>
      </c>
      <c r="X89" s="19">
        <v>11</v>
      </c>
      <c r="Y89" s="19">
        <v>11</v>
      </c>
      <c r="Z89" s="19" t="s">
        <v>15</v>
      </c>
      <c r="AA89" s="19">
        <v>11</v>
      </c>
      <c r="AB89" s="19">
        <v>11</v>
      </c>
      <c r="AC89" s="19">
        <v>11</v>
      </c>
      <c r="AD89" s="19">
        <v>11</v>
      </c>
      <c r="AE89" s="19">
        <v>11</v>
      </c>
      <c r="AF89" s="19">
        <v>11</v>
      </c>
      <c r="AG89" s="19" t="s">
        <v>15</v>
      </c>
      <c r="AH89" s="19">
        <v>11</v>
      </c>
      <c r="AI89" s="19">
        <v>11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11</v>
      </c>
      <c r="AP89" s="19"/>
      <c r="AQ89" s="19"/>
      <c r="AR89" s="19"/>
      <c r="AS89" s="19">
        <v>0</v>
      </c>
      <c r="AT89" s="19">
        <f t="shared" si="160"/>
        <v>66</v>
      </c>
      <c r="AU89" s="19">
        <f t="shared" si="161"/>
        <v>0</v>
      </c>
      <c r="AV89" s="19">
        <f t="shared" si="162"/>
        <v>11</v>
      </c>
      <c r="AW89" s="16">
        <f t="shared" si="163"/>
        <v>26</v>
      </c>
      <c r="AX89" s="16">
        <f t="shared" si="164"/>
        <v>4</v>
      </c>
      <c r="AY89" s="16">
        <f t="shared" si="165"/>
        <v>0</v>
      </c>
      <c r="AZ89" s="21">
        <v>900</v>
      </c>
      <c r="BA89" s="21">
        <v>100</v>
      </c>
      <c r="BB89" s="21">
        <v>0</v>
      </c>
      <c r="BC89" s="19">
        <f t="shared" si="166"/>
        <v>780</v>
      </c>
      <c r="BD89" s="19">
        <f t="shared" si="167"/>
        <v>87</v>
      </c>
      <c r="BE89" s="19">
        <f t="shared" si="168"/>
        <v>371</v>
      </c>
      <c r="BF89" s="19">
        <f t="shared" si="169"/>
        <v>0</v>
      </c>
      <c r="BG89" s="19">
        <f t="shared" si="170"/>
        <v>0</v>
      </c>
      <c r="BH89" s="19">
        <f t="shared" si="171"/>
        <v>0</v>
      </c>
      <c r="BI89" s="19">
        <v>0</v>
      </c>
      <c r="BJ89" s="19">
        <f t="shared" si="172"/>
        <v>1238</v>
      </c>
      <c r="BK89" s="19">
        <v>300</v>
      </c>
      <c r="BL89" s="19">
        <v>0</v>
      </c>
      <c r="BM89" s="19">
        <f t="shared" si="173"/>
        <v>300</v>
      </c>
      <c r="BN89" s="19">
        <f t="shared" si="174"/>
        <v>938</v>
      </c>
      <c r="BO89" s="19">
        <v>0</v>
      </c>
      <c r="BP89" s="19">
        <v>0</v>
      </c>
      <c r="BQ89" s="22">
        <f t="shared" si="175"/>
        <v>938</v>
      </c>
      <c r="BR89" s="82">
        <f t="shared" si="176"/>
        <v>0</v>
      </c>
      <c r="BS89" s="19">
        <f t="shared" si="177"/>
        <v>0</v>
      </c>
      <c r="BT89" s="19">
        <f t="shared" si="178"/>
        <v>0</v>
      </c>
      <c r="BU89" s="19">
        <f t="shared" si="179"/>
        <v>0</v>
      </c>
      <c r="BV89" s="19">
        <f t="shared" si="180"/>
        <v>0</v>
      </c>
      <c r="BW89" s="19">
        <f t="shared" si="181"/>
        <v>0</v>
      </c>
      <c r="BX89" s="19">
        <f t="shared" si="182"/>
        <v>0</v>
      </c>
      <c r="BY89" s="19">
        <f t="shared" si="183"/>
        <v>0</v>
      </c>
      <c r="BZ89" s="19">
        <f t="shared" si="184"/>
        <v>0</v>
      </c>
      <c r="CA89" s="19">
        <f t="shared" si="185"/>
        <v>0</v>
      </c>
      <c r="CB89" s="19">
        <f t="shared" si="186"/>
        <v>22</v>
      </c>
      <c r="CC89" s="19">
        <f t="shared" si="187"/>
        <v>66</v>
      </c>
      <c r="CD89" s="19">
        <f t="shared" si="188"/>
        <v>0</v>
      </c>
      <c r="CE89" s="19">
        <f t="shared" si="189"/>
        <v>0</v>
      </c>
      <c r="CF89" s="19">
        <f t="shared" si="190"/>
        <v>0</v>
      </c>
      <c r="CG89" s="19">
        <f t="shared" si="191"/>
        <v>0</v>
      </c>
      <c r="CH89" s="19">
        <f t="shared" si="192"/>
        <v>0</v>
      </c>
      <c r="CI89" s="19">
        <f t="shared" si="193"/>
        <v>0</v>
      </c>
      <c r="CJ89" s="19">
        <f t="shared" si="194"/>
        <v>0</v>
      </c>
      <c r="CK89" s="19">
        <f t="shared" si="195"/>
        <v>0</v>
      </c>
      <c r="CL89" s="19">
        <f t="shared" si="196"/>
        <v>0</v>
      </c>
      <c r="CM89" s="19">
        <f t="shared" si="197"/>
        <v>0</v>
      </c>
      <c r="CN89" s="19">
        <f t="shared" si="198"/>
        <v>0</v>
      </c>
      <c r="CO89" s="19">
        <f t="shared" si="199"/>
        <v>0</v>
      </c>
      <c r="CP89" s="19">
        <f t="shared" si="200"/>
        <v>0</v>
      </c>
      <c r="CQ89" s="19">
        <f t="shared" si="201"/>
        <v>0</v>
      </c>
      <c r="CR89" s="19">
        <f t="shared" si="202"/>
        <v>0</v>
      </c>
      <c r="CS89" s="19">
        <f t="shared" si="203"/>
        <v>0</v>
      </c>
      <c r="CT89" s="19">
        <f t="shared" si="204"/>
        <v>0</v>
      </c>
      <c r="CU89" s="19">
        <f t="shared" si="205"/>
        <v>0</v>
      </c>
      <c r="CV89" s="19">
        <f t="shared" si="206"/>
        <v>0</v>
      </c>
      <c r="CW89" s="19">
        <f t="shared" si="207"/>
        <v>0</v>
      </c>
      <c r="CX89" s="19">
        <f t="shared" si="208"/>
        <v>0</v>
      </c>
      <c r="CY89" s="19">
        <f t="shared" si="209"/>
        <v>0</v>
      </c>
      <c r="CZ89" s="19">
        <f t="shared" si="210"/>
        <v>0</v>
      </c>
      <c r="DA89" s="19">
        <f t="shared" si="211"/>
        <v>0</v>
      </c>
      <c r="DB89" s="19">
        <f t="shared" si="212"/>
        <v>0</v>
      </c>
      <c r="DC89" s="19">
        <f t="shared" si="213"/>
        <v>0</v>
      </c>
      <c r="DD89" s="19">
        <f t="shared" si="214"/>
        <v>0</v>
      </c>
      <c r="DE89" s="19">
        <f t="shared" si="215"/>
        <v>0</v>
      </c>
      <c r="DF89" s="19">
        <f t="shared" si="216"/>
        <v>0</v>
      </c>
      <c r="DG89" s="19">
        <f t="shared" si="217"/>
        <v>0</v>
      </c>
      <c r="DH89" s="19">
        <f t="shared" si="218"/>
        <v>0</v>
      </c>
      <c r="DI89" s="19">
        <f t="shared" si="219"/>
        <v>0</v>
      </c>
      <c r="DJ89" s="19">
        <f t="shared" si="220"/>
        <v>0</v>
      </c>
      <c r="DK89" s="19">
        <f t="shared" si="221"/>
        <v>0</v>
      </c>
      <c r="DL89" s="19">
        <f t="shared" si="222"/>
        <v>0</v>
      </c>
      <c r="DM89" s="19">
        <f t="shared" si="223"/>
        <v>0</v>
      </c>
      <c r="DN89" s="19">
        <f t="shared" si="224"/>
        <v>0</v>
      </c>
      <c r="DO89" s="19">
        <f t="shared" si="225"/>
        <v>0</v>
      </c>
      <c r="DP89" s="19">
        <f t="shared" si="226"/>
        <v>0</v>
      </c>
      <c r="DQ89" s="19">
        <f t="shared" si="227"/>
        <v>0</v>
      </c>
      <c r="DR89" s="19">
        <f t="shared" si="228"/>
        <v>0</v>
      </c>
      <c r="DS89" s="19">
        <f t="shared" si="229"/>
        <v>0</v>
      </c>
      <c r="DT89" s="19">
        <f t="shared" si="230"/>
        <v>0</v>
      </c>
      <c r="DU89" s="19">
        <f t="shared" si="231"/>
        <v>0</v>
      </c>
      <c r="DV89" s="19">
        <f t="shared" si="232"/>
        <v>0</v>
      </c>
      <c r="DW89" s="19">
        <f t="shared" si="233"/>
        <v>0</v>
      </c>
      <c r="DX89" s="19">
        <f t="shared" si="234"/>
        <v>0</v>
      </c>
      <c r="DY89" s="19">
        <f t="shared" si="235"/>
        <v>0</v>
      </c>
      <c r="DZ89" s="19">
        <f t="shared" si="236"/>
        <v>0</v>
      </c>
      <c r="EA89" s="19">
        <f t="shared" si="237"/>
        <v>0</v>
      </c>
      <c r="EB89" s="19">
        <f t="shared" si="238"/>
        <v>0</v>
      </c>
      <c r="EC89" s="19">
        <f t="shared" si="239"/>
        <v>0</v>
      </c>
    </row>
    <row r="90" spans="1:133" s="78" customFormat="1" ht="18" customHeight="1" x14ac:dyDescent="0.25">
      <c r="A90" s="15">
        <v>87</v>
      </c>
      <c r="B90" s="108" t="s">
        <v>537</v>
      </c>
      <c r="C90" s="74" t="s">
        <v>542</v>
      </c>
      <c r="D90" s="16" t="s">
        <v>61</v>
      </c>
      <c r="E90" s="18">
        <v>45801</v>
      </c>
      <c r="F90" s="19">
        <v>11</v>
      </c>
      <c r="G90" s="19">
        <v>11</v>
      </c>
      <c r="H90" s="19">
        <v>11</v>
      </c>
      <c r="I90" s="19">
        <v>11</v>
      </c>
      <c r="J90" s="19" t="s">
        <v>603</v>
      </c>
      <c r="K90" s="19">
        <v>11</v>
      </c>
      <c r="L90" s="19" t="s">
        <v>15</v>
      </c>
      <c r="M90" s="19">
        <v>11</v>
      </c>
      <c r="N90" s="19">
        <v>11</v>
      </c>
      <c r="O90" s="19">
        <v>11</v>
      </c>
      <c r="P90" s="19">
        <v>11</v>
      </c>
      <c r="Q90" s="19">
        <v>11</v>
      </c>
      <c r="R90" s="19">
        <v>11</v>
      </c>
      <c r="S90" s="19" t="s">
        <v>15</v>
      </c>
      <c r="T90" s="19">
        <v>11</v>
      </c>
      <c r="U90" s="19">
        <v>11</v>
      </c>
      <c r="V90" s="19">
        <v>11</v>
      </c>
      <c r="W90" s="19">
        <v>11</v>
      </c>
      <c r="X90" s="19">
        <v>11</v>
      </c>
      <c r="Y90" s="19">
        <v>11</v>
      </c>
      <c r="Z90" s="19" t="s">
        <v>15</v>
      </c>
      <c r="AA90" s="19">
        <v>11</v>
      </c>
      <c r="AB90" s="19">
        <v>11</v>
      </c>
      <c r="AC90" s="19">
        <v>11</v>
      </c>
      <c r="AD90" s="19">
        <v>11</v>
      </c>
      <c r="AE90" s="19">
        <v>11</v>
      </c>
      <c r="AF90" s="19">
        <v>11</v>
      </c>
      <c r="AG90" s="19" t="s">
        <v>15</v>
      </c>
      <c r="AH90" s="19">
        <v>11</v>
      </c>
      <c r="AI90" s="19">
        <v>11</v>
      </c>
      <c r="AJ90" s="19">
        <v>11</v>
      </c>
      <c r="AK90" s="19">
        <v>11</v>
      </c>
      <c r="AL90" s="19">
        <v>11</v>
      </c>
      <c r="AM90" s="19">
        <v>11</v>
      </c>
      <c r="AN90" s="19">
        <v>0</v>
      </c>
      <c r="AO90" s="19">
        <v>11</v>
      </c>
      <c r="AP90" s="19"/>
      <c r="AQ90" s="19"/>
      <c r="AR90" s="19"/>
      <c r="AS90" s="19">
        <v>0</v>
      </c>
      <c r="AT90" s="19">
        <f t="shared" si="160"/>
        <v>75</v>
      </c>
      <c r="AU90" s="19">
        <f t="shared" si="161"/>
        <v>44</v>
      </c>
      <c r="AV90" s="19">
        <f t="shared" si="162"/>
        <v>11</v>
      </c>
      <c r="AW90" s="16">
        <f t="shared" si="163"/>
        <v>30</v>
      </c>
      <c r="AX90" s="16">
        <f t="shared" si="164"/>
        <v>0</v>
      </c>
      <c r="AY90" s="16">
        <f t="shared" si="165"/>
        <v>0</v>
      </c>
      <c r="AZ90" s="21">
        <v>1050</v>
      </c>
      <c r="BA90" s="21">
        <v>100</v>
      </c>
      <c r="BB90" s="21">
        <v>0</v>
      </c>
      <c r="BC90" s="19">
        <f t="shared" si="166"/>
        <v>1050</v>
      </c>
      <c r="BD90" s="19">
        <f t="shared" si="167"/>
        <v>100</v>
      </c>
      <c r="BE90" s="19">
        <f t="shared" si="168"/>
        <v>771</v>
      </c>
      <c r="BF90" s="19">
        <f t="shared" si="169"/>
        <v>0</v>
      </c>
      <c r="BG90" s="19">
        <f t="shared" si="170"/>
        <v>0</v>
      </c>
      <c r="BH90" s="19">
        <f t="shared" si="171"/>
        <v>0</v>
      </c>
      <c r="BI90" s="19">
        <v>95</v>
      </c>
      <c r="BJ90" s="19">
        <f t="shared" si="172"/>
        <v>2016</v>
      </c>
      <c r="BK90" s="19">
        <v>0</v>
      </c>
      <c r="BL90" s="19">
        <v>0</v>
      </c>
      <c r="BM90" s="19">
        <f t="shared" si="173"/>
        <v>0</v>
      </c>
      <c r="BN90" s="19">
        <f t="shared" si="174"/>
        <v>2016</v>
      </c>
      <c r="BO90" s="19">
        <v>0</v>
      </c>
      <c r="BP90" s="19">
        <v>0</v>
      </c>
      <c r="BQ90" s="22">
        <f t="shared" si="175"/>
        <v>2016</v>
      </c>
      <c r="BR90" s="82">
        <f t="shared" si="176"/>
        <v>0</v>
      </c>
      <c r="BS90" s="19">
        <f t="shared" si="177"/>
        <v>0</v>
      </c>
      <c r="BT90" s="19">
        <f t="shared" si="178"/>
        <v>0</v>
      </c>
      <c r="BU90" s="19">
        <f t="shared" si="179"/>
        <v>0</v>
      </c>
      <c r="BV90" s="19">
        <f t="shared" si="180"/>
        <v>0</v>
      </c>
      <c r="BW90" s="19">
        <f t="shared" si="181"/>
        <v>0</v>
      </c>
      <c r="BX90" s="19">
        <f t="shared" si="182"/>
        <v>0</v>
      </c>
      <c r="BY90" s="19">
        <f t="shared" si="183"/>
        <v>0</v>
      </c>
      <c r="BZ90" s="19">
        <f t="shared" si="184"/>
        <v>0</v>
      </c>
      <c r="CA90" s="19">
        <f t="shared" si="185"/>
        <v>0</v>
      </c>
      <c r="CB90" s="19">
        <f t="shared" si="186"/>
        <v>25</v>
      </c>
      <c r="CC90" s="19">
        <f t="shared" si="187"/>
        <v>75</v>
      </c>
      <c r="CD90" s="19">
        <f t="shared" si="188"/>
        <v>0</v>
      </c>
      <c r="CE90" s="19">
        <f t="shared" si="189"/>
        <v>0</v>
      </c>
      <c r="CF90" s="19">
        <f t="shared" si="190"/>
        <v>0</v>
      </c>
      <c r="CG90" s="19">
        <f t="shared" si="191"/>
        <v>0</v>
      </c>
      <c r="CH90" s="19">
        <f t="shared" si="192"/>
        <v>0</v>
      </c>
      <c r="CI90" s="19">
        <f t="shared" si="193"/>
        <v>0</v>
      </c>
      <c r="CJ90" s="19">
        <f t="shared" si="194"/>
        <v>0</v>
      </c>
      <c r="CK90" s="19">
        <f t="shared" si="195"/>
        <v>0</v>
      </c>
      <c r="CL90" s="19">
        <f t="shared" si="196"/>
        <v>0</v>
      </c>
      <c r="CM90" s="19">
        <f t="shared" si="197"/>
        <v>0</v>
      </c>
      <c r="CN90" s="19">
        <f t="shared" si="198"/>
        <v>0</v>
      </c>
      <c r="CO90" s="19">
        <f t="shared" si="199"/>
        <v>0</v>
      </c>
      <c r="CP90" s="19">
        <f t="shared" si="200"/>
        <v>0</v>
      </c>
      <c r="CQ90" s="19">
        <f t="shared" si="201"/>
        <v>0</v>
      </c>
      <c r="CR90" s="19">
        <f t="shared" si="202"/>
        <v>0</v>
      </c>
      <c r="CS90" s="19">
        <f t="shared" si="203"/>
        <v>0</v>
      </c>
      <c r="CT90" s="19">
        <f t="shared" si="204"/>
        <v>0</v>
      </c>
      <c r="CU90" s="19">
        <f t="shared" si="205"/>
        <v>0</v>
      </c>
      <c r="CV90" s="19">
        <f t="shared" si="206"/>
        <v>0</v>
      </c>
      <c r="CW90" s="19">
        <f t="shared" si="207"/>
        <v>0</v>
      </c>
      <c r="CX90" s="19">
        <f t="shared" si="208"/>
        <v>0</v>
      </c>
      <c r="CY90" s="19">
        <f t="shared" si="209"/>
        <v>0</v>
      </c>
      <c r="CZ90" s="19">
        <f t="shared" si="210"/>
        <v>0</v>
      </c>
      <c r="DA90" s="19">
        <f t="shared" si="211"/>
        <v>0</v>
      </c>
      <c r="DB90" s="19">
        <f t="shared" si="212"/>
        <v>0</v>
      </c>
      <c r="DC90" s="19">
        <f t="shared" si="213"/>
        <v>0</v>
      </c>
      <c r="DD90" s="19">
        <f t="shared" si="214"/>
        <v>0</v>
      </c>
      <c r="DE90" s="19">
        <f t="shared" si="215"/>
        <v>0</v>
      </c>
      <c r="DF90" s="19">
        <f t="shared" si="216"/>
        <v>0</v>
      </c>
      <c r="DG90" s="19">
        <f t="shared" si="217"/>
        <v>0</v>
      </c>
      <c r="DH90" s="19">
        <f t="shared" si="218"/>
        <v>0</v>
      </c>
      <c r="DI90" s="19">
        <f t="shared" si="219"/>
        <v>0</v>
      </c>
      <c r="DJ90" s="19">
        <f t="shared" si="220"/>
        <v>0</v>
      </c>
      <c r="DK90" s="19">
        <f t="shared" si="221"/>
        <v>0</v>
      </c>
      <c r="DL90" s="19">
        <f t="shared" si="222"/>
        <v>0</v>
      </c>
      <c r="DM90" s="19">
        <f t="shared" si="223"/>
        <v>0</v>
      </c>
      <c r="DN90" s="19">
        <f t="shared" si="224"/>
        <v>0</v>
      </c>
      <c r="DO90" s="19">
        <f t="shared" si="225"/>
        <v>0</v>
      </c>
      <c r="DP90" s="19">
        <f t="shared" si="226"/>
        <v>0</v>
      </c>
      <c r="DQ90" s="19">
        <f t="shared" si="227"/>
        <v>0</v>
      </c>
      <c r="DR90" s="19">
        <f t="shared" si="228"/>
        <v>0</v>
      </c>
      <c r="DS90" s="19">
        <f t="shared" si="229"/>
        <v>0</v>
      </c>
      <c r="DT90" s="19">
        <f t="shared" si="230"/>
        <v>0</v>
      </c>
      <c r="DU90" s="19">
        <f t="shared" si="231"/>
        <v>0</v>
      </c>
      <c r="DV90" s="19">
        <f t="shared" si="232"/>
        <v>0</v>
      </c>
      <c r="DW90" s="19">
        <f t="shared" si="233"/>
        <v>0</v>
      </c>
      <c r="DX90" s="19">
        <f t="shared" si="234"/>
        <v>0</v>
      </c>
      <c r="DY90" s="19">
        <f t="shared" si="235"/>
        <v>0</v>
      </c>
      <c r="DZ90" s="19">
        <f t="shared" si="236"/>
        <v>0</v>
      </c>
      <c r="EA90" s="19">
        <f t="shared" si="237"/>
        <v>0</v>
      </c>
      <c r="EB90" s="19">
        <f t="shared" si="238"/>
        <v>0</v>
      </c>
      <c r="EC90" s="19">
        <f t="shared" si="239"/>
        <v>0</v>
      </c>
    </row>
    <row r="91" spans="1:133" s="78" customFormat="1" ht="18" customHeight="1" x14ac:dyDescent="0.25">
      <c r="A91" s="15">
        <v>88</v>
      </c>
      <c r="B91" s="108" t="s">
        <v>613</v>
      </c>
      <c r="C91" s="74" t="s">
        <v>565</v>
      </c>
      <c r="D91" s="16" t="s">
        <v>61</v>
      </c>
      <c r="E91" s="18">
        <v>45821</v>
      </c>
      <c r="F91" s="19">
        <v>10</v>
      </c>
      <c r="G91" s="19">
        <v>10</v>
      </c>
      <c r="H91" s="19">
        <v>10</v>
      </c>
      <c r="I91" s="19">
        <v>10</v>
      </c>
      <c r="J91" s="19" t="s">
        <v>603</v>
      </c>
      <c r="K91" s="19">
        <v>10</v>
      </c>
      <c r="L91" s="19" t="s">
        <v>15</v>
      </c>
      <c r="M91" s="19">
        <v>10</v>
      </c>
      <c r="N91" s="19">
        <v>10</v>
      </c>
      <c r="O91" s="19">
        <v>10</v>
      </c>
      <c r="P91" s="19">
        <v>10</v>
      </c>
      <c r="Q91" s="19">
        <v>10</v>
      </c>
      <c r="R91" s="19">
        <v>10</v>
      </c>
      <c r="S91" s="19" t="s">
        <v>15</v>
      </c>
      <c r="T91" s="19">
        <v>12.5</v>
      </c>
      <c r="U91" s="19">
        <v>14</v>
      </c>
      <c r="V91" s="19">
        <v>11</v>
      </c>
      <c r="W91" s="19">
        <v>11</v>
      </c>
      <c r="X91" s="19">
        <v>11</v>
      </c>
      <c r="Y91" s="19">
        <v>10</v>
      </c>
      <c r="Z91" s="19" t="s">
        <v>15</v>
      </c>
      <c r="AA91" s="19">
        <v>10</v>
      </c>
      <c r="AB91" s="19">
        <v>10</v>
      </c>
      <c r="AC91" s="19">
        <v>10</v>
      </c>
      <c r="AD91" s="19">
        <v>10</v>
      </c>
      <c r="AE91" s="19">
        <v>11</v>
      </c>
      <c r="AF91" s="19">
        <v>10</v>
      </c>
      <c r="AG91" s="19" t="s">
        <v>15</v>
      </c>
      <c r="AH91" s="19">
        <v>10</v>
      </c>
      <c r="AI91" s="19">
        <v>10</v>
      </c>
      <c r="AJ91" s="19">
        <v>0</v>
      </c>
      <c r="AK91" s="19">
        <v>11</v>
      </c>
      <c r="AL91" s="19">
        <v>0</v>
      </c>
      <c r="AM91" s="19">
        <v>11</v>
      </c>
      <c r="AN91" s="19">
        <v>0</v>
      </c>
      <c r="AO91" s="19">
        <v>10</v>
      </c>
      <c r="AP91" s="19"/>
      <c r="AQ91" s="19"/>
      <c r="AR91" s="19"/>
      <c r="AS91" s="19">
        <v>0</v>
      </c>
      <c r="AT91" s="19">
        <f t="shared" si="160"/>
        <v>60.5</v>
      </c>
      <c r="AU91" s="19">
        <f t="shared" si="161"/>
        <v>22</v>
      </c>
      <c r="AV91" s="19">
        <f t="shared" si="162"/>
        <v>10</v>
      </c>
      <c r="AW91" s="16">
        <f t="shared" si="163"/>
        <v>30</v>
      </c>
      <c r="AX91" s="16">
        <f t="shared" si="164"/>
        <v>0</v>
      </c>
      <c r="AY91" s="16">
        <f t="shared" si="165"/>
        <v>0</v>
      </c>
      <c r="AZ91" s="21">
        <v>1100</v>
      </c>
      <c r="BA91" s="21">
        <v>100</v>
      </c>
      <c r="BB91" s="21">
        <v>0</v>
      </c>
      <c r="BC91" s="19">
        <f t="shared" si="166"/>
        <v>1100</v>
      </c>
      <c r="BD91" s="19">
        <f t="shared" si="167"/>
        <v>100</v>
      </c>
      <c r="BE91" s="19">
        <f t="shared" si="168"/>
        <v>567</v>
      </c>
      <c r="BF91" s="19">
        <f t="shared" si="169"/>
        <v>0</v>
      </c>
      <c r="BG91" s="19">
        <f t="shared" si="170"/>
        <v>0</v>
      </c>
      <c r="BH91" s="19">
        <f t="shared" si="171"/>
        <v>0</v>
      </c>
      <c r="BI91" s="19">
        <v>95</v>
      </c>
      <c r="BJ91" s="19">
        <f t="shared" si="172"/>
        <v>1862</v>
      </c>
      <c r="BK91" s="19">
        <v>100</v>
      </c>
      <c r="BL91" s="19">
        <v>0</v>
      </c>
      <c r="BM91" s="19">
        <f t="shared" si="173"/>
        <v>100</v>
      </c>
      <c r="BN91" s="19">
        <f t="shared" si="174"/>
        <v>1762</v>
      </c>
      <c r="BO91" s="19">
        <v>0</v>
      </c>
      <c r="BP91" s="19">
        <v>0</v>
      </c>
      <c r="BQ91" s="22">
        <f t="shared" si="175"/>
        <v>1762</v>
      </c>
      <c r="BR91" s="82">
        <f t="shared" si="176"/>
        <v>0</v>
      </c>
      <c r="BS91" s="19">
        <f t="shared" si="177"/>
        <v>0</v>
      </c>
      <c r="BT91" s="19">
        <f t="shared" si="178"/>
        <v>0</v>
      </c>
      <c r="BU91" s="19">
        <f t="shared" si="179"/>
        <v>0</v>
      </c>
      <c r="BV91" s="19">
        <f t="shared" si="180"/>
        <v>0</v>
      </c>
      <c r="BW91" s="19">
        <f t="shared" si="181"/>
        <v>0</v>
      </c>
      <c r="BX91" s="19">
        <f t="shared" si="182"/>
        <v>19</v>
      </c>
      <c r="BY91" s="19">
        <f t="shared" si="183"/>
        <v>38</v>
      </c>
      <c r="BZ91" s="19">
        <f t="shared" si="184"/>
        <v>0</v>
      </c>
      <c r="CA91" s="19">
        <f t="shared" si="185"/>
        <v>0</v>
      </c>
      <c r="CB91" s="19">
        <f t="shared" si="186"/>
        <v>4</v>
      </c>
      <c r="CC91" s="19">
        <f t="shared" si="187"/>
        <v>12</v>
      </c>
      <c r="CD91" s="19">
        <f t="shared" si="188"/>
        <v>0</v>
      </c>
      <c r="CE91" s="19">
        <f t="shared" si="189"/>
        <v>0</v>
      </c>
      <c r="CF91" s="19">
        <f t="shared" si="190"/>
        <v>0</v>
      </c>
      <c r="CG91" s="19">
        <f t="shared" si="191"/>
        <v>0</v>
      </c>
      <c r="CH91" s="19">
        <f t="shared" si="192"/>
        <v>1</v>
      </c>
      <c r="CI91" s="19">
        <f t="shared" si="193"/>
        <v>4.5</v>
      </c>
      <c r="CJ91" s="19">
        <f t="shared" si="194"/>
        <v>0</v>
      </c>
      <c r="CK91" s="19">
        <f t="shared" si="195"/>
        <v>0</v>
      </c>
      <c r="CL91" s="19">
        <f t="shared" si="196"/>
        <v>0</v>
      </c>
      <c r="CM91" s="19">
        <f t="shared" si="197"/>
        <v>0</v>
      </c>
      <c r="CN91" s="19">
        <f t="shared" si="198"/>
        <v>1</v>
      </c>
      <c r="CO91" s="19">
        <f t="shared" si="199"/>
        <v>6</v>
      </c>
      <c r="CP91" s="19">
        <f t="shared" si="200"/>
        <v>0</v>
      </c>
      <c r="CQ91" s="19">
        <f t="shared" si="201"/>
        <v>0</v>
      </c>
      <c r="CR91" s="19">
        <f t="shared" si="202"/>
        <v>0</v>
      </c>
      <c r="CS91" s="19">
        <f t="shared" si="203"/>
        <v>0</v>
      </c>
      <c r="CT91" s="19">
        <f t="shared" si="204"/>
        <v>0</v>
      </c>
      <c r="CU91" s="19">
        <f t="shared" si="205"/>
        <v>0</v>
      </c>
      <c r="CV91" s="19">
        <f t="shared" si="206"/>
        <v>0</v>
      </c>
      <c r="CW91" s="19">
        <f t="shared" si="207"/>
        <v>0</v>
      </c>
      <c r="CX91" s="19">
        <f t="shared" si="208"/>
        <v>0</v>
      </c>
      <c r="CY91" s="19">
        <f t="shared" si="209"/>
        <v>0</v>
      </c>
      <c r="CZ91" s="19">
        <f t="shared" si="210"/>
        <v>0</v>
      </c>
      <c r="DA91" s="19">
        <f t="shared" si="211"/>
        <v>0</v>
      </c>
      <c r="DB91" s="19">
        <f t="shared" si="212"/>
        <v>0</v>
      </c>
      <c r="DC91" s="19">
        <f t="shared" si="213"/>
        <v>0</v>
      </c>
      <c r="DD91" s="19">
        <f t="shared" si="214"/>
        <v>0</v>
      </c>
      <c r="DE91" s="19">
        <f t="shared" si="215"/>
        <v>0</v>
      </c>
      <c r="DF91" s="19">
        <f t="shared" si="216"/>
        <v>0</v>
      </c>
      <c r="DG91" s="19">
        <f t="shared" si="217"/>
        <v>0</v>
      </c>
      <c r="DH91" s="19">
        <f t="shared" si="218"/>
        <v>0</v>
      </c>
      <c r="DI91" s="19">
        <f t="shared" si="219"/>
        <v>0</v>
      </c>
      <c r="DJ91" s="19">
        <f t="shared" si="220"/>
        <v>0</v>
      </c>
      <c r="DK91" s="19">
        <f t="shared" si="221"/>
        <v>0</v>
      </c>
      <c r="DL91" s="19">
        <f t="shared" si="222"/>
        <v>0</v>
      </c>
      <c r="DM91" s="19">
        <f t="shared" si="223"/>
        <v>0</v>
      </c>
      <c r="DN91" s="19">
        <f t="shared" si="224"/>
        <v>0</v>
      </c>
      <c r="DO91" s="19">
        <f t="shared" si="225"/>
        <v>0</v>
      </c>
      <c r="DP91" s="19">
        <f t="shared" si="226"/>
        <v>0</v>
      </c>
      <c r="DQ91" s="19">
        <f t="shared" si="227"/>
        <v>0</v>
      </c>
      <c r="DR91" s="19">
        <f t="shared" si="228"/>
        <v>0</v>
      </c>
      <c r="DS91" s="19">
        <f t="shared" si="229"/>
        <v>0</v>
      </c>
      <c r="DT91" s="19">
        <f t="shared" si="230"/>
        <v>0</v>
      </c>
      <c r="DU91" s="19">
        <f t="shared" si="231"/>
        <v>0</v>
      </c>
      <c r="DV91" s="19">
        <f t="shared" si="232"/>
        <v>0</v>
      </c>
      <c r="DW91" s="19">
        <f t="shared" si="233"/>
        <v>0</v>
      </c>
      <c r="DX91" s="19">
        <f t="shared" si="234"/>
        <v>0</v>
      </c>
      <c r="DY91" s="19">
        <f t="shared" si="235"/>
        <v>0</v>
      </c>
      <c r="DZ91" s="19">
        <f t="shared" si="236"/>
        <v>0</v>
      </c>
      <c r="EA91" s="19">
        <f t="shared" si="237"/>
        <v>0</v>
      </c>
      <c r="EB91" s="19">
        <f t="shared" si="238"/>
        <v>0</v>
      </c>
      <c r="EC91" s="19">
        <f t="shared" si="239"/>
        <v>0</v>
      </c>
    </row>
    <row r="92" spans="1:133" s="78" customFormat="1" ht="18" customHeight="1" x14ac:dyDescent="0.25">
      <c r="A92" s="15">
        <v>89</v>
      </c>
      <c r="B92" s="108" t="s">
        <v>615</v>
      </c>
      <c r="C92" s="74" t="s">
        <v>567</v>
      </c>
      <c r="D92" s="16" t="s">
        <v>61</v>
      </c>
      <c r="E92" s="18">
        <v>45826</v>
      </c>
      <c r="F92" s="19">
        <v>10</v>
      </c>
      <c r="G92" s="19">
        <v>12</v>
      </c>
      <c r="H92" s="19">
        <v>12</v>
      </c>
      <c r="I92" s="19">
        <v>12</v>
      </c>
      <c r="J92" s="19" t="s">
        <v>603</v>
      </c>
      <c r="K92" s="19">
        <v>10</v>
      </c>
      <c r="L92" s="19" t="s">
        <v>15</v>
      </c>
      <c r="M92" s="19">
        <v>12</v>
      </c>
      <c r="N92" s="19">
        <v>12</v>
      </c>
      <c r="O92" s="19">
        <v>10</v>
      </c>
      <c r="P92" s="19">
        <v>12</v>
      </c>
      <c r="Q92" s="19">
        <v>12</v>
      </c>
      <c r="R92" s="19">
        <v>10</v>
      </c>
      <c r="S92" s="19" t="s">
        <v>15</v>
      </c>
      <c r="T92" s="19">
        <v>10</v>
      </c>
      <c r="U92" s="19">
        <v>10</v>
      </c>
      <c r="V92" s="19">
        <v>10</v>
      </c>
      <c r="W92" s="19">
        <v>10</v>
      </c>
      <c r="X92" s="19">
        <v>10</v>
      </c>
      <c r="Y92" s="19">
        <v>10</v>
      </c>
      <c r="Z92" s="19" t="s">
        <v>15</v>
      </c>
      <c r="AA92" s="19">
        <v>10</v>
      </c>
      <c r="AB92" s="19">
        <v>10</v>
      </c>
      <c r="AC92" s="19">
        <v>10</v>
      </c>
      <c r="AD92" s="19">
        <v>10</v>
      </c>
      <c r="AE92" s="19">
        <v>10</v>
      </c>
      <c r="AF92" s="19">
        <v>10</v>
      </c>
      <c r="AG92" s="19" t="s">
        <v>15</v>
      </c>
      <c r="AH92" s="19">
        <v>10</v>
      </c>
      <c r="AI92" s="19">
        <v>10</v>
      </c>
      <c r="AJ92" s="19">
        <v>11</v>
      </c>
      <c r="AK92" s="19">
        <v>11</v>
      </c>
      <c r="AL92" s="19">
        <v>0</v>
      </c>
      <c r="AM92" s="19">
        <v>10</v>
      </c>
      <c r="AN92" s="19">
        <v>0</v>
      </c>
      <c r="AO92" s="19">
        <v>10</v>
      </c>
      <c r="AP92" s="19"/>
      <c r="AQ92" s="19"/>
      <c r="AR92" s="19"/>
      <c r="AS92" s="19">
        <v>0</v>
      </c>
      <c r="AT92" s="19">
        <f t="shared" si="160"/>
        <v>64</v>
      </c>
      <c r="AU92" s="19">
        <f t="shared" si="161"/>
        <v>32</v>
      </c>
      <c r="AV92" s="19">
        <f t="shared" si="162"/>
        <v>10</v>
      </c>
      <c r="AW92" s="16">
        <f t="shared" si="163"/>
        <v>30</v>
      </c>
      <c r="AX92" s="16">
        <f t="shared" si="164"/>
        <v>0</v>
      </c>
      <c r="AY92" s="16">
        <f t="shared" si="165"/>
        <v>0</v>
      </c>
      <c r="AZ92" s="21">
        <v>1050</v>
      </c>
      <c r="BA92" s="21">
        <v>100</v>
      </c>
      <c r="BB92" s="21">
        <v>0</v>
      </c>
      <c r="BC92" s="19">
        <f t="shared" si="166"/>
        <v>1050</v>
      </c>
      <c r="BD92" s="19">
        <f t="shared" si="167"/>
        <v>100</v>
      </c>
      <c r="BE92" s="19">
        <f t="shared" si="168"/>
        <v>626</v>
      </c>
      <c r="BF92" s="19">
        <f t="shared" si="169"/>
        <v>0</v>
      </c>
      <c r="BG92" s="19">
        <f t="shared" si="170"/>
        <v>0</v>
      </c>
      <c r="BH92" s="19">
        <f t="shared" si="171"/>
        <v>0</v>
      </c>
      <c r="BI92" s="19">
        <v>95</v>
      </c>
      <c r="BJ92" s="19">
        <f t="shared" si="172"/>
        <v>1871</v>
      </c>
      <c r="BK92" s="19">
        <v>100</v>
      </c>
      <c r="BL92" s="19">
        <v>0</v>
      </c>
      <c r="BM92" s="19">
        <f t="shared" si="173"/>
        <v>100</v>
      </c>
      <c r="BN92" s="19">
        <f t="shared" si="174"/>
        <v>1771</v>
      </c>
      <c r="BO92" s="19">
        <v>0</v>
      </c>
      <c r="BP92" s="19">
        <v>0</v>
      </c>
      <c r="BQ92" s="22">
        <f t="shared" si="175"/>
        <v>1771</v>
      </c>
      <c r="BR92" s="82">
        <f t="shared" si="176"/>
        <v>0</v>
      </c>
      <c r="BS92" s="19">
        <f t="shared" si="177"/>
        <v>0</v>
      </c>
      <c r="BT92" s="19">
        <f t="shared" si="178"/>
        <v>0</v>
      </c>
      <c r="BU92" s="19">
        <f t="shared" si="179"/>
        <v>0</v>
      </c>
      <c r="BV92" s="19">
        <f t="shared" si="180"/>
        <v>0</v>
      </c>
      <c r="BW92" s="19">
        <f t="shared" si="181"/>
        <v>0</v>
      </c>
      <c r="BX92" s="19">
        <f t="shared" si="182"/>
        <v>18</v>
      </c>
      <c r="BY92" s="19">
        <f t="shared" si="183"/>
        <v>36</v>
      </c>
      <c r="BZ92" s="19">
        <f t="shared" si="184"/>
        <v>0</v>
      </c>
      <c r="CA92" s="19">
        <f t="shared" si="185"/>
        <v>0</v>
      </c>
      <c r="CB92" s="19">
        <f t="shared" si="186"/>
        <v>0</v>
      </c>
      <c r="CC92" s="19">
        <f t="shared" si="187"/>
        <v>0</v>
      </c>
      <c r="CD92" s="19">
        <f t="shared" si="188"/>
        <v>0</v>
      </c>
      <c r="CE92" s="19">
        <f t="shared" si="189"/>
        <v>0</v>
      </c>
      <c r="CF92" s="19">
        <f t="shared" si="190"/>
        <v>7</v>
      </c>
      <c r="CG92" s="19">
        <f t="shared" si="191"/>
        <v>28</v>
      </c>
      <c r="CH92" s="19">
        <f t="shared" si="192"/>
        <v>0</v>
      </c>
      <c r="CI92" s="19">
        <f t="shared" si="193"/>
        <v>0</v>
      </c>
      <c r="CJ92" s="19">
        <f t="shared" si="194"/>
        <v>0</v>
      </c>
      <c r="CK92" s="19">
        <f t="shared" si="195"/>
        <v>0</v>
      </c>
      <c r="CL92" s="19">
        <f t="shared" si="196"/>
        <v>0</v>
      </c>
      <c r="CM92" s="19">
        <f t="shared" si="197"/>
        <v>0</v>
      </c>
      <c r="CN92" s="19">
        <f t="shared" si="198"/>
        <v>0</v>
      </c>
      <c r="CO92" s="19">
        <f t="shared" si="199"/>
        <v>0</v>
      </c>
      <c r="CP92" s="19">
        <f t="shared" si="200"/>
        <v>0</v>
      </c>
      <c r="CQ92" s="19">
        <f t="shared" si="201"/>
        <v>0</v>
      </c>
      <c r="CR92" s="19">
        <f t="shared" si="202"/>
        <v>0</v>
      </c>
      <c r="CS92" s="19">
        <f t="shared" si="203"/>
        <v>0</v>
      </c>
      <c r="CT92" s="19">
        <f t="shared" si="204"/>
        <v>0</v>
      </c>
      <c r="CU92" s="19">
        <f t="shared" si="205"/>
        <v>0</v>
      </c>
      <c r="CV92" s="19">
        <f t="shared" si="206"/>
        <v>0</v>
      </c>
      <c r="CW92" s="19">
        <f t="shared" si="207"/>
        <v>0</v>
      </c>
      <c r="CX92" s="19">
        <f t="shared" si="208"/>
        <v>0</v>
      </c>
      <c r="CY92" s="19">
        <f t="shared" si="209"/>
        <v>0</v>
      </c>
      <c r="CZ92" s="19">
        <f t="shared" si="210"/>
        <v>0</v>
      </c>
      <c r="DA92" s="19">
        <f t="shared" si="211"/>
        <v>0</v>
      </c>
      <c r="DB92" s="19">
        <f t="shared" si="212"/>
        <v>0</v>
      </c>
      <c r="DC92" s="19">
        <f t="shared" si="213"/>
        <v>0</v>
      </c>
      <c r="DD92" s="19">
        <f t="shared" si="214"/>
        <v>0</v>
      </c>
      <c r="DE92" s="19">
        <f t="shared" si="215"/>
        <v>0</v>
      </c>
      <c r="DF92" s="19">
        <f t="shared" si="216"/>
        <v>0</v>
      </c>
      <c r="DG92" s="19">
        <f t="shared" si="217"/>
        <v>0</v>
      </c>
      <c r="DH92" s="19">
        <f t="shared" si="218"/>
        <v>0</v>
      </c>
      <c r="DI92" s="19">
        <f t="shared" si="219"/>
        <v>0</v>
      </c>
      <c r="DJ92" s="19">
        <f t="shared" si="220"/>
        <v>0</v>
      </c>
      <c r="DK92" s="19">
        <f t="shared" si="221"/>
        <v>0</v>
      </c>
      <c r="DL92" s="19">
        <f t="shared" si="222"/>
        <v>0</v>
      </c>
      <c r="DM92" s="19">
        <f t="shared" si="223"/>
        <v>0</v>
      </c>
      <c r="DN92" s="19">
        <f t="shared" si="224"/>
        <v>0</v>
      </c>
      <c r="DO92" s="19">
        <f t="shared" si="225"/>
        <v>0</v>
      </c>
      <c r="DP92" s="19">
        <f t="shared" si="226"/>
        <v>0</v>
      </c>
      <c r="DQ92" s="19">
        <f t="shared" si="227"/>
        <v>0</v>
      </c>
      <c r="DR92" s="19">
        <f t="shared" si="228"/>
        <v>0</v>
      </c>
      <c r="DS92" s="19">
        <f t="shared" si="229"/>
        <v>0</v>
      </c>
      <c r="DT92" s="19">
        <f t="shared" si="230"/>
        <v>0</v>
      </c>
      <c r="DU92" s="19">
        <f t="shared" si="231"/>
        <v>0</v>
      </c>
      <c r="DV92" s="19">
        <f t="shared" si="232"/>
        <v>0</v>
      </c>
      <c r="DW92" s="19">
        <f t="shared" si="233"/>
        <v>0</v>
      </c>
      <c r="DX92" s="19">
        <f t="shared" si="234"/>
        <v>0</v>
      </c>
      <c r="DY92" s="19">
        <f t="shared" si="235"/>
        <v>0</v>
      </c>
      <c r="DZ92" s="19">
        <f t="shared" si="236"/>
        <v>0</v>
      </c>
      <c r="EA92" s="19">
        <f t="shared" si="237"/>
        <v>0</v>
      </c>
      <c r="EB92" s="19">
        <f t="shared" si="238"/>
        <v>0</v>
      </c>
      <c r="EC92" s="19">
        <f t="shared" si="239"/>
        <v>0</v>
      </c>
    </row>
    <row r="93" spans="1:133" s="78" customFormat="1" ht="18" customHeight="1" x14ac:dyDescent="0.25">
      <c r="A93" s="15">
        <v>90</v>
      </c>
      <c r="B93" s="108" t="s">
        <v>616</v>
      </c>
      <c r="C93" s="74" t="s">
        <v>568</v>
      </c>
      <c r="D93" s="16" t="s">
        <v>61</v>
      </c>
      <c r="E93" s="18">
        <v>45827</v>
      </c>
      <c r="F93" s="19">
        <v>10</v>
      </c>
      <c r="G93" s="19">
        <v>10</v>
      </c>
      <c r="H93" s="19">
        <v>12</v>
      </c>
      <c r="I93" s="19">
        <v>12</v>
      </c>
      <c r="J93" s="19" t="s">
        <v>603</v>
      </c>
      <c r="K93" s="19">
        <v>10</v>
      </c>
      <c r="L93" s="19" t="s">
        <v>15</v>
      </c>
      <c r="M93" s="19">
        <v>12</v>
      </c>
      <c r="N93" s="19">
        <v>12</v>
      </c>
      <c r="O93" s="19">
        <v>10</v>
      </c>
      <c r="P93" s="19">
        <v>12</v>
      </c>
      <c r="Q93" s="19">
        <v>10</v>
      </c>
      <c r="R93" s="19">
        <v>10</v>
      </c>
      <c r="S93" s="19" t="s">
        <v>15</v>
      </c>
      <c r="T93" s="19">
        <v>10</v>
      </c>
      <c r="U93" s="19">
        <v>10</v>
      </c>
      <c r="V93" s="19">
        <v>10</v>
      </c>
      <c r="W93" s="19">
        <v>10</v>
      </c>
      <c r="X93" s="19">
        <v>10</v>
      </c>
      <c r="Y93" s="19">
        <v>10</v>
      </c>
      <c r="Z93" s="19" t="s">
        <v>15</v>
      </c>
      <c r="AA93" s="19">
        <v>10</v>
      </c>
      <c r="AB93" s="19">
        <v>10</v>
      </c>
      <c r="AC93" s="19">
        <v>10</v>
      </c>
      <c r="AD93" s="19">
        <v>10</v>
      </c>
      <c r="AE93" s="19">
        <v>10</v>
      </c>
      <c r="AF93" s="19">
        <v>10</v>
      </c>
      <c r="AG93" s="19" t="s">
        <v>15</v>
      </c>
      <c r="AH93" s="19">
        <v>10</v>
      </c>
      <c r="AI93" s="19">
        <v>10</v>
      </c>
      <c r="AJ93" s="19">
        <v>11</v>
      </c>
      <c r="AK93" s="19">
        <v>11</v>
      </c>
      <c r="AL93" s="19">
        <v>0</v>
      </c>
      <c r="AM93" s="19">
        <v>10</v>
      </c>
      <c r="AN93" s="19">
        <v>0</v>
      </c>
      <c r="AO93" s="19">
        <v>10</v>
      </c>
      <c r="AP93" s="19"/>
      <c r="AQ93" s="19"/>
      <c r="AR93" s="19"/>
      <c r="AS93" s="19">
        <v>0</v>
      </c>
      <c r="AT93" s="19">
        <f t="shared" ref="AT93:AT129" si="240">SUM(BS93+BU93+BW93+BY93+CA93+CC93+CE93+CG93+CI93+CK93+CM93+CO93+CQ93+CS93+CU93+CW93+CY93+DA93+DC93+DE93+DG93+DI93+DK93+DM93+DO93+DQ93+DS93+DU93+DW93+DY93+EA93+EC93)</f>
        <v>60</v>
      </c>
      <c r="AU93" s="19">
        <f t="shared" ref="AU93:AU129" si="241">SUM(AJ93:AN93)</f>
        <v>32</v>
      </c>
      <c r="AV93" s="19">
        <f t="shared" ref="AV93:AV129" si="242">SUM(AO93:AS93)</f>
        <v>10</v>
      </c>
      <c r="AW93" s="16">
        <f t="shared" ref="AW93:AW129" si="243">COUNTIF(F93:AI93,"8")+COUNTIF(F93:AI93,"8.5")+COUNTIF(F93:AI93,"9")+COUNTIF(F93:AI93,"9.5")+COUNTIF(F93:AI93,"10")+COUNTIF(F93:AI93,"10.5")+COUNTIF(F93:AI93,"11")+COUNTIF(F93:AI93,"11.5")+COUNTIF(F93:AI93,"12")+COUNTIF(F93:AI93,"12.5")+COUNTIF(F93:AI93,"13")+COUNTIF(F93:AI93,"13.5")+COUNTIF(F93:AI93,"14")+COUNTIF(F93:AI93,"14.5")+COUNTIF(F93:AI93,"15")+COUNTIF(F93:AI93,"15.5")+COUNTIF(F93:AI93,"16")+COUNTIF(F93:AI93,"16.5")+COUNTIF(F93:AI93,"17")+COUNTIF(F93:AI93,"17.5")+COUNTIF(F93:AI93,"18")+COUNTIF(F93:AI93,"18.5")+COUNTIF(F93:AI93,"19")+COUNTIF(F93:AI93,"19.5")+COUNTIF(F93:AI93,"20")+COUNTIF(F93:AI93,"20.5")+COUNTIF(F93:AI93,"21")+COUNTIF(F93:AI93,"21.5")+COUNTIF(F93:AI93,"22")+COUNTIF(F93:AI93,"22.5")+COUNTIF(F93:AI93,"23")+COUNTIF(F93:AI93,"23.5")+COUNTIF(F93:AI93,"24")+COUNTIF(F93:AI93,"S")+COUNTIF(F93:AI93,"PH")+COUNTIF(F93:AI93,"ML")+COUNTIF(F93:AI93,"OD")</f>
        <v>30</v>
      </c>
      <c r="AX93" s="16">
        <f t="shared" ref="AX93:AX129" si="244">COUNTIF(F93:AI93,"A")</f>
        <v>0</v>
      </c>
      <c r="AY93" s="16">
        <f t="shared" ref="AY93:AY129" si="245">COUNTIF(F93:AI93,"ID")</f>
        <v>0</v>
      </c>
      <c r="AZ93" s="21">
        <v>800</v>
      </c>
      <c r="BA93" s="21">
        <v>100</v>
      </c>
      <c r="BB93" s="21">
        <v>0</v>
      </c>
      <c r="BC93" s="19">
        <f t="shared" ref="BC93:BC129" si="246">MROUND(AZ93/30*AW93, 1)</f>
        <v>800</v>
      </c>
      <c r="BD93" s="19">
        <f t="shared" ref="BD93:BD129" si="247">MROUND(BA93/30*AW93, 1)</f>
        <v>100</v>
      </c>
      <c r="BE93" s="19">
        <f t="shared" ref="BE93:BE129" si="248">MROUND((AZ93/30/8*1.25*AT93)+(AZ93/30/8*1.5*AU93)+(AZ93/30/8*1.5*AV93), 1)</f>
        <v>460</v>
      </c>
      <c r="BF93" s="19">
        <f t="shared" ref="BF93:BF129" si="249">MROUND(BB93/30*AW93, 1)</f>
        <v>0</v>
      </c>
      <c r="BG93" s="19">
        <f t="shared" ref="BG93:BG129" si="250">MROUND(AZ93/30*AY93, 1)</f>
        <v>0</v>
      </c>
      <c r="BH93" s="19">
        <f t="shared" ref="BH93:BH129" si="251">MROUND(BA93/30*AY93, 1)</f>
        <v>0</v>
      </c>
      <c r="BI93" s="19">
        <v>95</v>
      </c>
      <c r="BJ93" s="19">
        <f t="shared" ref="BJ93:BJ129" si="252">SUM(BC93:BI93)</f>
        <v>1455</v>
      </c>
      <c r="BK93" s="19">
        <v>100</v>
      </c>
      <c r="BL93" s="19">
        <v>0</v>
      </c>
      <c r="BM93" s="19">
        <f t="shared" ref="BM93:BM129" si="253">BK93+BL93</f>
        <v>100</v>
      </c>
      <c r="BN93" s="19">
        <f t="shared" ref="BN93:BN129" si="254">BJ93-BM93</f>
        <v>1355</v>
      </c>
      <c r="BO93" s="19">
        <v>0</v>
      </c>
      <c r="BP93" s="19">
        <v>0</v>
      </c>
      <c r="BQ93" s="22">
        <f t="shared" ref="BQ93:BQ129" si="255">SUM(BN93:BO93)-BP93</f>
        <v>1355</v>
      </c>
      <c r="BR93" s="82">
        <f t="shared" ref="BR93:BR129" si="256">COUNTIF(F93:AI93, "8.5")</f>
        <v>0</v>
      </c>
      <c r="BS93" s="19">
        <f t="shared" ref="BS93:BS129" si="257">BR93*0.5</f>
        <v>0</v>
      </c>
      <c r="BT93" s="19">
        <f t="shared" ref="BT93:BT129" si="258">COUNTIF(F93:AI93, "9")</f>
        <v>0</v>
      </c>
      <c r="BU93" s="19">
        <f t="shared" ref="BU93:BU129" si="259">BT93*1</f>
        <v>0</v>
      </c>
      <c r="BV93" s="19">
        <f t="shared" ref="BV93:BV129" si="260">COUNTIF(F93:AI93, "9.5")</f>
        <v>0</v>
      </c>
      <c r="BW93" s="19">
        <f t="shared" ref="BW93:BW129" si="261">BV93*1.5</f>
        <v>0</v>
      </c>
      <c r="BX93" s="19">
        <f t="shared" ref="BX93:BX129" si="262">COUNTIF(F93:AI93, "10")</f>
        <v>20</v>
      </c>
      <c r="BY93" s="19">
        <f t="shared" ref="BY93:BY129" si="263">BX93*2</f>
        <v>40</v>
      </c>
      <c r="BZ93" s="19">
        <f t="shared" ref="BZ93:BZ129" si="264">COUNTIF(F93:AI93, "10.5")</f>
        <v>0</v>
      </c>
      <c r="CA93" s="19">
        <f t="shared" ref="CA93:CA129" si="265">BZ93*2.5</f>
        <v>0</v>
      </c>
      <c r="CB93" s="19">
        <f t="shared" ref="CB93:CB129" si="266">COUNTIF(F93:AI93, "11")</f>
        <v>0</v>
      </c>
      <c r="CC93" s="19">
        <f t="shared" ref="CC93:CC129" si="267">CB93*3</f>
        <v>0</v>
      </c>
      <c r="CD93" s="19">
        <f t="shared" ref="CD93:CD129" si="268">COUNTIF(F93:AI93, "11.5")</f>
        <v>0</v>
      </c>
      <c r="CE93" s="19">
        <f t="shared" ref="CE93:CE129" si="269">CD93*3.5</f>
        <v>0</v>
      </c>
      <c r="CF93" s="19">
        <f t="shared" ref="CF93:CF129" si="270">COUNTIF(F93:AI93, "12")</f>
        <v>5</v>
      </c>
      <c r="CG93" s="19">
        <f t="shared" ref="CG93:CG129" si="271">CF93*4</f>
        <v>20</v>
      </c>
      <c r="CH93" s="19">
        <f t="shared" ref="CH93:CH129" si="272">COUNTIF(F93:AI93, "12.5")</f>
        <v>0</v>
      </c>
      <c r="CI93" s="19">
        <f t="shared" ref="CI93:CI129" si="273">CH93*4.5</f>
        <v>0</v>
      </c>
      <c r="CJ93" s="19">
        <f t="shared" ref="CJ93:CJ129" si="274">COUNTIF(F93:AI93, "13")</f>
        <v>0</v>
      </c>
      <c r="CK93" s="19">
        <f t="shared" ref="CK93:CK129" si="275">CJ93*5</f>
        <v>0</v>
      </c>
      <c r="CL93" s="19">
        <f t="shared" ref="CL93:CL129" si="276">COUNTIF(F93:AI93, "13.5")</f>
        <v>0</v>
      </c>
      <c r="CM93" s="19">
        <f t="shared" ref="CM93:CM129" si="277">CL93*5.5</f>
        <v>0</v>
      </c>
      <c r="CN93" s="19">
        <f t="shared" ref="CN93:CN129" si="278">COUNTIF(F93:AI93, "14")</f>
        <v>0</v>
      </c>
      <c r="CO93" s="19">
        <f t="shared" ref="CO93:CO129" si="279">CN93*6</f>
        <v>0</v>
      </c>
      <c r="CP93" s="19">
        <f t="shared" ref="CP93:CP129" si="280">COUNTIF(F93:AI93, "14.5")</f>
        <v>0</v>
      </c>
      <c r="CQ93" s="19">
        <f t="shared" ref="CQ93:CQ129" si="281">CP93*6.5</f>
        <v>0</v>
      </c>
      <c r="CR93" s="19">
        <f t="shared" ref="CR93:CR129" si="282">COUNTIF(F93:AI93, "15")</f>
        <v>0</v>
      </c>
      <c r="CS93" s="19">
        <f t="shared" ref="CS93:CS129" si="283">CR93*7</f>
        <v>0</v>
      </c>
      <c r="CT93" s="19">
        <f t="shared" ref="CT93:CT129" si="284">COUNTIF(F93:AI93, "15.5")</f>
        <v>0</v>
      </c>
      <c r="CU93" s="19">
        <f t="shared" ref="CU93:CU129" si="285">CT93*7.5</f>
        <v>0</v>
      </c>
      <c r="CV93" s="19">
        <f t="shared" ref="CV93:CV129" si="286">COUNTIF(F93:AI93, "16")</f>
        <v>0</v>
      </c>
      <c r="CW93" s="19">
        <f t="shared" ref="CW93:CW129" si="287">CV93*8</f>
        <v>0</v>
      </c>
      <c r="CX93" s="19">
        <f t="shared" ref="CX93:CX129" si="288">COUNTIF(F93:AI93, "16.5")</f>
        <v>0</v>
      </c>
      <c r="CY93" s="19">
        <f t="shared" ref="CY93:CY129" si="289">CX93*8.5</f>
        <v>0</v>
      </c>
      <c r="CZ93" s="19">
        <f t="shared" ref="CZ93:CZ129" si="290">COUNTIF(F93:AI93, "17")</f>
        <v>0</v>
      </c>
      <c r="DA93" s="19">
        <f t="shared" ref="DA93:DA129" si="291">CZ93*9</f>
        <v>0</v>
      </c>
      <c r="DB93" s="19">
        <f t="shared" ref="DB93:DB129" si="292">COUNTIF(F93:AI93, "17.5")</f>
        <v>0</v>
      </c>
      <c r="DC93" s="19">
        <f t="shared" ref="DC93:DC129" si="293">DB93*9.5</f>
        <v>0</v>
      </c>
      <c r="DD93" s="19">
        <f t="shared" ref="DD93:DD129" si="294">COUNTIF(F93:AI93, "18")</f>
        <v>0</v>
      </c>
      <c r="DE93" s="19">
        <f t="shared" ref="DE93:DE129" si="295">DD93*10</f>
        <v>0</v>
      </c>
      <c r="DF93" s="19">
        <f t="shared" ref="DF93:DF129" si="296">COUNTIF(F93:AI93, "18.5")</f>
        <v>0</v>
      </c>
      <c r="DG93" s="19">
        <f t="shared" ref="DG93:DG129" si="297">DF93*10.5</f>
        <v>0</v>
      </c>
      <c r="DH93" s="19">
        <f t="shared" ref="DH93:DH129" si="298">COUNTIF(F93:AI93, "19")</f>
        <v>0</v>
      </c>
      <c r="DI93" s="19">
        <f t="shared" ref="DI93:DI129" si="299">DH93*11</f>
        <v>0</v>
      </c>
      <c r="DJ93" s="19">
        <f t="shared" ref="DJ93:DJ129" si="300">COUNTIF(F93:AI93, "19.5")</f>
        <v>0</v>
      </c>
      <c r="DK93" s="19">
        <f t="shared" ref="DK93:DK129" si="301">DJ93*11.5</f>
        <v>0</v>
      </c>
      <c r="DL93" s="19">
        <f t="shared" ref="DL93:DL129" si="302">COUNTIF(F93:AI93, "20")</f>
        <v>0</v>
      </c>
      <c r="DM93" s="19">
        <f t="shared" ref="DM93:DM129" si="303">DL93*12</f>
        <v>0</v>
      </c>
      <c r="DN93" s="19">
        <f t="shared" ref="DN93:DN129" si="304">COUNTIF(F93:AI93, "20.5")</f>
        <v>0</v>
      </c>
      <c r="DO93" s="19">
        <f t="shared" ref="DO93:DO129" si="305">DN93*12.5</f>
        <v>0</v>
      </c>
      <c r="DP93" s="19">
        <f t="shared" ref="DP93:DP129" si="306">COUNTIF(F93:AI93, "21")</f>
        <v>0</v>
      </c>
      <c r="DQ93" s="19">
        <f t="shared" ref="DQ93:DQ129" si="307">DP93*13</f>
        <v>0</v>
      </c>
      <c r="DR93" s="19">
        <f t="shared" ref="DR93:DR129" si="308">COUNTIF(F93:AI93, "21.5")</f>
        <v>0</v>
      </c>
      <c r="DS93" s="19">
        <f t="shared" ref="DS93:DS129" si="309">DR93*13.5</f>
        <v>0</v>
      </c>
      <c r="DT93" s="19">
        <f t="shared" ref="DT93:DT129" si="310">COUNTIF(F93:AI93, "22")</f>
        <v>0</v>
      </c>
      <c r="DU93" s="19">
        <f t="shared" ref="DU93:DU129" si="311">DT93*14</f>
        <v>0</v>
      </c>
      <c r="DV93" s="19">
        <f t="shared" ref="DV93:DV129" si="312">COUNTIF(F93:AI93, "22.5")</f>
        <v>0</v>
      </c>
      <c r="DW93" s="19">
        <f t="shared" ref="DW93:DW129" si="313">DV93*14.5</f>
        <v>0</v>
      </c>
      <c r="DX93" s="19">
        <f t="shared" ref="DX93:DX129" si="314">COUNTIF(F93:AI93, "23")</f>
        <v>0</v>
      </c>
      <c r="DY93" s="19">
        <f t="shared" ref="DY93:DY129" si="315">DX93*15</f>
        <v>0</v>
      </c>
      <c r="DZ93" s="19">
        <f t="shared" ref="DZ93:DZ129" si="316">COUNTIF(F93:AI93, "23.5")</f>
        <v>0</v>
      </c>
      <c r="EA93" s="19">
        <f t="shared" ref="EA93:EA129" si="317">DZ93*15.5</f>
        <v>0</v>
      </c>
      <c r="EB93" s="19">
        <f t="shared" ref="EB93:EB129" si="318">COUNTIF(F93:AI93, "24")</f>
        <v>0</v>
      </c>
      <c r="EC93" s="19">
        <f t="shared" ref="EC93:EC129" si="319">EB93*16</f>
        <v>0</v>
      </c>
    </row>
    <row r="94" spans="1:133" s="78" customFormat="1" ht="18" customHeight="1" x14ac:dyDescent="0.25">
      <c r="A94" s="15">
        <v>91</v>
      </c>
      <c r="B94" s="108" t="s">
        <v>617</v>
      </c>
      <c r="C94" s="74" t="s">
        <v>570</v>
      </c>
      <c r="D94" s="16" t="s">
        <v>61</v>
      </c>
      <c r="E94" s="18">
        <v>45833</v>
      </c>
      <c r="F94" s="19">
        <v>13</v>
      </c>
      <c r="G94" s="19">
        <v>12</v>
      </c>
      <c r="H94" s="19">
        <v>12</v>
      </c>
      <c r="I94" s="19">
        <v>12</v>
      </c>
      <c r="J94" s="19" t="s">
        <v>603</v>
      </c>
      <c r="K94" s="19">
        <v>12</v>
      </c>
      <c r="L94" s="19" t="s">
        <v>15</v>
      </c>
      <c r="M94" s="19">
        <v>10</v>
      </c>
      <c r="N94" s="19">
        <v>12</v>
      </c>
      <c r="O94" s="19">
        <v>10</v>
      </c>
      <c r="P94" s="19">
        <v>10</v>
      </c>
      <c r="Q94" s="19">
        <v>10</v>
      </c>
      <c r="R94" s="19">
        <v>10</v>
      </c>
      <c r="S94" s="19" t="s">
        <v>15</v>
      </c>
      <c r="T94" s="19">
        <v>10</v>
      </c>
      <c r="U94" s="19">
        <v>10</v>
      </c>
      <c r="V94" s="19">
        <v>8</v>
      </c>
      <c r="W94" s="19">
        <v>10</v>
      </c>
      <c r="X94" s="19">
        <v>10</v>
      </c>
      <c r="Y94" s="19">
        <v>10</v>
      </c>
      <c r="Z94" s="19" t="s">
        <v>15</v>
      </c>
      <c r="AA94" s="19">
        <v>10</v>
      </c>
      <c r="AB94" s="19">
        <v>12</v>
      </c>
      <c r="AC94" s="19">
        <v>11</v>
      </c>
      <c r="AD94" s="19">
        <v>10</v>
      </c>
      <c r="AE94" s="19">
        <v>12</v>
      </c>
      <c r="AF94" s="19">
        <v>11</v>
      </c>
      <c r="AG94" s="19" t="s">
        <v>15</v>
      </c>
      <c r="AH94" s="19">
        <v>11</v>
      </c>
      <c r="AI94" s="19">
        <v>11</v>
      </c>
      <c r="AJ94" s="19">
        <v>0</v>
      </c>
      <c r="AK94" s="19">
        <v>0</v>
      </c>
      <c r="AL94" s="19">
        <v>10</v>
      </c>
      <c r="AM94" s="19">
        <v>10</v>
      </c>
      <c r="AN94" s="19">
        <v>0</v>
      </c>
      <c r="AO94" s="19">
        <v>12</v>
      </c>
      <c r="AP94" s="19"/>
      <c r="AQ94" s="19"/>
      <c r="AR94" s="19"/>
      <c r="AS94" s="19">
        <v>0</v>
      </c>
      <c r="AT94" s="19">
        <f t="shared" si="240"/>
        <v>69</v>
      </c>
      <c r="AU94" s="19">
        <f t="shared" si="241"/>
        <v>20</v>
      </c>
      <c r="AV94" s="19">
        <f t="shared" si="242"/>
        <v>12</v>
      </c>
      <c r="AW94" s="16">
        <f t="shared" si="243"/>
        <v>30</v>
      </c>
      <c r="AX94" s="16">
        <f t="shared" si="244"/>
        <v>0</v>
      </c>
      <c r="AY94" s="16">
        <f t="shared" si="245"/>
        <v>0</v>
      </c>
      <c r="AZ94" s="21">
        <v>1100</v>
      </c>
      <c r="BA94" s="21">
        <v>100</v>
      </c>
      <c r="BB94" s="21">
        <v>0</v>
      </c>
      <c r="BC94" s="19">
        <f t="shared" si="246"/>
        <v>1100</v>
      </c>
      <c r="BD94" s="19">
        <f t="shared" si="247"/>
        <v>100</v>
      </c>
      <c r="BE94" s="19">
        <f t="shared" si="248"/>
        <v>615</v>
      </c>
      <c r="BF94" s="19">
        <f t="shared" si="249"/>
        <v>0</v>
      </c>
      <c r="BG94" s="19">
        <f t="shared" si="250"/>
        <v>0</v>
      </c>
      <c r="BH94" s="19">
        <f t="shared" si="251"/>
        <v>0</v>
      </c>
      <c r="BI94" s="19">
        <v>95</v>
      </c>
      <c r="BJ94" s="19">
        <f t="shared" si="252"/>
        <v>1910</v>
      </c>
      <c r="BK94" s="19">
        <v>100</v>
      </c>
      <c r="BL94" s="19">
        <v>100</v>
      </c>
      <c r="BM94" s="19">
        <f t="shared" si="253"/>
        <v>200</v>
      </c>
      <c r="BN94" s="19">
        <f t="shared" si="254"/>
        <v>1710</v>
      </c>
      <c r="BO94" s="19">
        <v>0</v>
      </c>
      <c r="BP94" s="19">
        <v>0</v>
      </c>
      <c r="BQ94" s="22">
        <f t="shared" si="255"/>
        <v>1710</v>
      </c>
      <c r="BR94" s="82">
        <f t="shared" si="256"/>
        <v>0</v>
      </c>
      <c r="BS94" s="19">
        <f t="shared" si="257"/>
        <v>0</v>
      </c>
      <c r="BT94" s="19">
        <f t="shared" si="258"/>
        <v>0</v>
      </c>
      <c r="BU94" s="19">
        <f t="shared" si="259"/>
        <v>0</v>
      </c>
      <c r="BV94" s="19">
        <f t="shared" si="260"/>
        <v>0</v>
      </c>
      <c r="BW94" s="19">
        <f t="shared" si="261"/>
        <v>0</v>
      </c>
      <c r="BX94" s="19">
        <f t="shared" si="262"/>
        <v>12</v>
      </c>
      <c r="BY94" s="19">
        <f t="shared" si="263"/>
        <v>24</v>
      </c>
      <c r="BZ94" s="19">
        <f t="shared" si="264"/>
        <v>0</v>
      </c>
      <c r="CA94" s="19">
        <f t="shared" si="265"/>
        <v>0</v>
      </c>
      <c r="CB94" s="19">
        <f t="shared" si="266"/>
        <v>4</v>
      </c>
      <c r="CC94" s="19">
        <f t="shared" si="267"/>
        <v>12</v>
      </c>
      <c r="CD94" s="19">
        <f t="shared" si="268"/>
        <v>0</v>
      </c>
      <c r="CE94" s="19">
        <f t="shared" si="269"/>
        <v>0</v>
      </c>
      <c r="CF94" s="19">
        <f t="shared" si="270"/>
        <v>7</v>
      </c>
      <c r="CG94" s="19">
        <f t="shared" si="271"/>
        <v>28</v>
      </c>
      <c r="CH94" s="19">
        <f t="shared" si="272"/>
        <v>0</v>
      </c>
      <c r="CI94" s="19">
        <f t="shared" si="273"/>
        <v>0</v>
      </c>
      <c r="CJ94" s="19">
        <f t="shared" si="274"/>
        <v>1</v>
      </c>
      <c r="CK94" s="19">
        <f t="shared" si="275"/>
        <v>5</v>
      </c>
      <c r="CL94" s="19">
        <f t="shared" si="276"/>
        <v>0</v>
      </c>
      <c r="CM94" s="19">
        <f t="shared" si="277"/>
        <v>0</v>
      </c>
      <c r="CN94" s="19">
        <f t="shared" si="278"/>
        <v>0</v>
      </c>
      <c r="CO94" s="19">
        <f t="shared" si="279"/>
        <v>0</v>
      </c>
      <c r="CP94" s="19">
        <f t="shared" si="280"/>
        <v>0</v>
      </c>
      <c r="CQ94" s="19">
        <f t="shared" si="281"/>
        <v>0</v>
      </c>
      <c r="CR94" s="19">
        <f t="shared" si="282"/>
        <v>0</v>
      </c>
      <c r="CS94" s="19">
        <f t="shared" si="283"/>
        <v>0</v>
      </c>
      <c r="CT94" s="19">
        <f t="shared" si="284"/>
        <v>0</v>
      </c>
      <c r="CU94" s="19">
        <f t="shared" si="285"/>
        <v>0</v>
      </c>
      <c r="CV94" s="19">
        <f t="shared" si="286"/>
        <v>0</v>
      </c>
      <c r="CW94" s="19">
        <f t="shared" si="287"/>
        <v>0</v>
      </c>
      <c r="CX94" s="19">
        <f t="shared" si="288"/>
        <v>0</v>
      </c>
      <c r="CY94" s="19">
        <f t="shared" si="289"/>
        <v>0</v>
      </c>
      <c r="CZ94" s="19">
        <f t="shared" si="290"/>
        <v>0</v>
      </c>
      <c r="DA94" s="19">
        <f t="shared" si="291"/>
        <v>0</v>
      </c>
      <c r="DB94" s="19">
        <f t="shared" si="292"/>
        <v>0</v>
      </c>
      <c r="DC94" s="19">
        <f t="shared" si="293"/>
        <v>0</v>
      </c>
      <c r="DD94" s="19">
        <f t="shared" si="294"/>
        <v>0</v>
      </c>
      <c r="DE94" s="19">
        <f t="shared" si="295"/>
        <v>0</v>
      </c>
      <c r="DF94" s="19">
        <f t="shared" si="296"/>
        <v>0</v>
      </c>
      <c r="DG94" s="19">
        <f t="shared" si="297"/>
        <v>0</v>
      </c>
      <c r="DH94" s="19">
        <f t="shared" si="298"/>
        <v>0</v>
      </c>
      <c r="DI94" s="19">
        <f t="shared" si="299"/>
        <v>0</v>
      </c>
      <c r="DJ94" s="19">
        <f t="shared" si="300"/>
        <v>0</v>
      </c>
      <c r="DK94" s="19">
        <f t="shared" si="301"/>
        <v>0</v>
      </c>
      <c r="DL94" s="19">
        <f t="shared" si="302"/>
        <v>0</v>
      </c>
      <c r="DM94" s="19">
        <f t="shared" si="303"/>
        <v>0</v>
      </c>
      <c r="DN94" s="19">
        <f t="shared" si="304"/>
        <v>0</v>
      </c>
      <c r="DO94" s="19">
        <f t="shared" si="305"/>
        <v>0</v>
      </c>
      <c r="DP94" s="19">
        <f t="shared" si="306"/>
        <v>0</v>
      </c>
      <c r="DQ94" s="19">
        <f t="shared" si="307"/>
        <v>0</v>
      </c>
      <c r="DR94" s="19">
        <f t="shared" si="308"/>
        <v>0</v>
      </c>
      <c r="DS94" s="19">
        <f t="shared" si="309"/>
        <v>0</v>
      </c>
      <c r="DT94" s="19">
        <f t="shared" si="310"/>
        <v>0</v>
      </c>
      <c r="DU94" s="19">
        <f t="shared" si="311"/>
        <v>0</v>
      </c>
      <c r="DV94" s="19">
        <f t="shared" si="312"/>
        <v>0</v>
      </c>
      <c r="DW94" s="19">
        <f t="shared" si="313"/>
        <v>0</v>
      </c>
      <c r="DX94" s="19">
        <f t="shared" si="314"/>
        <v>0</v>
      </c>
      <c r="DY94" s="19">
        <f t="shared" si="315"/>
        <v>0</v>
      </c>
      <c r="DZ94" s="19">
        <f t="shared" si="316"/>
        <v>0</v>
      </c>
      <c r="EA94" s="19">
        <f t="shared" si="317"/>
        <v>0</v>
      </c>
      <c r="EB94" s="19">
        <f t="shared" si="318"/>
        <v>0</v>
      </c>
      <c r="EC94" s="19">
        <f t="shared" si="319"/>
        <v>0</v>
      </c>
    </row>
    <row r="95" spans="1:133" s="78" customFormat="1" ht="18" customHeight="1" x14ac:dyDescent="0.25">
      <c r="A95" s="15">
        <v>92</v>
      </c>
      <c r="B95" s="108" t="s">
        <v>618</v>
      </c>
      <c r="C95" s="74" t="s">
        <v>571</v>
      </c>
      <c r="D95" s="16" t="s">
        <v>61</v>
      </c>
      <c r="E95" s="18">
        <v>45833</v>
      </c>
      <c r="F95" s="19">
        <v>13</v>
      </c>
      <c r="G95" s="19">
        <v>12</v>
      </c>
      <c r="H95" s="19">
        <v>12</v>
      </c>
      <c r="I95" s="19">
        <v>12</v>
      </c>
      <c r="J95" s="19" t="s">
        <v>603</v>
      </c>
      <c r="K95" s="19">
        <v>12</v>
      </c>
      <c r="L95" s="19" t="s">
        <v>15</v>
      </c>
      <c r="M95" s="19">
        <v>10</v>
      </c>
      <c r="N95" s="19">
        <v>12</v>
      </c>
      <c r="O95" s="19">
        <v>10</v>
      </c>
      <c r="P95" s="19">
        <v>10</v>
      </c>
      <c r="Q95" s="19">
        <v>10</v>
      </c>
      <c r="R95" s="19">
        <v>10</v>
      </c>
      <c r="S95" s="19" t="s">
        <v>15</v>
      </c>
      <c r="T95" s="19">
        <v>10</v>
      </c>
      <c r="U95" s="19">
        <v>10</v>
      </c>
      <c r="V95" s="19">
        <v>8</v>
      </c>
      <c r="W95" s="19">
        <v>10</v>
      </c>
      <c r="X95" s="19">
        <v>10</v>
      </c>
      <c r="Y95" s="19">
        <v>10</v>
      </c>
      <c r="Z95" s="19" t="s">
        <v>15</v>
      </c>
      <c r="AA95" s="19">
        <v>10</v>
      </c>
      <c r="AB95" s="19">
        <v>10</v>
      </c>
      <c r="AC95" s="19">
        <v>10</v>
      </c>
      <c r="AD95" s="19">
        <v>10</v>
      </c>
      <c r="AE95" s="19">
        <v>12</v>
      </c>
      <c r="AF95" s="19">
        <v>11</v>
      </c>
      <c r="AG95" s="19" t="s">
        <v>15</v>
      </c>
      <c r="AH95" s="19">
        <v>11</v>
      </c>
      <c r="AI95" s="19">
        <v>11</v>
      </c>
      <c r="AJ95" s="19">
        <v>0</v>
      </c>
      <c r="AK95" s="19">
        <v>0</v>
      </c>
      <c r="AL95" s="19">
        <v>0</v>
      </c>
      <c r="AM95" s="19">
        <v>10</v>
      </c>
      <c r="AN95" s="19">
        <v>0</v>
      </c>
      <c r="AO95" s="19">
        <v>12</v>
      </c>
      <c r="AP95" s="19"/>
      <c r="AQ95" s="19"/>
      <c r="AR95" s="19"/>
      <c r="AS95" s="19">
        <v>0</v>
      </c>
      <c r="AT95" s="19">
        <f t="shared" si="240"/>
        <v>66</v>
      </c>
      <c r="AU95" s="19">
        <f t="shared" si="241"/>
        <v>10</v>
      </c>
      <c r="AV95" s="19">
        <f t="shared" si="242"/>
        <v>12</v>
      </c>
      <c r="AW95" s="16">
        <f t="shared" si="243"/>
        <v>30</v>
      </c>
      <c r="AX95" s="16">
        <f t="shared" si="244"/>
        <v>0</v>
      </c>
      <c r="AY95" s="16">
        <f t="shared" si="245"/>
        <v>0</v>
      </c>
      <c r="AZ95" s="21">
        <v>1100</v>
      </c>
      <c r="BA95" s="21">
        <v>100</v>
      </c>
      <c r="BB95" s="21">
        <v>0</v>
      </c>
      <c r="BC95" s="19">
        <f t="shared" si="246"/>
        <v>1100</v>
      </c>
      <c r="BD95" s="19">
        <f t="shared" si="247"/>
        <v>100</v>
      </c>
      <c r="BE95" s="19">
        <f t="shared" si="248"/>
        <v>529</v>
      </c>
      <c r="BF95" s="19">
        <f t="shared" si="249"/>
        <v>0</v>
      </c>
      <c r="BG95" s="19">
        <f t="shared" si="250"/>
        <v>0</v>
      </c>
      <c r="BH95" s="19">
        <f t="shared" si="251"/>
        <v>0</v>
      </c>
      <c r="BI95" s="19">
        <v>95</v>
      </c>
      <c r="BJ95" s="19">
        <f t="shared" si="252"/>
        <v>1824</v>
      </c>
      <c r="BK95" s="19">
        <v>100</v>
      </c>
      <c r="BL95" s="19">
        <v>0</v>
      </c>
      <c r="BM95" s="19">
        <f t="shared" si="253"/>
        <v>100</v>
      </c>
      <c r="BN95" s="19">
        <f t="shared" si="254"/>
        <v>1724</v>
      </c>
      <c r="BO95" s="19">
        <v>0</v>
      </c>
      <c r="BP95" s="19">
        <v>0</v>
      </c>
      <c r="BQ95" s="22">
        <f t="shared" si="255"/>
        <v>1724</v>
      </c>
      <c r="BR95" s="82">
        <f t="shared" si="256"/>
        <v>0</v>
      </c>
      <c r="BS95" s="19">
        <f t="shared" si="257"/>
        <v>0</v>
      </c>
      <c r="BT95" s="19">
        <f t="shared" si="258"/>
        <v>0</v>
      </c>
      <c r="BU95" s="19">
        <f t="shared" si="259"/>
        <v>0</v>
      </c>
      <c r="BV95" s="19">
        <f t="shared" si="260"/>
        <v>0</v>
      </c>
      <c r="BW95" s="19">
        <f t="shared" si="261"/>
        <v>0</v>
      </c>
      <c r="BX95" s="19">
        <f t="shared" si="262"/>
        <v>14</v>
      </c>
      <c r="BY95" s="19">
        <f t="shared" si="263"/>
        <v>28</v>
      </c>
      <c r="BZ95" s="19">
        <f t="shared" si="264"/>
        <v>0</v>
      </c>
      <c r="CA95" s="19">
        <f t="shared" si="265"/>
        <v>0</v>
      </c>
      <c r="CB95" s="19">
        <f t="shared" si="266"/>
        <v>3</v>
      </c>
      <c r="CC95" s="19">
        <f t="shared" si="267"/>
        <v>9</v>
      </c>
      <c r="CD95" s="19">
        <f t="shared" si="268"/>
        <v>0</v>
      </c>
      <c r="CE95" s="19">
        <f t="shared" si="269"/>
        <v>0</v>
      </c>
      <c r="CF95" s="19">
        <f t="shared" si="270"/>
        <v>6</v>
      </c>
      <c r="CG95" s="19">
        <f t="shared" si="271"/>
        <v>24</v>
      </c>
      <c r="CH95" s="19">
        <f t="shared" si="272"/>
        <v>0</v>
      </c>
      <c r="CI95" s="19">
        <f t="shared" si="273"/>
        <v>0</v>
      </c>
      <c r="CJ95" s="19">
        <f t="shared" si="274"/>
        <v>1</v>
      </c>
      <c r="CK95" s="19">
        <f t="shared" si="275"/>
        <v>5</v>
      </c>
      <c r="CL95" s="19">
        <f t="shared" si="276"/>
        <v>0</v>
      </c>
      <c r="CM95" s="19">
        <f t="shared" si="277"/>
        <v>0</v>
      </c>
      <c r="CN95" s="19">
        <f t="shared" si="278"/>
        <v>0</v>
      </c>
      <c r="CO95" s="19">
        <f t="shared" si="279"/>
        <v>0</v>
      </c>
      <c r="CP95" s="19">
        <f t="shared" si="280"/>
        <v>0</v>
      </c>
      <c r="CQ95" s="19">
        <f t="shared" si="281"/>
        <v>0</v>
      </c>
      <c r="CR95" s="19">
        <f t="shared" si="282"/>
        <v>0</v>
      </c>
      <c r="CS95" s="19">
        <f t="shared" si="283"/>
        <v>0</v>
      </c>
      <c r="CT95" s="19">
        <f t="shared" si="284"/>
        <v>0</v>
      </c>
      <c r="CU95" s="19">
        <f t="shared" si="285"/>
        <v>0</v>
      </c>
      <c r="CV95" s="19">
        <f t="shared" si="286"/>
        <v>0</v>
      </c>
      <c r="CW95" s="19">
        <f t="shared" si="287"/>
        <v>0</v>
      </c>
      <c r="CX95" s="19">
        <f t="shared" si="288"/>
        <v>0</v>
      </c>
      <c r="CY95" s="19">
        <f t="shared" si="289"/>
        <v>0</v>
      </c>
      <c r="CZ95" s="19">
        <f t="shared" si="290"/>
        <v>0</v>
      </c>
      <c r="DA95" s="19">
        <f t="shared" si="291"/>
        <v>0</v>
      </c>
      <c r="DB95" s="19">
        <f t="shared" si="292"/>
        <v>0</v>
      </c>
      <c r="DC95" s="19">
        <f t="shared" si="293"/>
        <v>0</v>
      </c>
      <c r="DD95" s="19">
        <f t="shared" si="294"/>
        <v>0</v>
      </c>
      <c r="DE95" s="19">
        <f t="shared" si="295"/>
        <v>0</v>
      </c>
      <c r="DF95" s="19">
        <f t="shared" si="296"/>
        <v>0</v>
      </c>
      <c r="DG95" s="19">
        <f t="shared" si="297"/>
        <v>0</v>
      </c>
      <c r="DH95" s="19">
        <f t="shared" si="298"/>
        <v>0</v>
      </c>
      <c r="DI95" s="19">
        <f t="shared" si="299"/>
        <v>0</v>
      </c>
      <c r="DJ95" s="19">
        <f t="shared" si="300"/>
        <v>0</v>
      </c>
      <c r="DK95" s="19">
        <f t="shared" si="301"/>
        <v>0</v>
      </c>
      <c r="DL95" s="19">
        <f t="shared" si="302"/>
        <v>0</v>
      </c>
      <c r="DM95" s="19">
        <f t="shared" si="303"/>
        <v>0</v>
      </c>
      <c r="DN95" s="19">
        <f t="shared" si="304"/>
        <v>0</v>
      </c>
      <c r="DO95" s="19">
        <f t="shared" si="305"/>
        <v>0</v>
      </c>
      <c r="DP95" s="19">
        <f t="shared" si="306"/>
        <v>0</v>
      </c>
      <c r="DQ95" s="19">
        <f t="shared" si="307"/>
        <v>0</v>
      </c>
      <c r="DR95" s="19">
        <f t="shared" si="308"/>
        <v>0</v>
      </c>
      <c r="DS95" s="19">
        <f t="shared" si="309"/>
        <v>0</v>
      </c>
      <c r="DT95" s="19">
        <f t="shared" si="310"/>
        <v>0</v>
      </c>
      <c r="DU95" s="19">
        <f t="shared" si="311"/>
        <v>0</v>
      </c>
      <c r="DV95" s="19">
        <f t="shared" si="312"/>
        <v>0</v>
      </c>
      <c r="DW95" s="19">
        <f t="shared" si="313"/>
        <v>0</v>
      </c>
      <c r="DX95" s="19">
        <f t="shared" si="314"/>
        <v>0</v>
      </c>
      <c r="DY95" s="19">
        <f t="shared" si="315"/>
        <v>0</v>
      </c>
      <c r="DZ95" s="19">
        <f t="shared" si="316"/>
        <v>0</v>
      </c>
      <c r="EA95" s="19">
        <f t="shared" si="317"/>
        <v>0</v>
      </c>
      <c r="EB95" s="19">
        <f t="shared" si="318"/>
        <v>0</v>
      </c>
      <c r="EC95" s="19">
        <f t="shared" si="319"/>
        <v>0</v>
      </c>
    </row>
    <row r="96" spans="1:133" s="78" customFormat="1" ht="18" customHeight="1" x14ac:dyDescent="0.25">
      <c r="A96" s="15">
        <v>93</v>
      </c>
      <c r="B96" s="108" t="s">
        <v>619</v>
      </c>
      <c r="C96" s="74" t="s">
        <v>572</v>
      </c>
      <c r="D96" s="16" t="s">
        <v>61</v>
      </c>
      <c r="E96" s="18">
        <v>45833</v>
      </c>
      <c r="F96" s="19">
        <v>13</v>
      </c>
      <c r="G96" s="19">
        <v>12</v>
      </c>
      <c r="H96" s="19">
        <v>12</v>
      </c>
      <c r="I96" s="19">
        <v>12</v>
      </c>
      <c r="J96" s="19" t="s">
        <v>603</v>
      </c>
      <c r="K96" s="19">
        <v>12</v>
      </c>
      <c r="L96" s="19" t="s">
        <v>15</v>
      </c>
      <c r="M96" s="19">
        <v>10</v>
      </c>
      <c r="N96" s="19">
        <v>12</v>
      </c>
      <c r="O96" s="19">
        <v>10</v>
      </c>
      <c r="P96" s="19">
        <v>10</v>
      </c>
      <c r="Q96" s="19">
        <v>10</v>
      </c>
      <c r="R96" s="19">
        <v>10</v>
      </c>
      <c r="S96" s="19" t="s">
        <v>15</v>
      </c>
      <c r="T96" s="19">
        <v>10</v>
      </c>
      <c r="U96" s="19">
        <v>10</v>
      </c>
      <c r="V96" s="19">
        <v>8</v>
      </c>
      <c r="W96" s="19">
        <v>10</v>
      </c>
      <c r="X96" s="19">
        <v>10</v>
      </c>
      <c r="Y96" s="19">
        <v>10</v>
      </c>
      <c r="Z96" s="19" t="s">
        <v>15</v>
      </c>
      <c r="AA96" s="19">
        <v>10</v>
      </c>
      <c r="AB96" s="19">
        <v>10</v>
      </c>
      <c r="AC96" s="19">
        <v>10</v>
      </c>
      <c r="AD96" s="19">
        <v>10</v>
      </c>
      <c r="AE96" s="19">
        <v>12</v>
      </c>
      <c r="AF96" s="19">
        <v>11</v>
      </c>
      <c r="AG96" s="19" t="s">
        <v>15</v>
      </c>
      <c r="AH96" s="19">
        <v>11</v>
      </c>
      <c r="AI96" s="19">
        <v>11</v>
      </c>
      <c r="AJ96" s="19">
        <v>0</v>
      </c>
      <c r="AK96" s="19">
        <v>0</v>
      </c>
      <c r="AL96" s="19">
        <v>0</v>
      </c>
      <c r="AM96" s="19">
        <v>10</v>
      </c>
      <c r="AN96" s="19">
        <v>0</v>
      </c>
      <c r="AO96" s="19">
        <v>12</v>
      </c>
      <c r="AP96" s="19"/>
      <c r="AQ96" s="19"/>
      <c r="AR96" s="19"/>
      <c r="AS96" s="19">
        <v>0</v>
      </c>
      <c r="AT96" s="19">
        <f t="shared" si="240"/>
        <v>66</v>
      </c>
      <c r="AU96" s="19">
        <f t="shared" si="241"/>
        <v>10</v>
      </c>
      <c r="AV96" s="19">
        <f t="shared" si="242"/>
        <v>12</v>
      </c>
      <c r="AW96" s="16">
        <f t="shared" si="243"/>
        <v>30</v>
      </c>
      <c r="AX96" s="16">
        <f t="shared" si="244"/>
        <v>0</v>
      </c>
      <c r="AY96" s="16">
        <f t="shared" si="245"/>
        <v>0</v>
      </c>
      <c r="AZ96" s="21">
        <v>1100</v>
      </c>
      <c r="BA96" s="21">
        <v>100</v>
      </c>
      <c r="BB96" s="21">
        <v>0</v>
      </c>
      <c r="BC96" s="19">
        <f t="shared" si="246"/>
        <v>1100</v>
      </c>
      <c r="BD96" s="19">
        <f t="shared" si="247"/>
        <v>100</v>
      </c>
      <c r="BE96" s="19">
        <f t="shared" si="248"/>
        <v>529</v>
      </c>
      <c r="BF96" s="19">
        <f t="shared" si="249"/>
        <v>0</v>
      </c>
      <c r="BG96" s="19">
        <f t="shared" si="250"/>
        <v>0</v>
      </c>
      <c r="BH96" s="19">
        <f t="shared" si="251"/>
        <v>0</v>
      </c>
      <c r="BI96" s="19">
        <v>95</v>
      </c>
      <c r="BJ96" s="19">
        <f t="shared" si="252"/>
        <v>1824</v>
      </c>
      <c r="BK96" s="19">
        <v>100</v>
      </c>
      <c r="BL96" s="19">
        <v>0</v>
      </c>
      <c r="BM96" s="19">
        <f t="shared" si="253"/>
        <v>100</v>
      </c>
      <c r="BN96" s="19">
        <f t="shared" si="254"/>
        <v>1724</v>
      </c>
      <c r="BO96" s="19">
        <v>0</v>
      </c>
      <c r="BP96" s="19">
        <v>0</v>
      </c>
      <c r="BQ96" s="22">
        <f t="shared" si="255"/>
        <v>1724</v>
      </c>
      <c r="BR96" s="82">
        <f t="shared" si="256"/>
        <v>0</v>
      </c>
      <c r="BS96" s="19">
        <f t="shared" si="257"/>
        <v>0</v>
      </c>
      <c r="BT96" s="19">
        <f t="shared" si="258"/>
        <v>0</v>
      </c>
      <c r="BU96" s="19">
        <f t="shared" si="259"/>
        <v>0</v>
      </c>
      <c r="BV96" s="19">
        <f t="shared" si="260"/>
        <v>0</v>
      </c>
      <c r="BW96" s="19">
        <f t="shared" si="261"/>
        <v>0</v>
      </c>
      <c r="BX96" s="19">
        <f t="shared" si="262"/>
        <v>14</v>
      </c>
      <c r="BY96" s="19">
        <f t="shared" si="263"/>
        <v>28</v>
      </c>
      <c r="BZ96" s="19">
        <f t="shared" si="264"/>
        <v>0</v>
      </c>
      <c r="CA96" s="19">
        <f t="shared" si="265"/>
        <v>0</v>
      </c>
      <c r="CB96" s="19">
        <f t="shared" si="266"/>
        <v>3</v>
      </c>
      <c r="CC96" s="19">
        <f t="shared" si="267"/>
        <v>9</v>
      </c>
      <c r="CD96" s="19">
        <f t="shared" si="268"/>
        <v>0</v>
      </c>
      <c r="CE96" s="19">
        <f t="shared" si="269"/>
        <v>0</v>
      </c>
      <c r="CF96" s="19">
        <f t="shared" si="270"/>
        <v>6</v>
      </c>
      <c r="CG96" s="19">
        <f t="shared" si="271"/>
        <v>24</v>
      </c>
      <c r="CH96" s="19">
        <f t="shared" si="272"/>
        <v>0</v>
      </c>
      <c r="CI96" s="19">
        <f t="shared" si="273"/>
        <v>0</v>
      </c>
      <c r="CJ96" s="19">
        <f t="shared" si="274"/>
        <v>1</v>
      </c>
      <c r="CK96" s="19">
        <f t="shared" si="275"/>
        <v>5</v>
      </c>
      <c r="CL96" s="19">
        <f t="shared" si="276"/>
        <v>0</v>
      </c>
      <c r="CM96" s="19">
        <f t="shared" si="277"/>
        <v>0</v>
      </c>
      <c r="CN96" s="19">
        <f t="shared" si="278"/>
        <v>0</v>
      </c>
      <c r="CO96" s="19">
        <f t="shared" si="279"/>
        <v>0</v>
      </c>
      <c r="CP96" s="19">
        <f t="shared" si="280"/>
        <v>0</v>
      </c>
      <c r="CQ96" s="19">
        <f t="shared" si="281"/>
        <v>0</v>
      </c>
      <c r="CR96" s="19">
        <f t="shared" si="282"/>
        <v>0</v>
      </c>
      <c r="CS96" s="19">
        <f t="shared" si="283"/>
        <v>0</v>
      </c>
      <c r="CT96" s="19">
        <f t="shared" si="284"/>
        <v>0</v>
      </c>
      <c r="CU96" s="19">
        <f t="shared" si="285"/>
        <v>0</v>
      </c>
      <c r="CV96" s="19">
        <f t="shared" si="286"/>
        <v>0</v>
      </c>
      <c r="CW96" s="19">
        <f t="shared" si="287"/>
        <v>0</v>
      </c>
      <c r="CX96" s="19">
        <f t="shared" si="288"/>
        <v>0</v>
      </c>
      <c r="CY96" s="19">
        <f t="shared" si="289"/>
        <v>0</v>
      </c>
      <c r="CZ96" s="19">
        <f t="shared" si="290"/>
        <v>0</v>
      </c>
      <c r="DA96" s="19">
        <f t="shared" si="291"/>
        <v>0</v>
      </c>
      <c r="DB96" s="19">
        <f t="shared" si="292"/>
        <v>0</v>
      </c>
      <c r="DC96" s="19">
        <f t="shared" si="293"/>
        <v>0</v>
      </c>
      <c r="DD96" s="19">
        <f t="shared" si="294"/>
        <v>0</v>
      </c>
      <c r="DE96" s="19">
        <f t="shared" si="295"/>
        <v>0</v>
      </c>
      <c r="DF96" s="19">
        <f t="shared" si="296"/>
        <v>0</v>
      </c>
      <c r="DG96" s="19">
        <f t="shared" si="297"/>
        <v>0</v>
      </c>
      <c r="DH96" s="19">
        <f t="shared" si="298"/>
        <v>0</v>
      </c>
      <c r="DI96" s="19">
        <f t="shared" si="299"/>
        <v>0</v>
      </c>
      <c r="DJ96" s="19">
        <f t="shared" si="300"/>
        <v>0</v>
      </c>
      <c r="DK96" s="19">
        <f t="shared" si="301"/>
        <v>0</v>
      </c>
      <c r="DL96" s="19">
        <f t="shared" si="302"/>
        <v>0</v>
      </c>
      <c r="DM96" s="19">
        <f t="shared" si="303"/>
        <v>0</v>
      </c>
      <c r="DN96" s="19">
        <f t="shared" si="304"/>
        <v>0</v>
      </c>
      <c r="DO96" s="19">
        <f t="shared" si="305"/>
        <v>0</v>
      </c>
      <c r="DP96" s="19">
        <f t="shared" si="306"/>
        <v>0</v>
      </c>
      <c r="DQ96" s="19">
        <f t="shared" si="307"/>
        <v>0</v>
      </c>
      <c r="DR96" s="19">
        <f t="shared" si="308"/>
        <v>0</v>
      </c>
      <c r="DS96" s="19">
        <f t="shared" si="309"/>
        <v>0</v>
      </c>
      <c r="DT96" s="19">
        <f t="shared" si="310"/>
        <v>0</v>
      </c>
      <c r="DU96" s="19">
        <f t="shared" si="311"/>
        <v>0</v>
      </c>
      <c r="DV96" s="19">
        <f t="shared" si="312"/>
        <v>0</v>
      </c>
      <c r="DW96" s="19">
        <f t="shared" si="313"/>
        <v>0</v>
      </c>
      <c r="DX96" s="19">
        <f t="shared" si="314"/>
        <v>0</v>
      </c>
      <c r="DY96" s="19">
        <f t="shared" si="315"/>
        <v>0</v>
      </c>
      <c r="DZ96" s="19">
        <f t="shared" si="316"/>
        <v>0</v>
      </c>
      <c r="EA96" s="19">
        <f t="shared" si="317"/>
        <v>0</v>
      </c>
      <c r="EB96" s="19">
        <f t="shared" si="318"/>
        <v>0</v>
      </c>
      <c r="EC96" s="19">
        <f t="shared" si="319"/>
        <v>0</v>
      </c>
    </row>
    <row r="97" spans="1:134" s="78" customFormat="1" ht="18" customHeight="1" x14ac:dyDescent="0.25">
      <c r="A97" s="15">
        <v>94</v>
      </c>
      <c r="B97" s="108" t="s">
        <v>620</v>
      </c>
      <c r="C97" s="74" t="s">
        <v>573</v>
      </c>
      <c r="D97" s="16" t="s">
        <v>61</v>
      </c>
      <c r="E97" s="18">
        <v>45834</v>
      </c>
      <c r="F97" s="19">
        <v>11</v>
      </c>
      <c r="G97" s="19">
        <v>11</v>
      </c>
      <c r="H97" s="19">
        <v>11</v>
      </c>
      <c r="I97" s="19">
        <v>11</v>
      </c>
      <c r="J97" s="19" t="s">
        <v>603</v>
      </c>
      <c r="K97" s="19">
        <v>11</v>
      </c>
      <c r="L97" s="19" t="s">
        <v>15</v>
      </c>
      <c r="M97" s="19">
        <v>11</v>
      </c>
      <c r="N97" s="19">
        <v>11</v>
      </c>
      <c r="O97" s="19">
        <v>11</v>
      </c>
      <c r="P97" s="19">
        <v>11</v>
      </c>
      <c r="Q97" s="19">
        <v>11</v>
      </c>
      <c r="R97" s="19">
        <v>11</v>
      </c>
      <c r="S97" s="19" t="s">
        <v>15</v>
      </c>
      <c r="T97" s="19">
        <v>11</v>
      </c>
      <c r="U97" s="19">
        <v>11</v>
      </c>
      <c r="V97" s="19">
        <v>11</v>
      </c>
      <c r="W97" s="19">
        <v>11</v>
      </c>
      <c r="X97" s="19">
        <v>8</v>
      </c>
      <c r="Y97" s="19">
        <v>11</v>
      </c>
      <c r="Z97" s="19" t="s">
        <v>15</v>
      </c>
      <c r="AA97" s="19">
        <v>11</v>
      </c>
      <c r="AB97" s="19">
        <v>11</v>
      </c>
      <c r="AC97" s="19">
        <v>11</v>
      </c>
      <c r="AD97" s="19">
        <v>11</v>
      </c>
      <c r="AE97" s="19">
        <v>11</v>
      </c>
      <c r="AF97" s="19">
        <v>11</v>
      </c>
      <c r="AG97" s="19" t="s">
        <v>15</v>
      </c>
      <c r="AH97" s="19">
        <v>11</v>
      </c>
      <c r="AI97" s="19">
        <v>11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11</v>
      </c>
      <c r="AP97" s="19"/>
      <c r="AQ97" s="19"/>
      <c r="AR97" s="19"/>
      <c r="AS97" s="19">
        <v>0</v>
      </c>
      <c r="AT97" s="19">
        <f t="shared" si="240"/>
        <v>72</v>
      </c>
      <c r="AU97" s="19">
        <f t="shared" si="241"/>
        <v>0</v>
      </c>
      <c r="AV97" s="19">
        <f t="shared" si="242"/>
        <v>11</v>
      </c>
      <c r="AW97" s="16">
        <f t="shared" si="243"/>
        <v>30</v>
      </c>
      <c r="AX97" s="16">
        <f t="shared" si="244"/>
        <v>0</v>
      </c>
      <c r="AY97" s="16">
        <f t="shared" si="245"/>
        <v>0</v>
      </c>
      <c r="AZ97" s="21">
        <v>1100</v>
      </c>
      <c r="BA97" s="21">
        <v>100</v>
      </c>
      <c r="BB97" s="21">
        <v>0</v>
      </c>
      <c r="BC97" s="19">
        <f t="shared" si="246"/>
        <v>1100</v>
      </c>
      <c r="BD97" s="19">
        <f t="shared" si="247"/>
        <v>100</v>
      </c>
      <c r="BE97" s="19">
        <f t="shared" si="248"/>
        <v>488</v>
      </c>
      <c r="BF97" s="19">
        <f t="shared" si="249"/>
        <v>0</v>
      </c>
      <c r="BG97" s="19">
        <f t="shared" si="250"/>
        <v>0</v>
      </c>
      <c r="BH97" s="19">
        <f t="shared" si="251"/>
        <v>0</v>
      </c>
      <c r="BI97" s="19">
        <v>95</v>
      </c>
      <c r="BJ97" s="19">
        <f t="shared" si="252"/>
        <v>1783</v>
      </c>
      <c r="BK97" s="19">
        <v>100</v>
      </c>
      <c r="BL97" s="19">
        <v>0</v>
      </c>
      <c r="BM97" s="19">
        <f t="shared" si="253"/>
        <v>100</v>
      </c>
      <c r="BN97" s="19">
        <f t="shared" si="254"/>
        <v>1683</v>
      </c>
      <c r="BO97" s="19">
        <v>0</v>
      </c>
      <c r="BP97" s="19">
        <v>0</v>
      </c>
      <c r="BQ97" s="22">
        <f t="shared" si="255"/>
        <v>1683</v>
      </c>
      <c r="BR97" s="82">
        <f t="shared" si="256"/>
        <v>0</v>
      </c>
      <c r="BS97" s="19">
        <f t="shared" si="257"/>
        <v>0</v>
      </c>
      <c r="BT97" s="19">
        <f t="shared" si="258"/>
        <v>0</v>
      </c>
      <c r="BU97" s="19">
        <f t="shared" si="259"/>
        <v>0</v>
      </c>
      <c r="BV97" s="19">
        <f t="shared" si="260"/>
        <v>0</v>
      </c>
      <c r="BW97" s="19">
        <f t="shared" si="261"/>
        <v>0</v>
      </c>
      <c r="BX97" s="19">
        <f t="shared" si="262"/>
        <v>0</v>
      </c>
      <c r="BY97" s="19">
        <f t="shared" si="263"/>
        <v>0</v>
      </c>
      <c r="BZ97" s="19">
        <f t="shared" si="264"/>
        <v>0</v>
      </c>
      <c r="CA97" s="19">
        <f t="shared" si="265"/>
        <v>0</v>
      </c>
      <c r="CB97" s="19">
        <f t="shared" si="266"/>
        <v>24</v>
      </c>
      <c r="CC97" s="19">
        <f t="shared" si="267"/>
        <v>72</v>
      </c>
      <c r="CD97" s="19">
        <f t="shared" si="268"/>
        <v>0</v>
      </c>
      <c r="CE97" s="19">
        <f t="shared" si="269"/>
        <v>0</v>
      </c>
      <c r="CF97" s="19">
        <f t="shared" si="270"/>
        <v>0</v>
      </c>
      <c r="CG97" s="19">
        <f t="shared" si="271"/>
        <v>0</v>
      </c>
      <c r="CH97" s="19">
        <f t="shared" si="272"/>
        <v>0</v>
      </c>
      <c r="CI97" s="19">
        <f t="shared" si="273"/>
        <v>0</v>
      </c>
      <c r="CJ97" s="19">
        <f t="shared" si="274"/>
        <v>0</v>
      </c>
      <c r="CK97" s="19">
        <f t="shared" si="275"/>
        <v>0</v>
      </c>
      <c r="CL97" s="19">
        <f t="shared" si="276"/>
        <v>0</v>
      </c>
      <c r="CM97" s="19">
        <f t="shared" si="277"/>
        <v>0</v>
      </c>
      <c r="CN97" s="19">
        <f t="shared" si="278"/>
        <v>0</v>
      </c>
      <c r="CO97" s="19">
        <f t="shared" si="279"/>
        <v>0</v>
      </c>
      <c r="CP97" s="19">
        <f t="shared" si="280"/>
        <v>0</v>
      </c>
      <c r="CQ97" s="19">
        <f t="shared" si="281"/>
        <v>0</v>
      </c>
      <c r="CR97" s="19">
        <f t="shared" si="282"/>
        <v>0</v>
      </c>
      <c r="CS97" s="19">
        <f t="shared" si="283"/>
        <v>0</v>
      </c>
      <c r="CT97" s="19">
        <f t="shared" si="284"/>
        <v>0</v>
      </c>
      <c r="CU97" s="19">
        <f t="shared" si="285"/>
        <v>0</v>
      </c>
      <c r="CV97" s="19">
        <f t="shared" si="286"/>
        <v>0</v>
      </c>
      <c r="CW97" s="19">
        <f t="shared" si="287"/>
        <v>0</v>
      </c>
      <c r="CX97" s="19">
        <f t="shared" si="288"/>
        <v>0</v>
      </c>
      <c r="CY97" s="19">
        <f t="shared" si="289"/>
        <v>0</v>
      </c>
      <c r="CZ97" s="19">
        <f t="shared" si="290"/>
        <v>0</v>
      </c>
      <c r="DA97" s="19">
        <f t="shared" si="291"/>
        <v>0</v>
      </c>
      <c r="DB97" s="19">
        <f t="shared" si="292"/>
        <v>0</v>
      </c>
      <c r="DC97" s="19">
        <f t="shared" si="293"/>
        <v>0</v>
      </c>
      <c r="DD97" s="19">
        <f t="shared" si="294"/>
        <v>0</v>
      </c>
      <c r="DE97" s="19">
        <f t="shared" si="295"/>
        <v>0</v>
      </c>
      <c r="DF97" s="19">
        <f t="shared" si="296"/>
        <v>0</v>
      </c>
      <c r="DG97" s="19">
        <f t="shared" si="297"/>
        <v>0</v>
      </c>
      <c r="DH97" s="19">
        <f t="shared" si="298"/>
        <v>0</v>
      </c>
      <c r="DI97" s="19">
        <f t="shared" si="299"/>
        <v>0</v>
      </c>
      <c r="DJ97" s="19">
        <f t="shared" si="300"/>
        <v>0</v>
      </c>
      <c r="DK97" s="19">
        <f t="shared" si="301"/>
        <v>0</v>
      </c>
      <c r="DL97" s="19">
        <f t="shared" si="302"/>
        <v>0</v>
      </c>
      <c r="DM97" s="19">
        <f t="shared" si="303"/>
        <v>0</v>
      </c>
      <c r="DN97" s="19">
        <f t="shared" si="304"/>
        <v>0</v>
      </c>
      <c r="DO97" s="19">
        <f t="shared" si="305"/>
        <v>0</v>
      </c>
      <c r="DP97" s="19">
        <f t="shared" si="306"/>
        <v>0</v>
      </c>
      <c r="DQ97" s="19">
        <f t="shared" si="307"/>
        <v>0</v>
      </c>
      <c r="DR97" s="19">
        <f t="shared" si="308"/>
        <v>0</v>
      </c>
      <c r="DS97" s="19">
        <f t="shared" si="309"/>
        <v>0</v>
      </c>
      <c r="DT97" s="19">
        <f t="shared" si="310"/>
        <v>0</v>
      </c>
      <c r="DU97" s="19">
        <f t="shared" si="311"/>
        <v>0</v>
      </c>
      <c r="DV97" s="19">
        <f t="shared" si="312"/>
        <v>0</v>
      </c>
      <c r="DW97" s="19">
        <f t="shared" si="313"/>
        <v>0</v>
      </c>
      <c r="DX97" s="19">
        <f t="shared" si="314"/>
        <v>0</v>
      </c>
      <c r="DY97" s="19">
        <f t="shared" si="315"/>
        <v>0</v>
      </c>
      <c r="DZ97" s="19">
        <f t="shared" si="316"/>
        <v>0</v>
      </c>
      <c r="EA97" s="19">
        <f t="shared" si="317"/>
        <v>0</v>
      </c>
      <c r="EB97" s="19">
        <f t="shared" si="318"/>
        <v>0</v>
      </c>
      <c r="EC97" s="19">
        <f t="shared" si="319"/>
        <v>0</v>
      </c>
    </row>
    <row r="98" spans="1:134" s="78" customFormat="1" ht="18" customHeight="1" x14ac:dyDescent="0.25">
      <c r="A98" s="15">
        <v>95</v>
      </c>
      <c r="B98" s="108" t="s">
        <v>621</v>
      </c>
      <c r="C98" s="74" t="s">
        <v>574</v>
      </c>
      <c r="D98" s="16" t="s">
        <v>61</v>
      </c>
      <c r="E98" s="18">
        <v>45836</v>
      </c>
      <c r="F98" s="19">
        <v>11</v>
      </c>
      <c r="G98" s="19">
        <v>11</v>
      </c>
      <c r="H98" s="19">
        <v>11</v>
      </c>
      <c r="I98" s="19">
        <v>11</v>
      </c>
      <c r="J98" s="19" t="s">
        <v>603</v>
      </c>
      <c r="K98" s="19">
        <v>11</v>
      </c>
      <c r="L98" s="19" t="s">
        <v>15</v>
      </c>
      <c r="M98" s="19">
        <v>11</v>
      </c>
      <c r="N98" s="19">
        <v>11</v>
      </c>
      <c r="O98" s="19">
        <v>11</v>
      </c>
      <c r="P98" s="19">
        <v>11</v>
      </c>
      <c r="Q98" s="19">
        <v>11</v>
      </c>
      <c r="R98" s="19">
        <v>11</v>
      </c>
      <c r="S98" s="19" t="s">
        <v>15</v>
      </c>
      <c r="T98" s="19">
        <v>11</v>
      </c>
      <c r="U98" s="19">
        <v>11</v>
      </c>
      <c r="V98" s="19">
        <v>11</v>
      </c>
      <c r="W98" s="19">
        <v>11</v>
      </c>
      <c r="X98" s="19">
        <v>11</v>
      </c>
      <c r="Y98" s="19">
        <v>11</v>
      </c>
      <c r="Z98" s="19" t="s">
        <v>15</v>
      </c>
      <c r="AA98" s="19">
        <v>11</v>
      </c>
      <c r="AB98" s="19">
        <v>11</v>
      </c>
      <c r="AC98" s="19">
        <v>11</v>
      </c>
      <c r="AD98" s="19">
        <v>11</v>
      </c>
      <c r="AE98" s="19">
        <v>11</v>
      </c>
      <c r="AF98" s="19">
        <v>11</v>
      </c>
      <c r="AG98" s="19" t="s">
        <v>15</v>
      </c>
      <c r="AH98" s="19">
        <v>11</v>
      </c>
      <c r="AI98" s="19">
        <v>11</v>
      </c>
      <c r="AJ98" s="19">
        <v>0</v>
      </c>
      <c r="AK98" s="19">
        <v>11</v>
      </c>
      <c r="AL98" s="19">
        <v>0</v>
      </c>
      <c r="AM98" s="19">
        <v>0</v>
      </c>
      <c r="AN98" s="19">
        <v>0</v>
      </c>
      <c r="AO98" s="19">
        <v>11</v>
      </c>
      <c r="AP98" s="19"/>
      <c r="AQ98" s="19"/>
      <c r="AR98" s="19"/>
      <c r="AS98" s="19">
        <v>0</v>
      </c>
      <c r="AT98" s="19">
        <f t="shared" si="240"/>
        <v>75</v>
      </c>
      <c r="AU98" s="19">
        <f t="shared" si="241"/>
        <v>11</v>
      </c>
      <c r="AV98" s="19">
        <f t="shared" si="242"/>
        <v>11</v>
      </c>
      <c r="AW98" s="16">
        <f t="shared" si="243"/>
        <v>30</v>
      </c>
      <c r="AX98" s="16">
        <f t="shared" si="244"/>
        <v>0</v>
      </c>
      <c r="AY98" s="16">
        <f t="shared" si="245"/>
        <v>0</v>
      </c>
      <c r="AZ98" s="21">
        <v>950</v>
      </c>
      <c r="BA98" s="21">
        <v>100</v>
      </c>
      <c r="BB98" s="21">
        <v>0</v>
      </c>
      <c r="BC98" s="19">
        <f t="shared" si="246"/>
        <v>950</v>
      </c>
      <c r="BD98" s="19">
        <f t="shared" si="247"/>
        <v>100</v>
      </c>
      <c r="BE98" s="19">
        <f t="shared" si="248"/>
        <v>502</v>
      </c>
      <c r="BF98" s="19">
        <f t="shared" si="249"/>
        <v>0</v>
      </c>
      <c r="BG98" s="19">
        <f t="shared" si="250"/>
        <v>0</v>
      </c>
      <c r="BH98" s="19">
        <f t="shared" si="251"/>
        <v>0</v>
      </c>
      <c r="BI98" s="19">
        <v>95</v>
      </c>
      <c r="BJ98" s="19">
        <f t="shared" si="252"/>
        <v>1647</v>
      </c>
      <c r="BK98" s="19">
        <v>100</v>
      </c>
      <c r="BL98" s="19">
        <v>0</v>
      </c>
      <c r="BM98" s="19">
        <f t="shared" si="253"/>
        <v>100</v>
      </c>
      <c r="BN98" s="19">
        <f t="shared" si="254"/>
        <v>1547</v>
      </c>
      <c r="BO98" s="19">
        <v>0</v>
      </c>
      <c r="BP98" s="19">
        <v>0</v>
      </c>
      <c r="BQ98" s="22">
        <f t="shared" si="255"/>
        <v>1547</v>
      </c>
      <c r="BR98" s="82">
        <f t="shared" si="256"/>
        <v>0</v>
      </c>
      <c r="BS98" s="19">
        <f t="shared" si="257"/>
        <v>0</v>
      </c>
      <c r="BT98" s="19">
        <f t="shared" si="258"/>
        <v>0</v>
      </c>
      <c r="BU98" s="19">
        <f t="shared" si="259"/>
        <v>0</v>
      </c>
      <c r="BV98" s="19">
        <f t="shared" si="260"/>
        <v>0</v>
      </c>
      <c r="BW98" s="19">
        <f t="shared" si="261"/>
        <v>0</v>
      </c>
      <c r="BX98" s="19">
        <f t="shared" si="262"/>
        <v>0</v>
      </c>
      <c r="BY98" s="19">
        <f t="shared" si="263"/>
        <v>0</v>
      </c>
      <c r="BZ98" s="19">
        <f t="shared" si="264"/>
        <v>0</v>
      </c>
      <c r="CA98" s="19">
        <f t="shared" si="265"/>
        <v>0</v>
      </c>
      <c r="CB98" s="19">
        <f t="shared" si="266"/>
        <v>25</v>
      </c>
      <c r="CC98" s="19">
        <f t="shared" si="267"/>
        <v>75</v>
      </c>
      <c r="CD98" s="19">
        <f t="shared" si="268"/>
        <v>0</v>
      </c>
      <c r="CE98" s="19">
        <f t="shared" si="269"/>
        <v>0</v>
      </c>
      <c r="CF98" s="19">
        <f t="shared" si="270"/>
        <v>0</v>
      </c>
      <c r="CG98" s="19">
        <f t="shared" si="271"/>
        <v>0</v>
      </c>
      <c r="CH98" s="19">
        <f t="shared" si="272"/>
        <v>0</v>
      </c>
      <c r="CI98" s="19">
        <f t="shared" si="273"/>
        <v>0</v>
      </c>
      <c r="CJ98" s="19">
        <f t="shared" si="274"/>
        <v>0</v>
      </c>
      <c r="CK98" s="19">
        <f t="shared" si="275"/>
        <v>0</v>
      </c>
      <c r="CL98" s="19">
        <f t="shared" si="276"/>
        <v>0</v>
      </c>
      <c r="CM98" s="19">
        <f t="shared" si="277"/>
        <v>0</v>
      </c>
      <c r="CN98" s="19">
        <f t="shared" si="278"/>
        <v>0</v>
      </c>
      <c r="CO98" s="19">
        <f t="shared" si="279"/>
        <v>0</v>
      </c>
      <c r="CP98" s="19">
        <f t="shared" si="280"/>
        <v>0</v>
      </c>
      <c r="CQ98" s="19">
        <f t="shared" si="281"/>
        <v>0</v>
      </c>
      <c r="CR98" s="19">
        <f t="shared" si="282"/>
        <v>0</v>
      </c>
      <c r="CS98" s="19">
        <f t="shared" si="283"/>
        <v>0</v>
      </c>
      <c r="CT98" s="19">
        <f t="shared" si="284"/>
        <v>0</v>
      </c>
      <c r="CU98" s="19">
        <f t="shared" si="285"/>
        <v>0</v>
      </c>
      <c r="CV98" s="19">
        <f t="shared" si="286"/>
        <v>0</v>
      </c>
      <c r="CW98" s="19">
        <f t="shared" si="287"/>
        <v>0</v>
      </c>
      <c r="CX98" s="19">
        <f t="shared" si="288"/>
        <v>0</v>
      </c>
      <c r="CY98" s="19">
        <f t="shared" si="289"/>
        <v>0</v>
      </c>
      <c r="CZ98" s="19">
        <f t="shared" si="290"/>
        <v>0</v>
      </c>
      <c r="DA98" s="19">
        <f t="shared" si="291"/>
        <v>0</v>
      </c>
      <c r="DB98" s="19">
        <f t="shared" si="292"/>
        <v>0</v>
      </c>
      <c r="DC98" s="19">
        <f t="shared" si="293"/>
        <v>0</v>
      </c>
      <c r="DD98" s="19">
        <f t="shared" si="294"/>
        <v>0</v>
      </c>
      <c r="DE98" s="19">
        <f t="shared" si="295"/>
        <v>0</v>
      </c>
      <c r="DF98" s="19">
        <f t="shared" si="296"/>
        <v>0</v>
      </c>
      <c r="DG98" s="19">
        <f t="shared" si="297"/>
        <v>0</v>
      </c>
      <c r="DH98" s="19">
        <f t="shared" si="298"/>
        <v>0</v>
      </c>
      <c r="DI98" s="19">
        <f t="shared" si="299"/>
        <v>0</v>
      </c>
      <c r="DJ98" s="19">
        <f t="shared" si="300"/>
        <v>0</v>
      </c>
      <c r="DK98" s="19">
        <f t="shared" si="301"/>
        <v>0</v>
      </c>
      <c r="DL98" s="19">
        <f t="shared" si="302"/>
        <v>0</v>
      </c>
      <c r="DM98" s="19">
        <f t="shared" si="303"/>
        <v>0</v>
      </c>
      <c r="DN98" s="19">
        <f t="shared" si="304"/>
        <v>0</v>
      </c>
      <c r="DO98" s="19">
        <f t="shared" si="305"/>
        <v>0</v>
      </c>
      <c r="DP98" s="19">
        <f t="shared" si="306"/>
        <v>0</v>
      </c>
      <c r="DQ98" s="19">
        <f t="shared" si="307"/>
        <v>0</v>
      </c>
      <c r="DR98" s="19">
        <f t="shared" si="308"/>
        <v>0</v>
      </c>
      <c r="DS98" s="19">
        <f t="shared" si="309"/>
        <v>0</v>
      </c>
      <c r="DT98" s="19">
        <f t="shared" si="310"/>
        <v>0</v>
      </c>
      <c r="DU98" s="19">
        <f t="shared" si="311"/>
        <v>0</v>
      </c>
      <c r="DV98" s="19">
        <f t="shared" si="312"/>
        <v>0</v>
      </c>
      <c r="DW98" s="19">
        <f t="shared" si="313"/>
        <v>0</v>
      </c>
      <c r="DX98" s="19">
        <f t="shared" si="314"/>
        <v>0</v>
      </c>
      <c r="DY98" s="19">
        <f t="shared" si="315"/>
        <v>0</v>
      </c>
      <c r="DZ98" s="19">
        <f t="shared" si="316"/>
        <v>0</v>
      </c>
      <c r="EA98" s="19">
        <f t="shared" si="317"/>
        <v>0</v>
      </c>
      <c r="EB98" s="19">
        <f t="shared" si="318"/>
        <v>0</v>
      </c>
      <c r="EC98" s="19">
        <f t="shared" si="319"/>
        <v>0</v>
      </c>
    </row>
    <row r="99" spans="1:134" s="78" customFormat="1" ht="18" customHeight="1" x14ac:dyDescent="0.25">
      <c r="A99" s="15">
        <v>96</v>
      </c>
      <c r="B99" s="108" t="s">
        <v>622</v>
      </c>
      <c r="C99" s="74" t="s">
        <v>586</v>
      </c>
      <c r="D99" s="16" t="s">
        <v>61</v>
      </c>
      <c r="E99" s="18">
        <v>45839</v>
      </c>
      <c r="F99" s="19">
        <v>11</v>
      </c>
      <c r="G99" s="19">
        <v>11</v>
      </c>
      <c r="H99" s="19">
        <v>11</v>
      </c>
      <c r="I99" s="19">
        <v>11</v>
      </c>
      <c r="J99" s="19" t="s">
        <v>603</v>
      </c>
      <c r="K99" s="19">
        <v>11</v>
      </c>
      <c r="L99" s="19" t="s">
        <v>15</v>
      </c>
      <c r="M99" s="19">
        <v>11</v>
      </c>
      <c r="N99" s="19">
        <v>11</v>
      </c>
      <c r="O99" s="19">
        <v>11</v>
      </c>
      <c r="P99" s="19">
        <v>11</v>
      </c>
      <c r="Q99" s="19">
        <v>11</v>
      </c>
      <c r="R99" s="19">
        <v>11</v>
      </c>
      <c r="S99" s="19" t="s">
        <v>15</v>
      </c>
      <c r="T99" s="19">
        <v>11</v>
      </c>
      <c r="U99" s="19">
        <v>11</v>
      </c>
      <c r="V99" s="19">
        <v>11</v>
      </c>
      <c r="W99" s="19">
        <v>11</v>
      </c>
      <c r="X99" s="19">
        <v>11</v>
      </c>
      <c r="Y99" s="19">
        <v>11</v>
      </c>
      <c r="Z99" s="19" t="s">
        <v>15</v>
      </c>
      <c r="AA99" s="19" t="s">
        <v>316</v>
      </c>
      <c r="AB99" s="19">
        <v>11</v>
      </c>
      <c r="AC99" s="19">
        <v>11</v>
      </c>
      <c r="AD99" s="19">
        <v>11</v>
      </c>
      <c r="AE99" s="19">
        <v>11</v>
      </c>
      <c r="AF99" s="19">
        <v>11</v>
      </c>
      <c r="AG99" s="19" t="s">
        <v>316</v>
      </c>
      <c r="AH99" s="19">
        <v>11</v>
      </c>
      <c r="AI99" s="19">
        <v>11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11</v>
      </c>
      <c r="AP99" s="19"/>
      <c r="AQ99" s="19"/>
      <c r="AR99" s="19"/>
      <c r="AS99" s="19">
        <v>0</v>
      </c>
      <c r="AT99" s="19">
        <f t="shared" si="240"/>
        <v>72</v>
      </c>
      <c r="AU99" s="19">
        <f t="shared" si="241"/>
        <v>0</v>
      </c>
      <c r="AV99" s="19">
        <f t="shared" si="242"/>
        <v>11</v>
      </c>
      <c r="AW99" s="16">
        <f t="shared" si="243"/>
        <v>28</v>
      </c>
      <c r="AX99" s="16">
        <f t="shared" si="244"/>
        <v>2</v>
      </c>
      <c r="AY99" s="16">
        <f t="shared" si="245"/>
        <v>0</v>
      </c>
      <c r="AZ99" s="21">
        <v>1100</v>
      </c>
      <c r="BA99" s="21">
        <v>100</v>
      </c>
      <c r="BB99" s="21">
        <v>0</v>
      </c>
      <c r="BC99" s="19">
        <f t="shared" si="246"/>
        <v>1027</v>
      </c>
      <c r="BD99" s="19">
        <f t="shared" si="247"/>
        <v>93</v>
      </c>
      <c r="BE99" s="19">
        <f t="shared" si="248"/>
        <v>488</v>
      </c>
      <c r="BF99" s="19">
        <f t="shared" si="249"/>
        <v>0</v>
      </c>
      <c r="BG99" s="19">
        <f t="shared" si="250"/>
        <v>0</v>
      </c>
      <c r="BH99" s="19">
        <f t="shared" si="251"/>
        <v>0</v>
      </c>
      <c r="BI99" s="19">
        <v>0</v>
      </c>
      <c r="BJ99" s="19">
        <f t="shared" si="252"/>
        <v>1608</v>
      </c>
      <c r="BK99" s="19">
        <v>100</v>
      </c>
      <c r="BL99" s="19">
        <v>0</v>
      </c>
      <c r="BM99" s="19">
        <f t="shared" si="253"/>
        <v>100</v>
      </c>
      <c r="BN99" s="19">
        <f t="shared" si="254"/>
        <v>1508</v>
      </c>
      <c r="BO99" s="19">
        <v>0</v>
      </c>
      <c r="BP99" s="19">
        <v>0</v>
      </c>
      <c r="BQ99" s="22">
        <f t="shared" si="255"/>
        <v>1508</v>
      </c>
      <c r="BR99" s="82">
        <f t="shared" si="256"/>
        <v>0</v>
      </c>
      <c r="BS99" s="19">
        <f t="shared" si="257"/>
        <v>0</v>
      </c>
      <c r="BT99" s="19">
        <f t="shared" si="258"/>
        <v>0</v>
      </c>
      <c r="BU99" s="19">
        <f t="shared" si="259"/>
        <v>0</v>
      </c>
      <c r="BV99" s="19">
        <f t="shared" si="260"/>
        <v>0</v>
      </c>
      <c r="BW99" s="19">
        <f t="shared" si="261"/>
        <v>0</v>
      </c>
      <c r="BX99" s="19">
        <f t="shared" si="262"/>
        <v>0</v>
      </c>
      <c r="BY99" s="19">
        <f t="shared" si="263"/>
        <v>0</v>
      </c>
      <c r="BZ99" s="19">
        <f t="shared" si="264"/>
        <v>0</v>
      </c>
      <c r="CA99" s="19">
        <f t="shared" si="265"/>
        <v>0</v>
      </c>
      <c r="CB99" s="19">
        <f t="shared" si="266"/>
        <v>24</v>
      </c>
      <c r="CC99" s="19">
        <f t="shared" si="267"/>
        <v>72</v>
      </c>
      <c r="CD99" s="19">
        <f t="shared" si="268"/>
        <v>0</v>
      </c>
      <c r="CE99" s="19">
        <f t="shared" si="269"/>
        <v>0</v>
      </c>
      <c r="CF99" s="19">
        <f t="shared" si="270"/>
        <v>0</v>
      </c>
      <c r="CG99" s="19">
        <f t="shared" si="271"/>
        <v>0</v>
      </c>
      <c r="CH99" s="19">
        <f t="shared" si="272"/>
        <v>0</v>
      </c>
      <c r="CI99" s="19">
        <f t="shared" si="273"/>
        <v>0</v>
      </c>
      <c r="CJ99" s="19">
        <f t="shared" si="274"/>
        <v>0</v>
      </c>
      <c r="CK99" s="19">
        <f t="shared" si="275"/>
        <v>0</v>
      </c>
      <c r="CL99" s="19">
        <f t="shared" si="276"/>
        <v>0</v>
      </c>
      <c r="CM99" s="19">
        <f t="shared" si="277"/>
        <v>0</v>
      </c>
      <c r="CN99" s="19">
        <f t="shared" si="278"/>
        <v>0</v>
      </c>
      <c r="CO99" s="19">
        <f t="shared" si="279"/>
        <v>0</v>
      </c>
      <c r="CP99" s="19">
        <f t="shared" si="280"/>
        <v>0</v>
      </c>
      <c r="CQ99" s="19">
        <f t="shared" si="281"/>
        <v>0</v>
      </c>
      <c r="CR99" s="19">
        <f t="shared" si="282"/>
        <v>0</v>
      </c>
      <c r="CS99" s="19">
        <f t="shared" si="283"/>
        <v>0</v>
      </c>
      <c r="CT99" s="19">
        <f t="shared" si="284"/>
        <v>0</v>
      </c>
      <c r="CU99" s="19">
        <f t="shared" si="285"/>
        <v>0</v>
      </c>
      <c r="CV99" s="19">
        <f t="shared" si="286"/>
        <v>0</v>
      </c>
      <c r="CW99" s="19">
        <f t="shared" si="287"/>
        <v>0</v>
      </c>
      <c r="CX99" s="19">
        <f t="shared" si="288"/>
        <v>0</v>
      </c>
      <c r="CY99" s="19">
        <f t="shared" si="289"/>
        <v>0</v>
      </c>
      <c r="CZ99" s="19">
        <f t="shared" si="290"/>
        <v>0</v>
      </c>
      <c r="DA99" s="19">
        <f t="shared" si="291"/>
        <v>0</v>
      </c>
      <c r="DB99" s="19">
        <f t="shared" si="292"/>
        <v>0</v>
      </c>
      <c r="DC99" s="19">
        <f t="shared" si="293"/>
        <v>0</v>
      </c>
      <c r="DD99" s="19">
        <f t="shared" si="294"/>
        <v>0</v>
      </c>
      <c r="DE99" s="19">
        <f t="shared" si="295"/>
        <v>0</v>
      </c>
      <c r="DF99" s="19">
        <f t="shared" si="296"/>
        <v>0</v>
      </c>
      <c r="DG99" s="19">
        <f t="shared" si="297"/>
        <v>0</v>
      </c>
      <c r="DH99" s="19">
        <f t="shared" si="298"/>
        <v>0</v>
      </c>
      <c r="DI99" s="19">
        <f t="shared" si="299"/>
        <v>0</v>
      </c>
      <c r="DJ99" s="19">
        <f t="shared" si="300"/>
        <v>0</v>
      </c>
      <c r="DK99" s="19">
        <f t="shared" si="301"/>
        <v>0</v>
      </c>
      <c r="DL99" s="19">
        <f t="shared" si="302"/>
        <v>0</v>
      </c>
      <c r="DM99" s="19">
        <f t="shared" si="303"/>
        <v>0</v>
      </c>
      <c r="DN99" s="19">
        <f t="shared" si="304"/>
        <v>0</v>
      </c>
      <c r="DO99" s="19">
        <f t="shared" si="305"/>
        <v>0</v>
      </c>
      <c r="DP99" s="19">
        <f t="shared" si="306"/>
        <v>0</v>
      </c>
      <c r="DQ99" s="19">
        <f t="shared" si="307"/>
        <v>0</v>
      </c>
      <c r="DR99" s="19">
        <f t="shared" si="308"/>
        <v>0</v>
      </c>
      <c r="DS99" s="19">
        <f t="shared" si="309"/>
        <v>0</v>
      </c>
      <c r="DT99" s="19">
        <f t="shared" si="310"/>
        <v>0</v>
      </c>
      <c r="DU99" s="19">
        <f t="shared" si="311"/>
        <v>0</v>
      </c>
      <c r="DV99" s="19">
        <f t="shared" si="312"/>
        <v>0</v>
      </c>
      <c r="DW99" s="19">
        <f t="shared" si="313"/>
        <v>0</v>
      </c>
      <c r="DX99" s="19">
        <f t="shared" si="314"/>
        <v>0</v>
      </c>
      <c r="DY99" s="19">
        <f t="shared" si="315"/>
        <v>0</v>
      </c>
      <c r="DZ99" s="19">
        <f t="shared" si="316"/>
        <v>0</v>
      </c>
      <c r="EA99" s="19">
        <f t="shared" si="317"/>
        <v>0</v>
      </c>
      <c r="EB99" s="19">
        <f t="shared" si="318"/>
        <v>0</v>
      </c>
      <c r="EC99" s="19">
        <f t="shared" si="319"/>
        <v>0</v>
      </c>
    </row>
    <row r="100" spans="1:134" s="78" customFormat="1" ht="18" customHeight="1" x14ac:dyDescent="0.25">
      <c r="A100" s="15">
        <v>97</v>
      </c>
      <c r="B100" s="108" t="s">
        <v>623</v>
      </c>
      <c r="C100" s="74" t="s">
        <v>587</v>
      </c>
      <c r="D100" s="16" t="s">
        <v>61</v>
      </c>
      <c r="E100" s="18">
        <v>45839</v>
      </c>
      <c r="F100" s="19">
        <v>11</v>
      </c>
      <c r="G100" s="19">
        <v>11</v>
      </c>
      <c r="H100" s="19" t="s">
        <v>316</v>
      </c>
      <c r="I100" s="19">
        <v>11</v>
      </c>
      <c r="J100" s="19" t="s">
        <v>603</v>
      </c>
      <c r="K100" s="19">
        <v>11</v>
      </c>
      <c r="L100" s="19" t="s">
        <v>316</v>
      </c>
      <c r="M100" s="19">
        <v>11</v>
      </c>
      <c r="N100" s="19">
        <v>11</v>
      </c>
      <c r="O100" s="19">
        <v>11</v>
      </c>
      <c r="P100" s="19">
        <v>11</v>
      </c>
      <c r="Q100" s="19">
        <v>11</v>
      </c>
      <c r="R100" s="19">
        <v>11</v>
      </c>
      <c r="S100" s="19" t="s">
        <v>15</v>
      </c>
      <c r="T100" s="19">
        <v>11</v>
      </c>
      <c r="U100" s="19">
        <v>11</v>
      </c>
      <c r="V100" s="19">
        <v>11</v>
      </c>
      <c r="W100" s="19">
        <v>11</v>
      </c>
      <c r="X100" s="19">
        <v>11</v>
      </c>
      <c r="Y100" s="19">
        <v>11</v>
      </c>
      <c r="Z100" s="19" t="s">
        <v>15</v>
      </c>
      <c r="AA100" s="19">
        <v>11</v>
      </c>
      <c r="AB100" s="19">
        <v>11</v>
      </c>
      <c r="AC100" s="19">
        <v>11</v>
      </c>
      <c r="AD100" s="19">
        <v>11</v>
      </c>
      <c r="AE100" s="19">
        <v>11</v>
      </c>
      <c r="AF100" s="19">
        <v>11</v>
      </c>
      <c r="AG100" s="19" t="s">
        <v>15</v>
      </c>
      <c r="AH100" s="19">
        <v>11</v>
      </c>
      <c r="AI100" s="19">
        <v>11</v>
      </c>
      <c r="AJ100" s="19">
        <v>0</v>
      </c>
      <c r="AK100" s="19">
        <v>11</v>
      </c>
      <c r="AL100" s="19">
        <v>0</v>
      </c>
      <c r="AM100" s="19">
        <v>0</v>
      </c>
      <c r="AN100" s="19">
        <v>0</v>
      </c>
      <c r="AO100" s="19">
        <v>11</v>
      </c>
      <c r="AP100" s="19"/>
      <c r="AQ100" s="19"/>
      <c r="AR100" s="19"/>
      <c r="AS100" s="19">
        <v>0</v>
      </c>
      <c r="AT100" s="19">
        <f t="shared" si="240"/>
        <v>72</v>
      </c>
      <c r="AU100" s="19">
        <f t="shared" si="241"/>
        <v>11</v>
      </c>
      <c r="AV100" s="19">
        <f t="shared" si="242"/>
        <v>11</v>
      </c>
      <c r="AW100" s="16">
        <f t="shared" si="243"/>
        <v>28</v>
      </c>
      <c r="AX100" s="16">
        <f t="shared" si="244"/>
        <v>2</v>
      </c>
      <c r="AY100" s="16">
        <f t="shared" si="245"/>
        <v>0</v>
      </c>
      <c r="AZ100" s="21">
        <v>1000</v>
      </c>
      <c r="BA100" s="21">
        <v>100</v>
      </c>
      <c r="BB100" s="21">
        <v>0</v>
      </c>
      <c r="BC100" s="19">
        <f t="shared" si="246"/>
        <v>933</v>
      </c>
      <c r="BD100" s="19">
        <f t="shared" si="247"/>
        <v>93</v>
      </c>
      <c r="BE100" s="19">
        <f t="shared" si="248"/>
        <v>513</v>
      </c>
      <c r="BF100" s="19">
        <f t="shared" si="249"/>
        <v>0</v>
      </c>
      <c r="BG100" s="19">
        <f t="shared" si="250"/>
        <v>0</v>
      </c>
      <c r="BH100" s="19">
        <f t="shared" si="251"/>
        <v>0</v>
      </c>
      <c r="BI100" s="19">
        <v>0</v>
      </c>
      <c r="BJ100" s="19">
        <f t="shared" si="252"/>
        <v>1539</v>
      </c>
      <c r="BK100" s="19">
        <v>100</v>
      </c>
      <c r="BL100" s="19">
        <v>0</v>
      </c>
      <c r="BM100" s="19">
        <f t="shared" si="253"/>
        <v>100</v>
      </c>
      <c r="BN100" s="19">
        <f t="shared" si="254"/>
        <v>1439</v>
      </c>
      <c r="BO100" s="19">
        <v>0</v>
      </c>
      <c r="BP100" s="19">
        <v>0</v>
      </c>
      <c r="BQ100" s="22">
        <f t="shared" si="255"/>
        <v>1439</v>
      </c>
      <c r="BR100" s="82">
        <f t="shared" si="256"/>
        <v>0</v>
      </c>
      <c r="BS100" s="19">
        <f t="shared" si="257"/>
        <v>0</v>
      </c>
      <c r="BT100" s="19">
        <f t="shared" si="258"/>
        <v>0</v>
      </c>
      <c r="BU100" s="19">
        <f t="shared" si="259"/>
        <v>0</v>
      </c>
      <c r="BV100" s="19">
        <f t="shared" si="260"/>
        <v>0</v>
      </c>
      <c r="BW100" s="19">
        <f t="shared" si="261"/>
        <v>0</v>
      </c>
      <c r="BX100" s="19">
        <f t="shared" si="262"/>
        <v>0</v>
      </c>
      <c r="BY100" s="19">
        <f t="shared" si="263"/>
        <v>0</v>
      </c>
      <c r="BZ100" s="19">
        <f t="shared" si="264"/>
        <v>0</v>
      </c>
      <c r="CA100" s="19">
        <f t="shared" si="265"/>
        <v>0</v>
      </c>
      <c r="CB100" s="19">
        <f t="shared" si="266"/>
        <v>24</v>
      </c>
      <c r="CC100" s="19">
        <f t="shared" si="267"/>
        <v>72</v>
      </c>
      <c r="CD100" s="19">
        <f t="shared" si="268"/>
        <v>0</v>
      </c>
      <c r="CE100" s="19">
        <f t="shared" si="269"/>
        <v>0</v>
      </c>
      <c r="CF100" s="19">
        <f t="shared" si="270"/>
        <v>0</v>
      </c>
      <c r="CG100" s="19">
        <f t="shared" si="271"/>
        <v>0</v>
      </c>
      <c r="CH100" s="19">
        <f t="shared" si="272"/>
        <v>0</v>
      </c>
      <c r="CI100" s="19">
        <f t="shared" si="273"/>
        <v>0</v>
      </c>
      <c r="CJ100" s="19">
        <f t="shared" si="274"/>
        <v>0</v>
      </c>
      <c r="CK100" s="19">
        <f t="shared" si="275"/>
        <v>0</v>
      </c>
      <c r="CL100" s="19">
        <f t="shared" si="276"/>
        <v>0</v>
      </c>
      <c r="CM100" s="19">
        <f t="shared" si="277"/>
        <v>0</v>
      </c>
      <c r="CN100" s="19">
        <f t="shared" si="278"/>
        <v>0</v>
      </c>
      <c r="CO100" s="19">
        <f t="shared" si="279"/>
        <v>0</v>
      </c>
      <c r="CP100" s="19">
        <f t="shared" si="280"/>
        <v>0</v>
      </c>
      <c r="CQ100" s="19">
        <f t="shared" si="281"/>
        <v>0</v>
      </c>
      <c r="CR100" s="19">
        <f t="shared" si="282"/>
        <v>0</v>
      </c>
      <c r="CS100" s="19">
        <f t="shared" si="283"/>
        <v>0</v>
      </c>
      <c r="CT100" s="19">
        <f t="shared" si="284"/>
        <v>0</v>
      </c>
      <c r="CU100" s="19">
        <f t="shared" si="285"/>
        <v>0</v>
      </c>
      <c r="CV100" s="19">
        <f t="shared" si="286"/>
        <v>0</v>
      </c>
      <c r="CW100" s="19">
        <f t="shared" si="287"/>
        <v>0</v>
      </c>
      <c r="CX100" s="19">
        <f t="shared" si="288"/>
        <v>0</v>
      </c>
      <c r="CY100" s="19">
        <f t="shared" si="289"/>
        <v>0</v>
      </c>
      <c r="CZ100" s="19">
        <f t="shared" si="290"/>
        <v>0</v>
      </c>
      <c r="DA100" s="19">
        <f t="shared" si="291"/>
        <v>0</v>
      </c>
      <c r="DB100" s="19">
        <f t="shared" si="292"/>
        <v>0</v>
      </c>
      <c r="DC100" s="19">
        <f t="shared" si="293"/>
        <v>0</v>
      </c>
      <c r="DD100" s="19">
        <f t="shared" si="294"/>
        <v>0</v>
      </c>
      <c r="DE100" s="19">
        <f t="shared" si="295"/>
        <v>0</v>
      </c>
      <c r="DF100" s="19">
        <f t="shared" si="296"/>
        <v>0</v>
      </c>
      <c r="DG100" s="19">
        <f t="shared" si="297"/>
        <v>0</v>
      </c>
      <c r="DH100" s="19">
        <f t="shared" si="298"/>
        <v>0</v>
      </c>
      <c r="DI100" s="19">
        <f t="shared" si="299"/>
        <v>0</v>
      </c>
      <c r="DJ100" s="19">
        <f t="shared" si="300"/>
        <v>0</v>
      </c>
      <c r="DK100" s="19">
        <f t="shared" si="301"/>
        <v>0</v>
      </c>
      <c r="DL100" s="19">
        <f t="shared" si="302"/>
        <v>0</v>
      </c>
      <c r="DM100" s="19">
        <f t="shared" si="303"/>
        <v>0</v>
      </c>
      <c r="DN100" s="19">
        <f t="shared" si="304"/>
        <v>0</v>
      </c>
      <c r="DO100" s="19">
        <f t="shared" si="305"/>
        <v>0</v>
      </c>
      <c r="DP100" s="19">
        <f t="shared" si="306"/>
        <v>0</v>
      </c>
      <c r="DQ100" s="19">
        <f t="shared" si="307"/>
        <v>0</v>
      </c>
      <c r="DR100" s="19">
        <f t="shared" si="308"/>
        <v>0</v>
      </c>
      <c r="DS100" s="19">
        <f t="shared" si="309"/>
        <v>0</v>
      </c>
      <c r="DT100" s="19">
        <f t="shared" si="310"/>
        <v>0</v>
      </c>
      <c r="DU100" s="19">
        <f t="shared" si="311"/>
        <v>0</v>
      </c>
      <c r="DV100" s="19">
        <f t="shared" si="312"/>
        <v>0</v>
      </c>
      <c r="DW100" s="19">
        <f t="shared" si="313"/>
        <v>0</v>
      </c>
      <c r="DX100" s="19">
        <f t="shared" si="314"/>
        <v>0</v>
      </c>
      <c r="DY100" s="19">
        <f t="shared" si="315"/>
        <v>0</v>
      </c>
      <c r="DZ100" s="19">
        <f t="shared" si="316"/>
        <v>0</v>
      </c>
      <c r="EA100" s="19">
        <f t="shared" si="317"/>
        <v>0</v>
      </c>
      <c r="EB100" s="19">
        <f t="shared" si="318"/>
        <v>0</v>
      </c>
      <c r="EC100" s="19">
        <f t="shared" si="319"/>
        <v>0</v>
      </c>
    </row>
    <row r="101" spans="1:134" s="78" customFormat="1" ht="18" customHeight="1" x14ac:dyDescent="0.25">
      <c r="A101" s="15">
        <v>98</v>
      </c>
      <c r="B101" s="108" t="s">
        <v>624</v>
      </c>
      <c r="C101" s="74" t="s">
        <v>588</v>
      </c>
      <c r="D101" s="16" t="s">
        <v>61</v>
      </c>
      <c r="E101" s="18">
        <v>45839</v>
      </c>
      <c r="F101" s="19">
        <v>11</v>
      </c>
      <c r="G101" s="19">
        <v>11</v>
      </c>
      <c r="H101" s="19">
        <v>11</v>
      </c>
      <c r="I101" s="19">
        <v>11</v>
      </c>
      <c r="J101" s="19" t="s">
        <v>603</v>
      </c>
      <c r="K101" s="19">
        <v>11</v>
      </c>
      <c r="L101" s="19" t="s">
        <v>15</v>
      </c>
      <c r="M101" s="19">
        <v>11</v>
      </c>
      <c r="N101" s="19">
        <v>11</v>
      </c>
      <c r="O101" s="19">
        <v>11</v>
      </c>
      <c r="P101" s="19">
        <v>11</v>
      </c>
      <c r="Q101" s="19">
        <v>11</v>
      </c>
      <c r="R101" s="19">
        <v>11</v>
      </c>
      <c r="S101" s="19" t="s">
        <v>15</v>
      </c>
      <c r="T101" s="19">
        <v>11</v>
      </c>
      <c r="U101" s="19">
        <v>11</v>
      </c>
      <c r="V101" s="19">
        <v>11</v>
      </c>
      <c r="W101" s="19">
        <v>11</v>
      </c>
      <c r="X101" s="19">
        <v>11</v>
      </c>
      <c r="Y101" s="19">
        <v>11</v>
      </c>
      <c r="Z101" s="19" t="s">
        <v>15</v>
      </c>
      <c r="AA101" s="19">
        <v>11</v>
      </c>
      <c r="AB101" s="19">
        <v>11</v>
      </c>
      <c r="AC101" s="19">
        <v>11</v>
      </c>
      <c r="AD101" s="19">
        <v>11</v>
      </c>
      <c r="AE101" s="19">
        <v>11</v>
      </c>
      <c r="AF101" s="19">
        <v>11</v>
      </c>
      <c r="AG101" s="19" t="s">
        <v>15</v>
      </c>
      <c r="AH101" s="19">
        <v>11</v>
      </c>
      <c r="AI101" s="19">
        <v>11</v>
      </c>
      <c r="AJ101" s="19">
        <v>0</v>
      </c>
      <c r="AK101" s="19">
        <v>0</v>
      </c>
      <c r="AL101" s="19">
        <v>0</v>
      </c>
      <c r="AM101" s="19">
        <v>11</v>
      </c>
      <c r="AN101" s="19">
        <v>0</v>
      </c>
      <c r="AO101" s="19">
        <v>11</v>
      </c>
      <c r="AP101" s="19"/>
      <c r="AQ101" s="19"/>
      <c r="AR101" s="19"/>
      <c r="AS101" s="19">
        <v>0</v>
      </c>
      <c r="AT101" s="19">
        <f t="shared" si="240"/>
        <v>75</v>
      </c>
      <c r="AU101" s="19">
        <f t="shared" si="241"/>
        <v>11</v>
      </c>
      <c r="AV101" s="19">
        <f t="shared" si="242"/>
        <v>11</v>
      </c>
      <c r="AW101" s="16">
        <f t="shared" si="243"/>
        <v>30</v>
      </c>
      <c r="AX101" s="16">
        <f t="shared" si="244"/>
        <v>0</v>
      </c>
      <c r="AY101" s="16">
        <f t="shared" si="245"/>
        <v>0</v>
      </c>
      <c r="AZ101" s="21">
        <v>1000</v>
      </c>
      <c r="BA101" s="21">
        <v>100</v>
      </c>
      <c r="BB101" s="21">
        <v>0</v>
      </c>
      <c r="BC101" s="19">
        <f t="shared" si="246"/>
        <v>1000</v>
      </c>
      <c r="BD101" s="19">
        <f t="shared" si="247"/>
        <v>100</v>
      </c>
      <c r="BE101" s="19">
        <f t="shared" si="248"/>
        <v>528</v>
      </c>
      <c r="BF101" s="19">
        <f t="shared" si="249"/>
        <v>0</v>
      </c>
      <c r="BG101" s="19">
        <f t="shared" si="250"/>
        <v>0</v>
      </c>
      <c r="BH101" s="19">
        <f t="shared" si="251"/>
        <v>0</v>
      </c>
      <c r="BI101" s="19">
        <v>95</v>
      </c>
      <c r="BJ101" s="19">
        <f t="shared" si="252"/>
        <v>1723</v>
      </c>
      <c r="BK101" s="19">
        <v>100</v>
      </c>
      <c r="BL101" s="19">
        <v>0</v>
      </c>
      <c r="BM101" s="19">
        <f t="shared" si="253"/>
        <v>100</v>
      </c>
      <c r="BN101" s="19">
        <f t="shared" si="254"/>
        <v>1623</v>
      </c>
      <c r="BO101" s="19">
        <v>181</v>
      </c>
      <c r="BP101" s="19">
        <v>0</v>
      </c>
      <c r="BQ101" s="22">
        <f t="shared" si="255"/>
        <v>1804</v>
      </c>
      <c r="BR101" s="82">
        <f t="shared" si="256"/>
        <v>0</v>
      </c>
      <c r="BS101" s="19">
        <f t="shared" si="257"/>
        <v>0</v>
      </c>
      <c r="BT101" s="19">
        <f t="shared" si="258"/>
        <v>0</v>
      </c>
      <c r="BU101" s="19">
        <f t="shared" si="259"/>
        <v>0</v>
      </c>
      <c r="BV101" s="19">
        <f t="shared" si="260"/>
        <v>0</v>
      </c>
      <c r="BW101" s="19">
        <f t="shared" si="261"/>
        <v>0</v>
      </c>
      <c r="BX101" s="19">
        <f t="shared" si="262"/>
        <v>0</v>
      </c>
      <c r="BY101" s="19">
        <f t="shared" si="263"/>
        <v>0</v>
      </c>
      <c r="BZ101" s="19">
        <f t="shared" si="264"/>
        <v>0</v>
      </c>
      <c r="CA101" s="19">
        <f t="shared" si="265"/>
        <v>0</v>
      </c>
      <c r="CB101" s="19">
        <f t="shared" si="266"/>
        <v>25</v>
      </c>
      <c r="CC101" s="19">
        <f t="shared" si="267"/>
        <v>75</v>
      </c>
      <c r="CD101" s="19">
        <f t="shared" si="268"/>
        <v>0</v>
      </c>
      <c r="CE101" s="19">
        <f t="shared" si="269"/>
        <v>0</v>
      </c>
      <c r="CF101" s="19">
        <f t="shared" si="270"/>
        <v>0</v>
      </c>
      <c r="CG101" s="19">
        <f t="shared" si="271"/>
        <v>0</v>
      </c>
      <c r="CH101" s="19">
        <f t="shared" si="272"/>
        <v>0</v>
      </c>
      <c r="CI101" s="19">
        <f t="shared" si="273"/>
        <v>0</v>
      </c>
      <c r="CJ101" s="19">
        <f t="shared" si="274"/>
        <v>0</v>
      </c>
      <c r="CK101" s="19">
        <f t="shared" si="275"/>
        <v>0</v>
      </c>
      <c r="CL101" s="19">
        <f t="shared" si="276"/>
        <v>0</v>
      </c>
      <c r="CM101" s="19">
        <f t="shared" si="277"/>
        <v>0</v>
      </c>
      <c r="CN101" s="19">
        <f t="shared" si="278"/>
        <v>0</v>
      </c>
      <c r="CO101" s="19">
        <f t="shared" si="279"/>
        <v>0</v>
      </c>
      <c r="CP101" s="19">
        <f t="shared" si="280"/>
        <v>0</v>
      </c>
      <c r="CQ101" s="19">
        <f t="shared" si="281"/>
        <v>0</v>
      </c>
      <c r="CR101" s="19">
        <f t="shared" si="282"/>
        <v>0</v>
      </c>
      <c r="CS101" s="19">
        <f t="shared" si="283"/>
        <v>0</v>
      </c>
      <c r="CT101" s="19">
        <f t="shared" si="284"/>
        <v>0</v>
      </c>
      <c r="CU101" s="19">
        <f t="shared" si="285"/>
        <v>0</v>
      </c>
      <c r="CV101" s="19">
        <f t="shared" si="286"/>
        <v>0</v>
      </c>
      <c r="CW101" s="19">
        <f t="shared" si="287"/>
        <v>0</v>
      </c>
      <c r="CX101" s="19">
        <f t="shared" si="288"/>
        <v>0</v>
      </c>
      <c r="CY101" s="19">
        <f t="shared" si="289"/>
        <v>0</v>
      </c>
      <c r="CZ101" s="19">
        <f t="shared" si="290"/>
        <v>0</v>
      </c>
      <c r="DA101" s="19">
        <f t="shared" si="291"/>
        <v>0</v>
      </c>
      <c r="DB101" s="19">
        <f t="shared" si="292"/>
        <v>0</v>
      </c>
      <c r="DC101" s="19">
        <f t="shared" si="293"/>
        <v>0</v>
      </c>
      <c r="DD101" s="19">
        <f t="shared" si="294"/>
        <v>0</v>
      </c>
      <c r="DE101" s="19">
        <f t="shared" si="295"/>
        <v>0</v>
      </c>
      <c r="DF101" s="19">
        <f t="shared" si="296"/>
        <v>0</v>
      </c>
      <c r="DG101" s="19">
        <f t="shared" si="297"/>
        <v>0</v>
      </c>
      <c r="DH101" s="19">
        <f t="shared" si="298"/>
        <v>0</v>
      </c>
      <c r="DI101" s="19">
        <f t="shared" si="299"/>
        <v>0</v>
      </c>
      <c r="DJ101" s="19">
        <f t="shared" si="300"/>
        <v>0</v>
      </c>
      <c r="DK101" s="19">
        <f t="shared" si="301"/>
        <v>0</v>
      </c>
      <c r="DL101" s="19">
        <f t="shared" si="302"/>
        <v>0</v>
      </c>
      <c r="DM101" s="19">
        <f t="shared" si="303"/>
        <v>0</v>
      </c>
      <c r="DN101" s="19">
        <f t="shared" si="304"/>
        <v>0</v>
      </c>
      <c r="DO101" s="19">
        <f t="shared" si="305"/>
        <v>0</v>
      </c>
      <c r="DP101" s="19">
        <f t="shared" si="306"/>
        <v>0</v>
      </c>
      <c r="DQ101" s="19">
        <f t="shared" si="307"/>
        <v>0</v>
      </c>
      <c r="DR101" s="19">
        <f t="shared" si="308"/>
        <v>0</v>
      </c>
      <c r="DS101" s="19">
        <f t="shared" si="309"/>
        <v>0</v>
      </c>
      <c r="DT101" s="19">
        <f t="shared" si="310"/>
        <v>0</v>
      </c>
      <c r="DU101" s="19">
        <f t="shared" si="311"/>
        <v>0</v>
      </c>
      <c r="DV101" s="19">
        <f t="shared" si="312"/>
        <v>0</v>
      </c>
      <c r="DW101" s="19">
        <f t="shared" si="313"/>
        <v>0</v>
      </c>
      <c r="DX101" s="19">
        <f t="shared" si="314"/>
        <v>0</v>
      </c>
      <c r="DY101" s="19">
        <f t="shared" si="315"/>
        <v>0</v>
      </c>
      <c r="DZ101" s="19">
        <f t="shared" si="316"/>
        <v>0</v>
      </c>
      <c r="EA101" s="19">
        <f t="shared" si="317"/>
        <v>0</v>
      </c>
      <c r="EB101" s="19">
        <f t="shared" si="318"/>
        <v>0</v>
      </c>
      <c r="EC101" s="19">
        <f t="shared" si="319"/>
        <v>0</v>
      </c>
    </row>
    <row r="102" spans="1:134" s="78" customFormat="1" ht="18" customHeight="1" x14ac:dyDescent="0.25">
      <c r="A102" s="15">
        <v>99</v>
      </c>
      <c r="B102" s="108" t="s">
        <v>625</v>
      </c>
      <c r="C102" s="74" t="s">
        <v>589</v>
      </c>
      <c r="D102" s="16" t="s">
        <v>61</v>
      </c>
      <c r="E102" s="18">
        <v>45846</v>
      </c>
      <c r="F102" s="19">
        <v>13</v>
      </c>
      <c r="G102" s="19">
        <v>12</v>
      </c>
      <c r="H102" s="19">
        <v>12</v>
      </c>
      <c r="I102" s="19">
        <v>12</v>
      </c>
      <c r="J102" s="19" t="s">
        <v>603</v>
      </c>
      <c r="K102" s="19">
        <v>12</v>
      </c>
      <c r="L102" s="19" t="s">
        <v>15</v>
      </c>
      <c r="M102" s="19">
        <v>10</v>
      </c>
      <c r="N102" s="19">
        <v>12</v>
      </c>
      <c r="O102" s="19">
        <v>10</v>
      </c>
      <c r="P102" s="19">
        <v>10</v>
      </c>
      <c r="Q102" s="19">
        <v>10</v>
      </c>
      <c r="R102" s="19">
        <v>10</v>
      </c>
      <c r="S102" s="19" t="s">
        <v>15</v>
      </c>
      <c r="T102" s="19">
        <v>10</v>
      </c>
      <c r="U102" s="19">
        <v>10</v>
      </c>
      <c r="V102" s="19">
        <v>8</v>
      </c>
      <c r="W102" s="19">
        <v>10</v>
      </c>
      <c r="X102" s="19">
        <v>10</v>
      </c>
      <c r="Y102" s="19">
        <v>10</v>
      </c>
      <c r="Z102" s="19" t="s">
        <v>15</v>
      </c>
      <c r="AA102" s="19">
        <v>10</v>
      </c>
      <c r="AB102" s="19">
        <v>10</v>
      </c>
      <c r="AC102" s="19">
        <v>10</v>
      </c>
      <c r="AD102" s="19">
        <v>10</v>
      </c>
      <c r="AE102" s="19">
        <v>12</v>
      </c>
      <c r="AF102" s="19">
        <v>11</v>
      </c>
      <c r="AG102" s="19" t="s">
        <v>15</v>
      </c>
      <c r="AH102" s="19">
        <v>11</v>
      </c>
      <c r="AI102" s="19">
        <v>11</v>
      </c>
      <c r="AJ102" s="19">
        <v>0</v>
      </c>
      <c r="AK102" s="19">
        <v>0</v>
      </c>
      <c r="AL102" s="19">
        <v>10</v>
      </c>
      <c r="AM102" s="19">
        <v>10</v>
      </c>
      <c r="AN102" s="19">
        <v>0</v>
      </c>
      <c r="AO102" s="19">
        <v>12</v>
      </c>
      <c r="AP102" s="19"/>
      <c r="AQ102" s="19"/>
      <c r="AR102" s="19"/>
      <c r="AS102" s="19">
        <v>0</v>
      </c>
      <c r="AT102" s="19">
        <f t="shared" si="240"/>
        <v>66</v>
      </c>
      <c r="AU102" s="19">
        <f t="shared" si="241"/>
        <v>20</v>
      </c>
      <c r="AV102" s="19">
        <f t="shared" si="242"/>
        <v>12</v>
      </c>
      <c r="AW102" s="16">
        <f t="shared" si="243"/>
        <v>30</v>
      </c>
      <c r="AX102" s="16">
        <f t="shared" si="244"/>
        <v>0</v>
      </c>
      <c r="AY102" s="16">
        <f t="shared" si="245"/>
        <v>0</v>
      </c>
      <c r="AZ102" s="21">
        <v>1000</v>
      </c>
      <c r="BA102" s="21">
        <v>100</v>
      </c>
      <c r="BB102" s="21">
        <v>0</v>
      </c>
      <c r="BC102" s="19">
        <f t="shared" si="246"/>
        <v>1000</v>
      </c>
      <c r="BD102" s="19">
        <f t="shared" si="247"/>
        <v>100</v>
      </c>
      <c r="BE102" s="19">
        <f t="shared" si="248"/>
        <v>544</v>
      </c>
      <c r="BF102" s="19">
        <f t="shared" si="249"/>
        <v>0</v>
      </c>
      <c r="BG102" s="19">
        <f t="shared" si="250"/>
        <v>0</v>
      </c>
      <c r="BH102" s="19">
        <f t="shared" si="251"/>
        <v>0</v>
      </c>
      <c r="BI102" s="19">
        <v>95</v>
      </c>
      <c r="BJ102" s="19">
        <f t="shared" si="252"/>
        <v>1739</v>
      </c>
      <c r="BK102" s="19">
        <v>100</v>
      </c>
      <c r="BL102" s="19">
        <v>0</v>
      </c>
      <c r="BM102" s="19">
        <f t="shared" si="253"/>
        <v>100</v>
      </c>
      <c r="BN102" s="19">
        <f t="shared" si="254"/>
        <v>1639</v>
      </c>
      <c r="BO102" s="19">
        <v>0</v>
      </c>
      <c r="BP102" s="19">
        <v>0</v>
      </c>
      <c r="BQ102" s="22">
        <f t="shared" si="255"/>
        <v>1639</v>
      </c>
      <c r="BR102" s="82">
        <f t="shared" si="256"/>
        <v>0</v>
      </c>
      <c r="BS102" s="19">
        <f t="shared" si="257"/>
        <v>0</v>
      </c>
      <c r="BT102" s="19">
        <f t="shared" si="258"/>
        <v>0</v>
      </c>
      <c r="BU102" s="19">
        <f t="shared" si="259"/>
        <v>0</v>
      </c>
      <c r="BV102" s="19">
        <f t="shared" si="260"/>
        <v>0</v>
      </c>
      <c r="BW102" s="19">
        <f t="shared" si="261"/>
        <v>0</v>
      </c>
      <c r="BX102" s="19">
        <f t="shared" si="262"/>
        <v>14</v>
      </c>
      <c r="BY102" s="19">
        <f t="shared" si="263"/>
        <v>28</v>
      </c>
      <c r="BZ102" s="19">
        <f t="shared" si="264"/>
        <v>0</v>
      </c>
      <c r="CA102" s="19">
        <f t="shared" si="265"/>
        <v>0</v>
      </c>
      <c r="CB102" s="19">
        <f t="shared" si="266"/>
        <v>3</v>
      </c>
      <c r="CC102" s="19">
        <f t="shared" si="267"/>
        <v>9</v>
      </c>
      <c r="CD102" s="19">
        <f t="shared" si="268"/>
        <v>0</v>
      </c>
      <c r="CE102" s="19">
        <f t="shared" si="269"/>
        <v>0</v>
      </c>
      <c r="CF102" s="19">
        <f t="shared" si="270"/>
        <v>6</v>
      </c>
      <c r="CG102" s="19">
        <f t="shared" si="271"/>
        <v>24</v>
      </c>
      <c r="CH102" s="19">
        <f t="shared" si="272"/>
        <v>0</v>
      </c>
      <c r="CI102" s="19">
        <f t="shared" si="273"/>
        <v>0</v>
      </c>
      <c r="CJ102" s="19">
        <f t="shared" si="274"/>
        <v>1</v>
      </c>
      <c r="CK102" s="19">
        <f t="shared" si="275"/>
        <v>5</v>
      </c>
      <c r="CL102" s="19">
        <f t="shared" si="276"/>
        <v>0</v>
      </c>
      <c r="CM102" s="19">
        <f t="shared" si="277"/>
        <v>0</v>
      </c>
      <c r="CN102" s="19">
        <f t="shared" si="278"/>
        <v>0</v>
      </c>
      <c r="CO102" s="19">
        <f t="shared" si="279"/>
        <v>0</v>
      </c>
      <c r="CP102" s="19">
        <f t="shared" si="280"/>
        <v>0</v>
      </c>
      <c r="CQ102" s="19">
        <f t="shared" si="281"/>
        <v>0</v>
      </c>
      <c r="CR102" s="19">
        <f t="shared" si="282"/>
        <v>0</v>
      </c>
      <c r="CS102" s="19">
        <f t="shared" si="283"/>
        <v>0</v>
      </c>
      <c r="CT102" s="19">
        <f t="shared" si="284"/>
        <v>0</v>
      </c>
      <c r="CU102" s="19">
        <f t="shared" si="285"/>
        <v>0</v>
      </c>
      <c r="CV102" s="19">
        <f t="shared" si="286"/>
        <v>0</v>
      </c>
      <c r="CW102" s="19">
        <f t="shared" si="287"/>
        <v>0</v>
      </c>
      <c r="CX102" s="19">
        <f t="shared" si="288"/>
        <v>0</v>
      </c>
      <c r="CY102" s="19">
        <f t="shared" si="289"/>
        <v>0</v>
      </c>
      <c r="CZ102" s="19">
        <f t="shared" si="290"/>
        <v>0</v>
      </c>
      <c r="DA102" s="19">
        <f t="shared" si="291"/>
        <v>0</v>
      </c>
      <c r="DB102" s="19">
        <f t="shared" si="292"/>
        <v>0</v>
      </c>
      <c r="DC102" s="19">
        <f t="shared" si="293"/>
        <v>0</v>
      </c>
      <c r="DD102" s="19">
        <f t="shared" si="294"/>
        <v>0</v>
      </c>
      <c r="DE102" s="19">
        <f t="shared" si="295"/>
        <v>0</v>
      </c>
      <c r="DF102" s="19">
        <f t="shared" si="296"/>
        <v>0</v>
      </c>
      <c r="DG102" s="19">
        <f t="shared" si="297"/>
        <v>0</v>
      </c>
      <c r="DH102" s="19">
        <f t="shared" si="298"/>
        <v>0</v>
      </c>
      <c r="DI102" s="19">
        <f t="shared" si="299"/>
        <v>0</v>
      </c>
      <c r="DJ102" s="19">
        <f t="shared" si="300"/>
        <v>0</v>
      </c>
      <c r="DK102" s="19">
        <f t="shared" si="301"/>
        <v>0</v>
      </c>
      <c r="DL102" s="19">
        <f t="shared" si="302"/>
        <v>0</v>
      </c>
      <c r="DM102" s="19">
        <f t="shared" si="303"/>
        <v>0</v>
      </c>
      <c r="DN102" s="19">
        <f t="shared" si="304"/>
        <v>0</v>
      </c>
      <c r="DO102" s="19">
        <f t="shared" si="305"/>
        <v>0</v>
      </c>
      <c r="DP102" s="19">
        <f t="shared" si="306"/>
        <v>0</v>
      </c>
      <c r="DQ102" s="19">
        <f t="shared" si="307"/>
        <v>0</v>
      </c>
      <c r="DR102" s="19">
        <f t="shared" si="308"/>
        <v>0</v>
      </c>
      <c r="DS102" s="19">
        <f t="shared" si="309"/>
        <v>0</v>
      </c>
      <c r="DT102" s="19">
        <f t="shared" si="310"/>
        <v>0</v>
      </c>
      <c r="DU102" s="19">
        <f t="shared" si="311"/>
        <v>0</v>
      </c>
      <c r="DV102" s="19">
        <f t="shared" si="312"/>
        <v>0</v>
      </c>
      <c r="DW102" s="19">
        <f t="shared" si="313"/>
        <v>0</v>
      </c>
      <c r="DX102" s="19">
        <f t="shared" si="314"/>
        <v>0</v>
      </c>
      <c r="DY102" s="19">
        <f t="shared" si="315"/>
        <v>0</v>
      </c>
      <c r="DZ102" s="19">
        <f t="shared" si="316"/>
        <v>0</v>
      </c>
      <c r="EA102" s="19">
        <f t="shared" si="317"/>
        <v>0</v>
      </c>
      <c r="EB102" s="19">
        <f t="shared" si="318"/>
        <v>0</v>
      </c>
      <c r="EC102" s="19">
        <f t="shared" si="319"/>
        <v>0</v>
      </c>
    </row>
    <row r="103" spans="1:134" s="78" customFormat="1" ht="18" customHeight="1" x14ac:dyDescent="0.25">
      <c r="A103" s="15">
        <v>100</v>
      </c>
      <c r="B103" s="108" t="s">
        <v>626</v>
      </c>
      <c r="C103" s="74" t="s">
        <v>590</v>
      </c>
      <c r="D103" s="16" t="s">
        <v>61</v>
      </c>
      <c r="E103" s="18">
        <v>45851</v>
      </c>
      <c r="F103" s="19">
        <v>11</v>
      </c>
      <c r="G103" s="19">
        <v>11</v>
      </c>
      <c r="H103" s="19">
        <v>11</v>
      </c>
      <c r="I103" s="19">
        <v>11</v>
      </c>
      <c r="J103" s="19" t="s">
        <v>603</v>
      </c>
      <c r="K103" s="19">
        <v>11</v>
      </c>
      <c r="L103" s="19" t="s">
        <v>15</v>
      </c>
      <c r="M103" s="19">
        <v>11</v>
      </c>
      <c r="N103" s="19">
        <v>11</v>
      </c>
      <c r="O103" s="19">
        <v>11</v>
      </c>
      <c r="P103" s="19">
        <v>11</v>
      </c>
      <c r="Q103" s="19">
        <v>11</v>
      </c>
      <c r="R103" s="19">
        <v>11</v>
      </c>
      <c r="S103" s="19" t="s">
        <v>15</v>
      </c>
      <c r="T103" s="19">
        <v>11</v>
      </c>
      <c r="U103" s="19">
        <v>11</v>
      </c>
      <c r="V103" s="19">
        <v>11</v>
      </c>
      <c r="W103" s="19">
        <v>11</v>
      </c>
      <c r="X103" s="19">
        <v>11</v>
      </c>
      <c r="Y103" s="19">
        <v>11</v>
      </c>
      <c r="Z103" s="19" t="s">
        <v>15</v>
      </c>
      <c r="AA103" s="19">
        <v>11</v>
      </c>
      <c r="AB103" s="19">
        <v>11</v>
      </c>
      <c r="AC103" s="19">
        <v>11</v>
      </c>
      <c r="AD103" s="19">
        <v>11</v>
      </c>
      <c r="AE103" s="19">
        <v>11</v>
      </c>
      <c r="AF103" s="19">
        <v>11</v>
      </c>
      <c r="AG103" s="19" t="s">
        <v>15</v>
      </c>
      <c r="AH103" s="19">
        <v>11</v>
      </c>
      <c r="AI103" s="19">
        <v>11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11</v>
      </c>
      <c r="AP103" s="19"/>
      <c r="AQ103" s="19"/>
      <c r="AR103" s="19"/>
      <c r="AS103" s="19">
        <v>0</v>
      </c>
      <c r="AT103" s="19">
        <f t="shared" si="240"/>
        <v>75</v>
      </c>
      <c r="AU103" s="19">
        <f t="shared" si="241"/>
        <v>0</v>
      </c>
      <c r="AV103" s="19">
        <f t="shared" si="242"/>
        <v>11</v>
      </c>
      <c r="AW103" s="16">
        <f t="shared" si="243"/>
        <v>30</v>
      </c>
      <c r="AX103" s="16">
        <f t="shared" si="244"/>
        <v>0</v>
      </c>
      <c r="AY103" s="16">
        <f t="shared" si="245"/>
        <v>0</v>
      </c>
      <c r="AZ103" s="21">
        <v>900</v>
      </c>
      <c r="BA103" s="21">
        <v>100</v>
      </c>
      <c r="BB103" s="21">
        <v>0</v>
      </c>
      <c r="BC103" s="19">
        <f t="shared" si="246"/>
        <v>900</v>
      </c>
      <c r="BD103" s="19">
        <f t="shared" si="247"/>
        <v>100</v>
      </c>
      <c r="BE103" s="19">
        <f t="shared" si="248"/>
        <v>413</v>
      </c>
      <c r="BF103" s="19">
        <f t="shared" si="249"/>
        <v>0</v>
      </c>
      <c r="BG103" s="19">
        <f t="shared" si="250"/>
        <v>0</v>
      </c>
      <c r="BH103" s="19">
        <f t="shared" si="251"/>
        <v>0</v>
      </c>
      <c r="BI103" s="19">
        <v>95</v>
      </c>
      <c r="BJ103" s="19">
        <f t="shared" si="252"/>
        <v>1508</v>
      </c>
      <c r="BK103" s="19">
        <v>100</v>
      </c>
      <c r="BL103" s="19">
        <v>0</v>
      </c>
      <c r="BM103" s="19">
        <f t="shared" si="253"/>
        <v>100</v>
      </c>
      <c r="BN103" s="19">
        <f t="shared" si="254"/>
        <v>1408</v>
      </c>
      <c r="BO103" s="19">
        <v>0</v>
      </c>
      <c r="BP103" s="19">
        <v>0</v>
      </c>
      <c r="BQ103" s="22">
        <f t="shared" si="255"/>
        <v>1408</v>
      </c>
      <c r="BR103" s="82">
        <f t="shared" si="256"/>
        <v>0</v>
      </c>
      <c r="BS103" s="19">
        <f t="shared" si="257"/>
        <v>0</v>
      </c>
      <c r="BT103" s="19">
        <f t="shared" si="258"/>
        <v>0</v>
      </c>
      <c r="BU103" s="19">
        <f t="shared" si="259"/>
        <v>0</v>
      </c>
      <c r="BV103" s="19">
        <f t="shared" si="260"/>
        <v>0</v>
      </c>
      <c r="BW103" s="19">
        <f t="shared" si="261"/>
        <v>0</v>
      </c>
      <c r="BX103" s="19">
        <f t="shared" si="262"/>
        <v>0</v>
      </c>
      <c r="BY103" s="19">
        <f t="shared" si="263"/>
        <v>0</v>
      </c>
      <c r="BZ103" s="19">
        <f t="shared" si="264"/>
        <v>0</v>
      </c>
      <c r="CA103" s="19">
        <f t="shared" si="265"/>
        <v>0</v>
      </c>
      <c r="CB103" s="19">
        <f t="shared" si="266"/>
        <v>25</v>
      </c>
      <c r="CC103" s="19">
        <f t="shared" si="267"/>
        <v>75</v>
      </c>
      <c r="CD103" s="19">
        <f t="shared" si="268"/>
        <v>0</v>
      </c>
      <c r="CE103" s="19">
        <f t="shared" si="269"/>
        <v>0</v>
      </c>
      <c r="CF103" s="19">
        <f t="shared" si="270"/>
        <v>0</v>
      </c>
      <c r="CG103" s="19">
        <f t="shared" si="271"/>
        <v>0</v>
      </c>
      <c r="CH103" s="19">
        <f t="shared" si="272"/>
        <v>0</v>
      </c>
      <c r="CI103" s="19">
        <f t="shared" si="273"/>
        <v>0</v>
      </c>
      <c r="CJ103" s="19">
        <f t="shared" si="274"/>
        <v>0</v>
      </c>
      <c r="CK103" s="19">
        <f t="shared" si="275"/>
        <v>0</v>
      </c>
      <c r="CL103" s="19">
        <f t="shared" si="276"/>
        <v>0</v>
      </c>
      <c r="CM103" s="19">
        <f t="shared" si="277"/>
        <v>0</v>
      </c>
      <c r="CN103" s="19">
        <f t="shared" si="278"/>
        <v>0</v>
      </c>
      <c r="CO103" s="19">
        <f t="shared" si="279"/>
        <v>0</v>
      </c>
      <c r="CP103" s="19">
        <f t="shared" si="280"/>
        <v>0</v>
      </c>
      <c r="CQ103" s="19">
        <f t="shared" si="281"/>
        <v>0</v>
      </c>
      <c r="CR103" s="19">
        <f t="shared" si="282"/>
        <v>0</v>
      </c>
      <c r="CS103" s="19">
        <f t="shared" si="283"/>
        <v>0</v>
      </c>
      <c r="CT103" s="19">
        <f t="shared" si="284"/>
        <v>0</v>
      </c>
      <c r="CU103" s="19">
        <f t="shared" si="285"/>
        <v>0</v>
      </c>
      <c r="CV103" s="19">
        <f t="shared" si="286"/>
        <v>0</v>
      </c>
      <c r="CW103" s="19">
        <f t="shared" si="287"/>
        <v>0</v>
      </c>
      <c r="CX103" s="19">
        <f t="shared" si="288"/>
        <v>0</v>
      </c>
      <c r="CY103" s="19">
        <f t="shared" si="289"/>
        <v>0</v>
      </c>
      <c r="CZ103" s="19">
        <f t="shared" si="290"/>
        <v>0</v>
      </c>
      <c r="DA103" s="19">
        <f t="shared" si="291"/>
        <v>0</v>
      </c>
      <c r="DB103" s="19">
        <f t="shared" si="292"/>
        <v>0</v>
      </c>
      <c r="DC103" s="19">
        <f t="shared" si="293"/>
        <v>0</v>
      </c>
      <c r="DD103" s="19">
        <f t="shared" si="294"/>
        <v>0</v>
      </c>
      <c r="DE103" s="19">
        <f t="shared" si="295"/>
        <v>0</v>
      </c>
      <c r="DF103" s="19">
        <f t="shared" si="296"/>
        <v>0</v>
      </c>
      <c r="DG103" s="19">
        <f t="shared" si="297"/>
        <v>0</v>
      </c>
      <c r="DH103" s="19">
        <f t="shared" si="298"/>
        <v>0</v>
      </c>
      <c r="DI103" s="19">
        <f t="shared" si="299"/>
        <v>0</v>
      </c>
      <c r="DJ103" s="19">
        <f t="shared" si="300"/>
        <v>0</v>
      </c>
      <c r="DK103" s="19">
        <f t="shared" si="301"/>
        <v>0</v>
      </c>
      <c r="DL103" s="19">
        <f t="shared" si="302"/>
        <v>0</v>
      </c>
      <c r="DM103" s="19">
        <f t="shared" si="303"/>
        <v>0</v>
      </c>
      <c r="DN103" s="19">
        <f t="shared" si="304"/>
        <v>0</v>
      </c>
      <c r="DO103" s="19">
        <f t="shared" si="305"/>
        <v>0</v>
      </c>
      <c r="DP103" s="19">
        <f t="shared" si="306"/>
        <v>0</v>
      </c>
      <c r="DQ103" s="19">
        <f t="shared" si="307"/>
        <v>0</v>
      </c>
      <c r="DR103" s="19">
        <f t="shared" si="308"/>
        <v>0</v>
      </c>
      <c r="DS103" s="19">
        <f t="shared" si="309"/>
        <v>0</v>
      </c>
      <c r="DT103" s="19">
        <f t="shared" si="310"/>
        <v>0</v>
      </c>
      <c r="DU103" s="19">
        <f t="shared" si="311"/>
        <v>0</v>
      </c>
      <c r="DV103" s="19">
        <f t="shared" si="312"/>
        <v>0</v>
      </c>
      <c r="DW103" s="19">
        <f t="shared" si="313"/>
        <v>0</v>
      </c>
      <c r="DX103" s="19">
        <f t="shared" si="314"/>
        <v>0</v>
      </c>
      <c r="DY103" s="19">
        <f t="shared" si="315"/>
        <v>0</v>
      </c>
      <c r="DZ103" s="19">
        <f t="shared" si="316"/>
        <v>0</v>
      </c>
      <c r="EA103" s="19">
        <f t="shared" si="317"/>
        <v>0</v>
      </c>
      <c r="EB103" s="19">
        <f t="shared" si="318"/>
        <v>0</v>
      </c>
      <c r="EC103" s="19">
        <f t="shared" si="319"/>
        <v>0</v>
      </c>
    </row>
    <row r="104" spans="1:134" s="78" customFormat="1" ht="18" customHeight="1" x14ac:dyDescent="0.25">
      <c r="A104" s="15">
        <v>101</v>
      </c>
      <c r="B104" s="108" t="s">
        <v>627</v>
      </c>
      <c r="C104" s="74" t="s">
        <v>591</v>
      </c>
      <c r="D104" s="16" t="s">
        <v>61</v>
      </c>
      <c r="E104" s="18">
        <v>45854</v>
      </c>
      <c r="F104" s="19" t="s">
        <v>316</v>
      </c>
      <c r="G104" s="19">
        <v>10</v>
      </c>
      <c r="H104" s="19">
        <v>10</v>
      </c>
      <c r="I104" s="19">
        <v>10</v>
      </c>
      <c r="J104" s="19" t="s">
        <v>603</v>
      </c>
      <c r="K104" s="19">
        <v>10</v>
      </c>
      <c r="L104" s="19" t="s">
        <v>316</v>
      </c>
      <c r="M104" s="19">
        <v>10</v>
      </c>
      <c r="N104" s="19">
        <v>10</v>
      </c>
      <c r="O104" s="19">
        <v>10</v>
      </c>
      <c r="P104" s="19">
        <v>10</v>
      </c>
      <c r="Q104" s="19">
        <v>10</v>
      </c>
      <c r="R104" s="19">
        <v>10</v>
      </c>
      <c r="S104" s="19" t="s">
        <v>15</v>
      </c>
      <c r="T104" s="19">
        <v>10</v>
      </c>
      <c r="U104" s="19">
        <v>10</v>
      </c>
      <c r="V104" s="19">
        <v>10</v>
      </c>
      <c r="W104" s="19">
        <v>10</v>
      </c>
      <c r="X104" s="19">
        <v>10</v>
      </c>
      <c r="Y104" s="19">
        <v>10</v>
      </c>
      <c r="Z104" s="19" t="s">
        <v>15</v>
      </c>
      <c r="AA104" s="19">
        <v>10</v>
      </c>
      <c r="AB104" s="19">
        <v>10</v>
      </c>
      <c r="AC104" s="19">
        <v>10</v>
      </c>
      <c r="AD104" s="19">
        <v>10</v>
      </c>
      <c r="AE104" s="19">
        <v>10</v>
      </c>
      <c r="AF104" s="19">
        <v>10</v>
      </c>
      <c r="AG104" s="19" t="s">
        <v>15</v>
      </c>
      <c r="AH104" s="19" t="s">
        <v>316</v>
      </c>
      <c r="AI104" s="19">
        <v>10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/>
      <c r="AQ104" s="19"/>
      <c r="AR104" s="19"/>
      <c r="AS104" s="19">
        <v>0</v>
      </c>
      <c r="AT104" s="19">
        <f t="shared" si="240"/>
        <v>46</v>
      </c>
      <c r="AU104" s="19">
        <f t="shared" si="241"/>
        <v>0</v>
      </c>
      <c r="AV104" s="19">
        <f t="shared" si="242"/>
        <v>0</v>
      </c>
      <c r="AW104" s="16">
        <f t="shared" si="243"/>
        <v>27</v>
      </c>
      <c r="AX104" s="16">
        <f t="shared" si="244"/>
        <v>3</v>
      </c>
      <c r="AY104" s="16">
        <f t="shared" si="245"/>
        <v>0</v>
      </c>
      <c r="AZ104" s="21">
        <v>900</v>
      </c>
      <c r="BA104" s="21">
        <v>100</v>
      </c>
      <c r="BB104" s="21">
        <v>0</v>
      </c>
      <c r="BC104" s="19">
        <f t="shared" si="246"/>
        <v>810</v>
      </c>
      <c r="BD104" s="19">
        <f t="shared" si="247"/>
        <v>90</v>
      </c>
      <c r="BE104" s="19">
        <f t="shared" si="248"/>
        <v>216</v>
      </c>
      <c r="BF104" s="19">
        <f t="shared" si="249"/>
        <v>0</v>
      </c>
      <c r="BG104" s="19">
        <f t="shared" si="250"/>
        <v>0</v>
      </c>
      <c r="BH104" s="19">
        <f t="shared" si="251"/>
        <v>0</v>
      </c>
      <c r="BI104" s="19">
        <v>0</v>
      </c>
      <c r="BJ104" s="19">
        <f t="shared" si="252"/>
        <v>1116</v>
      </c>
      <c r="BK104" s="19">
        <v>100</v>
      </c>
      <c r="BL104" s="19">
        <v>0</v>
      </c>
      <c r="BM104" s="19">
        <f t="shared" si="253"/>
        <v>100</v>
      </c>
      <c r="BN104" s="19">
        <f t="shared" si="254"/>
        <v>1016</v>
      </c>
      <c r="BO104" s="19">
        <v>0</v>
      </c>
      <c r="BP104" s="19">
        <v>0</v>
      </c>
      <c r="BQ104" s="22">
        <f t="shared" si="255"/>
        <v>1016</v>
      </c>
      <c r="BR104" s="82">
        <f t="shared" si="256"/>
        <v>0</v>
      </c>
      <c r="BS104" s="19">
        <f t="shared" si="257"/>
        <v>0</v>
      </c>
      <c r="BT104" s="19">
        <f t="shared" si="258"/>
        <v>0</v>
      </c>
      <c r="BU104" s="19">
        <f t="shared" si="259"/>
        <v>0</v>
      </c>
      <c r="BV104" s="19">
        <f t="shared" si="260"/>
        <v>0</v>
      </c>
      <c r="BW104" s="19">
        <f t="shared" si="261"/>
        <v>0</v>
      </c>
      <c r="BX104" s="19">
        <f t="shared" si="262"/>
        <v>23</v>
      </c>
      <c r="BY104" s="19">
        <f t="shared" si="263"/>
        <v>46</v>
      </c>
      <c r="BZ104" s="19">
        <f t="shared" si="264"/>
        <v>0</v>
      </c>
      <c r="CA104" s="19">
        <f t="shared" si="265"/>
        <v>0</v>
      </c>
      <c r="CB104" s="19">
        <f t="shared" si="266"/>
        <v>0</v>
      </c>
      <c r="CC104" s="19">
        <f t="shared" si="267"/>
        <v>0</v>
      </c>
      <c r="CD104" s="19">
        <f t="shared" si="268"/>
        <v>0</v>
      </c>
      <c r="CE104" s="19">
        <f t="shared" si="269"/>
        <v>0</v>
      </c>
      <c r="CF104" s="19">
        <f t="shared" si="270"/>
        <v>0</v>
      </c>
      <c r="CG104" s="19">
        <f t="shared" si="271"/>
        <v>0</v>
      </c>
      <c r="CH104" s="19">
        <f t="shared" si="272"/>
        <v>0</v>
      </c>
      <c r="CI104" s="19">
        <f t="shared" si="273"/>
        <v>0</v>
      </c>
      <c r="CJ104" s="19">
        <f t="shared" si="274"/>
        <v>0</v>
      </c>
      <c r="CK104" s="19">
        <f t="shared" si="275"/>
        <v>0</v>
      </c>
      <c r="CL104" s="19">
        <f t="shared" si="276"/>
        <v>0</v>
      </c>
      <c r="CM104" s="19">
        <f t="shared" si="277"/>
        <v>0</v>
      </c>
      <c r="CN104" s="19">
        <f t="shared" si="278"/>
        <v>0</v>
      </c>
      <c r="CO104" s="19">
        <f t="shared" si="279"/>
        <v>0</v>
      </c>
      <c r="CP104" s="19">
        <f t="shared" si="280"/>
        <v>0</v>
      </c>
      <c r="CQ104" s="19">
        <f t="shared" si="281"/>
        <v>0</v>
      </c>
      <c r="CR104" s="19">
        <f t="shared" si="282"/>
        <v>0</v>
      </c>
      <c r="CS104" s="19">
        <f t="shared" si="283"/>
        <v>0</v>
      </c>
      <c r="CT104" s="19">
        <f t="shared" si="284"/>
        <v>0</v>
      </c>
      <c r="CU104" s="19">
        <f t="shared" si="285"/>
        <v>0</v>
      </c>
      <c r="CV104" s="19">
        <f t="shared" si="286"/>
        <v>0</v>
      </c>
      <c r="CW104" s="19">
        <f t="shared" si="287"/>
        <v>0</v>
      </c>
      <c r="CX104" s="19">
        <f t="shared" si="288"/>
        <v>0</v>
      </c>
      <c r="CY104" s="19">
        <f t="shared" si="289"/>
        <v>0</v>
      </c>
      <c r="CZ104" s="19">
        <f t="shared" si="290"/>
        <v>0</v>
      </c>
      <c r="DA104" s="19">
        <f t="shared" si="291"/>
        <v>0</v>
      </c>
      <c r="DB104" s="19">
        <f t="shared" si="292"/>
        <v>0</v>
      </c>
      <c r="DC104" s="19">
        <f t="shared" si="293"/>
        <v>0</v>
      </c>
      <c r="DD104" s="19">
        <f t="shared" si="294"/>
        <v>0</v>
      </c>
      <c r="DE104" s="19">
        <f t="shared" si="295"/>
        <v>0</v>
      </c>
      <c r="DF104" s="19">
        <f t="shared" si="296"/>
        <v>0</v>
      </c>
      <c r="DG104" s="19">
        <f t="shared" si="297"/>
        <v>0</v>
      </c>
      <c r="DH104" s="19">
        <f t="shared" si="298"/>
        <v>0</v>
      </c>
      <c r="DI104" s="19">
        <f t="shared" si="299"/>
        <v>0</v>
      </c>
      <c r="DJ104" s="19">
        <f t="shared" si="300"/>
        <v>0</v>
      </c>
      <c r="DK104" s="19">
        <f t="shared" si="301"/>
        <v>0</v>
      </c>
      <c r="DL104" s="19">
        <f t="shared" si="302"/>
        <v>0</v>
      </c>
      <c r="DM104" s="19">
        <f t="shared" si="303"/>
        <v>0</v>
      </c>
      <c r="DN104" s="19">
        <f t="shared" si="304"/>
        <v>0</v>
      </c>
      <c r="DO104" s="19">
        <f t="shared" si="305"/>
        <v>0</v>
      </c>
      <c r="DP104" s="19">
        <f t="shared" si="306"/>
        <v>0</v>
      </c>
      <c r="DQ104" s="19">
        <f t="shared" si="307"/>
        <v>0</v>
      </c>
      <c r="DR104" s="19">
        <f t="shared" si="308"/>
        <v>0</v>
      </c>
      <c r="DS104" s="19">
        <f t="shared" si="309"/>
        <v>0</v>
      </c>
      <c r="DT104" s="19">
        <f t="shared" si="310"/>
        <v>0</v>
      </c>
      <c r="DU104" s="19">
        <f t="shared" si="311"/>
        <v>0</v>
      </c>
      <c r="DV104" s="19">
        <f t="shared" si="312"/>
        <v>0</v>
      </c>
      <c r="DW104" s="19">
        <f t="shared" si="313"/>
        <v>0</v>
      </c>
      <c r="DX104" s="19">
        <f t="shared" si="314"/>
        <v>0</v>
      </c>
      <c r="DY104" s="19">
        <f t="shared" si="315"/>
        <v>0</v>
      </c>
      <c r="DZ104" s="19">
        <f t="shared" si="316"/>
        <v>0</v>
      </c>
      <c r="EA104" s="19">
        <f t="shared" si="317"/>
        <v>0</v>
      </c>
      <c r="EB104" s="19">
        <f t="shared" si="318"/>
        <v>0</v>
      </c>
      <c r="EC104" s="19">
        <f t="shared" si="319"/>
        <v>0</v>
      </c>
    </row>
    <row r="105" spans="1:134" s="78" customFormat="1" ht="18" customHeight="1" x14ac:dyDescent="0.25">
      <c r="A105" s="15">
        <v>102</v>
      </c>
      <c r="B105" s="108" t="s">
        <v>628</v>
      </c>
      <c r="C105" s="74" t="s">
        <v>592</v>
      </c>
      <c r="D105" s="16" t="s">
        <v>61</v>
      </c>
      <c r="E105" s="18">
        <v>45857</v>
      </c>
      <c r="F105" s="19">
        <v>10</v>
      </c>
      <c r="G105" s="19">
        <v>10</v>
      </c>
      <c r="H105" s="19">
        <v>10</v>
      </c>
      <c r="I105" s="19">
        <v>10</v>
      </c>
      <c r="J105" s="19" t="s">
        <v>603</v>
      </c>
      <c r="K105" s="19">
        <v>10</v>
      </c>
      <c r="L105" s="19" t="s">
        <v>15</v>
      </c>
      <c r="M105" s="19">
        <v>10</v>
      </c>
      <c r="N105" s="19">
        <v>10</v>
      </c>
      <c r="O105" s="19">
        <v>10</v>
      </c>
      <c r="P105" s="19">
        <v>10</v>
      </c>
      <c r="Q105" s="19">
        <v>10</v>
      </c>
      <c r="R105" s="19">
        <v>10</v>
      </c>
      <c r="S105" s="19" t="s">
        <v>15</v>
      </c>
      <c r="T105" s="19">
        <v>10</v>
      </c>
      <c r="U105" s="19">
        <v>10</v>
      </c>
      <c r="V105" s="19">
        <v>10</v>
      </c>
      <c r="W105" s="19">
        <v>10</v>
      </c>
      <c r="X105" s="19">
        <v>10</v>
      </c>
      <c r="Y105" s="19">
        <v>10</v>
      </c>
      <c r="Z105" s="19" t="s">
        <v>15</v>
      </c>
      <c r="AA105" s="19">
        <v>10</v>
      </c>
      <c r="AB105" s="19">
        <v>10</v>
      </c>
      <c r="AC105" s="19">
        <v>10</v>
      </c>
      <c r="AD105" s="19">
        <v>10</v>
      </c>
      <c r="AE105" s="19">
        <v>10</v>
      </c>
      <c r="AF105" s="19">
        <v>10</v>
      </c>
      <c r="AG105" s="19" t="s">
        <v>15</v>
      </c>
      <c r="AH105" s="19">
        <v>10</v>
      </c>
      <c r="AI105" s="19">
        <v>10</v>
      </c>
      <c r="AJ105" s="19">
        <v>11</v>
      </c>
      <c r="AK105" s="19">
        <v>11</v>
      </c>
      <c r="AL105" s="19">
        <v>0</v>
      </c>
      <c r="AM105" s="19">
        <v>10</v>
      </c>
      <c r="AN105" s="19">
        <v>0</v>
      </c>
      <c r="AO105" s="19">
        <v>10</v>
      </c>
      <c r="AP105" s="19"/>
      <c r="AQ105" s="19"/>
      <c r="AR105" s="19"/>
      <c r="AS105" s="19">
        <v>0</v>
      </c>
      <c r="AT105" s="19">
        <f t="shared" si="240"/>
        <v>50</v>
      </c>
      <c r="AU105" s="19">
        <f t="shared" si="241"/>
        <v>32</v>
      </c>
      <c r="AV105" s="19">
        <f t="shared" si="242"/>
        <v>10</v>
      </c>
      <c r="AW105" s="16">
        <f t="shared" si="243"/>
        <v>30</v>
      </c>
      <c r="AX105" s="16">
        <f t="shared" si="244"/>
        <v>0</v>
      </c>
      <c r="AY105" s="16">
        <f t="shared" si="245"/>
        <v>0</v>
      </c>
      <c r="AZ105" s="21">
        <v>1100</v>
      </c>
      <c r="BA105" s="21">
        <v>100</v>
      </c>
      <c r="BB105" s="21">
        <v>0</v>
      </c>
      <c r="BC105" s="19">
        <f t="shared" si="246"/>
        <v>1100</v>
      </c>
      <c r="BD105" s="19">
        <f t="shared" si="247"/>
        <v>100</v>
      </c>
      <c r="BE105" s="19">
        <f t="shared" si="248"/>
        <v>575</v>
      </c>
      <c r="BF105" s="19">
        <f t="shared" si="249"/>
        <v>0</v>
      </c>
      <c r="BG105" s="19">
        <f t="shared" si="250"/>
        <v>0</v>
      </c>
      <c r="BH105" s="19">
        <f t="shared" si="251"/>
        <v>0</v>
      </c>
      <c r="BI105" s="19">
        <v>95</v>
      </c>
      <c r="BJ105" s="19">
        <f t="shared" si="252"/>
        <v>1870</v>
      </c>
      <c r="BK105" s="19">
        <v>100</v>
      </c>
      <c r="BL105" s="19">
        <v>0</v>
      </c>
      <c r="BM105" s="19">
        <f t="shared" si="253"/>
        <v>100</v>
      </c>
      <c r="BN105" s="19">
        <f t="shared" si="254"/>
        <v>1770</v>
      </c>
      <c r="BO105" s="19">
        <v>0</v>
      </c>
      <c r="BP105" s="19">
        <v>0</v>
      </c>
      <c r="BQ105" s="22">
        <f t="shared" si="255"/>
        <v>1770</v>
      </c>
      <c r="BR105" s="82">
        <f t="shared" si="256"/>
        <v>0</v>
      </c>
      <c r="BS105" s="19">
        <f t="shared" si="257"/>
        <v>0</v>
      </c>
      <c r="BT105" s="19">
        <f t="shared" si="258"/>
        <v>0</v>
      </c>
      <c r="BU105" s="19">
        <f t="shared" si="259"/>
        <v>0</v>
      </c>
      <c r="BV105" s="19">
        <f t="shared" si="260"/>
        <v>0</v>
      </c>
      <c r="BW105" s="19">
        <f t="shared" si="261"/>
        <v>0</v>
      </c>
      <c r="BX105" s="19">
        <f t="shared" si="262"/>
        <v>25</v>
      </c>
      <c r="BY105" s="19">
        <f t="shared" si="263"/>
        <v>50</v>
      </c>
      <c r="BZ105" s="19">
        <f t="shared" si="264"/>
        <v>0</v>
      </c>
      <c r="CA105" s="19">
        <f t="shared" si="265"/>
        <v>0</v>
      </c>
      <c r="CB105" s="19">
        <f t="shared" si="266"/>
        <v>0</v>
      </c>
      <c r="CC105" s="19">
        <f t="shared" si="267"/>
        <v>0</v>
      </c>
      <c r="CD105" s="19">
        <f t="shared" si="268"/>
        <v>0</v>
      </c>
      <c r="CE105" s="19">
        <f t="shared" si="269"/>
        <v>0</v>
      </c>
      <c r="CF105" s="19">
        <f t="shared" si="270"/>
        <v>0</v>
      </c>
      <c r="CG105" s="19">
        <f t="shared" si="271"/>
        <v>0</v>
      </c>
      <c r="CH105" s="19">
        <f t="shared" si="272"/>
        <v>0</v>
      </c>
      <c r="CI105" s="19">
        <f t="shared" si="273"/>
        <v>0</v>
      </c>
      <c r="CJ105" s="19">
        <f t="shared" si="274"/>
        <v>0</v>
      </c>
      <c r="CK105" s="19">
        <f t="shared" si="275"/>
        <v>0</v>
      </c>
      <c r="CL105" s="19">
        <f t="shared" si="276"/>
        <v>0</v>
      </c>
      <c r="CM105" s="19">
        <f t="shared" si="277"/>
        <v>0</v>
      </c>
      <c r="CN105" s="19">
        <f t="shared" si="278"/>
        <v>0</v>
      </c>
      <c r="CO105" s="19">
        <f t="shared" si="279"/>
        <v>0</v>
      </c>
      <c r="CP105" s="19">
        <f t="shared" si="280"/>
        <v>0</v>
      </c>
      <c r="CQ105" s="19">
        <f t="shared" si="281"/>
        <v>0</v>
      </c>
      <c r="CR105" s="19">
        <f t="shared" si="282"/>
        <v>0</v>
      </c>
      <c r="CS105" s="19">
        <f t="shared" si="283"/>
        <v>0</v>
      </c>
      <c r="CT105" s="19">
        <f t="shared" si="284"/>
        <v>0</v>
      </c>
      <c r="CU105" s="19">
        <f t="shared" si="285"/>
        <v>0</v>
      </c>
      <c r="CV105" s="19">
        <f t="shared" si="286"/>
        <v>0</v>
      </c>
      <c r="CW105" s="19">
        <f t="shared" si="287"/>
        <v>0</v>
      </c>
      <c r="CX105" s="19">
        <f t="shared" si="288"/>
        <v>0</v>
      </c>
      <c r="CY105" s="19">
        <f t="shared" si="289"/>
        <v>0</v>
      </c>
      <c r="CZ105" s="19">
        <f t="shared" si="290"/>
        <v>0</v>
      </c>
      <c r="DA105" s="19">
        <f t="shared" si="291"/>
        <v>0</v>
      </c>
      <c r="DB105" s="19">
        <f t="shared" si="292"/>
        <v>0</v>
      </c>
      <c r="DC105" s="19">
        <f t="shared" si="293"/>
        <v>0</v>
      </c>
      <c r="DD105" s="19">
        <f t="shared" si="294"/>
        <v>0</v>
      </c>
      <c r="DE105" s="19">
        <f t="shared" si="295"/>
        <v>0</v>
      </c>
      <c r="DF105" s="19">
        <f t="shared" si="296"/>
        <v>0</v>
      </c>
      <c r="DG105" s="19">
        <f t="shared" si="297"/>
        <v>0</v>
      </c>
      <c r="DH105" s="19">
        <f t="shared" si="298"/>
        <v>0</v>
      </c>
      <c r="DI105" s="19">
        <f t="shared" si="299"/>
        <v>0</v>
      </c>
      <c r="DJ105" s="19">
        <f t="shared" si="300"/>
        <v>0</v>
      </c>
      <c r="DK105" s="19">
        <f t="shared" si="301"/>
        <v>0</v>
      </c>
      <c r="DL105" s="19">
        <f t="shared" si="302"/>
        <v>0</v>
      </c>
      <c r="DM105" s="19">
        <f t="shared" si="303"/>
        <v>0</v>
      </c>
      <c r="DN105" s="19">
        <f t="shared" si="304"/>
        <v>0</v>
      </c>
      <c r="DO105" s="19">
        <f t="shared" si="305"/>
        <v>0</v>
      </c>
      <c r="DP105" s="19">
        <f t="shared" si="306"/>
        <v>0</v>
      </c>
      <c r="DQ105" s="19">
        <f t="shared" si="307"/>
        <v>0</v>
      </c>
      <c r="DR105" s="19">
        <f t="shared" si="308"/>
        <v>0</v>
      </c>
      <c r="DS105" s="19">
        <f t="shared" si="309"/>
        <v>0</v>
      </c>
      <c r="DT105" s="19">
        <f t="shared" si="310"/>
        <v>0</v>
      </c>
      <c r="DU105" s="19">
        <f t="shared" si="311"/>
        <v>0</v>
      </c>
      <c r="DV105" s="19">
        <f t="shared" si="312"/>
        <v>0</v>
      </c>
      <c r="DW105" s="19">
        <f t="shared" si="313"/>
        <v>0</v>
      </c>
      <c r="DX105" s="19">
        <f t="shared" si="314"/>
        <v>0</v>
      </c>
      <c r="DY105" s="19">
        <f t="shared" si="315"/>
        <v>0</v>
      </c>
      <c r="DZ105" s="19">
        <f t="shared" si="316"/>
        <v>0</v>
      </c>
      <c r="EA105" s="19">
        <f t="shared" si="317"/>
        <v>0</v>
      </c>
      <c r="EB105" s="19">
        <f t="shared" si="318"/>
        <v>0</v>
      </c>
      <c r="EC105" s="19">
        <f t="shared" si="319"/>
        <v>0</v>
      </c>
    </row>
    <row r="106" spans="1:134" s="78" customFormat="1" ht="18" customHeight="1" x14ac:dyDescent="0.25">
      <c r="A106" s="15">
        <v>103</v>
      </c>
      <c r="B106" s="108" t="s">
        <v>629</v>
      </c>
      <c r="C106" s="74" t="s">
        <v>593</v>
      </c>
      <c r="D106" s="16" t="s">
        <v>61</v>
      </c>
      <c r="E106" s="18">
        <v>45859</v>
      </c>
      <c r="F106" s="19">
        <v>10</v>
      </c>
      <c r="G106" s="19">
        <v>10</v>
      </c>
      <c r="H106" s="19">
        <v>10</v>
      </c>
      <c r="I106" s="19">
        <v>10</v>
      </c>
      <c r="J106" s="19" t="s">
        <v>603</v>
      </c>
      <c r="K106" s="19">
        <v>10</v>
      </c>
      <c r="L106" s="19" t="s">
        <v>15</v>
      </c>
      <c r="M106" s="19">
        <v>10</v>
      </c>
      <c r="N106" s="19">
        <v>10</v>
      </c>
      <c r="O106" s="19">
        <v>10</v>
      </c>
      <c r="P106" s="19">
        <v>10</v>
      </c>
      <c r="Q106" s="19">
        <v>10</v>
      </c>
      <c r="R106" s="19">
        <v>10</v>
      </c>
      <c r="S106" s="19" t="s">
        <v>15</v>
      </c>
      <c r="T106" s="19">
        <v>10</v>
      </c>
      <c r="U106" s="19">
        <v>10</v>
      </c>
      <c r="V106" s="19">
        <v>10</v>
      </c>
      <c r="W106" s="19">
        <v>10</v>
      </c>
      <c r="X106" s="19">
        <v>10</v>
      </c>
      <c r="Y106" s="19">
        <v>10</v>
      </c>
      <c r="Z106" s="19" t="s">
        <v>15</v>
      </c>
      <c r="AA106" s="19">
        <v>10</v>
      </c>
      <c r="AB106" s="19">
        <v>10.5</v>
      </c>
      <c r="AC106" s="19">
        <v>10.5</v>
      </c>
      <c r="AD106" s="19">
        <v>10.5</v>
      </c>
      <c r="AE106" s="19">
        <v>10.5</v>
      </c>
      <c r="AF106" s="19">
        <v>10.5</v>
      </c>
      <c r="AG106" s="19" t="s">
        <v>15</v>
      </c>
      <c r="AH106" s="19">
        <v>10.5</v>
      </c>
      <c r="AI106" s="19">
        <v>10.5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/>
      <c r="AQ106" s="19"/>
      <c r="AR106" s="19"/>
      <c r="AS106" s="19">
        <v>0</v>
      </c>
      <c r="AT106" s="19">
        <f t="shared" si="240"/>
        <v>53.5</v>
      </c>
      <c r="AU106" s="19">
        <f t="shared" si="241"/>
        <v>0</v>
      </c>
      <c r="AV106" s="19">
        <f t="shared" si="242"/>
        <v>0</v>
      </c>
      <c r="AW106" s="16">
        <f t="shared" si="243"/>
        <v>30</v>
      </c>
      <c r="AX106" s="16">
        <f t="shared" si="244"/>
        <v>0</v>
      </c>
      <c r="AY106" s="16">
        <f t="shared" si="245"/>
        <v>0</v>
      </c>
      <c r="AZ106" s="21">
        <v>1200</v>
      </c>
      <c r="BA106" s="21">
        <v>100</v>
      </c>
      <c r="BB106" s="21">
        <v>0</v>
      </c>
      <c r="BC106" s="19">
        <f t="shared" si="246"/>
        <v>1200</v>
      </c>
      <c r="BD106" s="19">
        <f t="shared" si="247"/>
        <v>100</v>
      </c>
      <c r="BE106" s="19">
        <f t="shared" si="248"/>
        <v>334</v>
      </c>
      <c r="BF106" s="19">
        <f t="shared" si="249"/>
        <v>0</v>
      </c>
      <c r="BG106" s="19">
        <f t="shared" si="250"/>
        <v>0</v>
      </c>
      <c r="BH106" s="19">
        <f t="shared" si="251"/>
        <v>0</v>
      </c>
      <c r="BI106" s="19">
        <v>95</v>
      </c>
      <c r="BJ106" s="19">
        <f t="shared" si="252"/>
        <v>1729</v>
      </c>
      <c r="BK106" s="19">
        <v>100</v>
      </c>
      <c r="BL106" s="19">
        <v>0</v>
      </c>
      <c r="BM106" s="19">
        <f t="shared" si="253"/>
        <v>100</v>
      </c>
      <c r="BN106" s="19">
        <f t="shared" si="254"/>
        <v>1629</v>
      </c>
      <c r="BO106" s="19">
        <v>0</v>
      </c>
      <c r="BP106" s="19">
        <v>0</v>
      </c>
      <c r="BQ106" s="22">
        <f t="shared" si="255"/>
        <v>1629</v>
      </c>
      <c r="BR106" s="82">
        <f t="shared" si="256"/>
        <v>0</v>
      </c>
      <c r="BS106" s="19">
        <f t="shared" si="257"/>
        <v>0</v>
      </c>
      <c r="BT106" s="19">
        <f t="shared" si="258"/>
        <v>0</v>
      </c>
      <c r="BU106" s="19">
        <f t="shared" si="259"/>
        <v>0</v>
      </c>
      <c r="BV106" s="19">
        <f t="shared" si="260"/>
        <v>0</v>
      </c>
      <c r="BW106" s="19">
        <f t="shared" si="261"/>
        <v>0</v>
      </c>
      <c r="BX106" s="19">
        <f t="shared" si="262"/>
        <v>18</v>
      </c>
      <c r="BY106" s="19">
        <f t="shared" si="263"/>
        <v>36</v>
      </c>
      <c r="BZ106" s="19">
        <f t="shared" si="264"/>
        <v>7</v>
      </c>
      <c r="CA106" s="19">
        <f t="shared" si="265"/>
        <v>17.5</v>
      </c>
      <c r="CB106" s="19">
        <f t="shared" si="266"/>
        <v>0</v>
      </c>
      <c r="CC106" s="19">
        <f t="shared" si="267"/>
        <v>0</v>
      </c>
      <c r="CD106" s="19">
        <f t="shared" si="268"/>
        <v>0</v>
      </c>
      <c r="CE106" s="19">
        <f t="shared" si="269"/>
        <v>0</v>
      </c>
      <c r="CF106" s="19">
        <f t="shared" si="270"/>
        <v>0</v>
      </c>
      <c r="CG106" s="19">
        <f t="shared" si="271"/>
        <v>0</v>
      </c>
      <c r="CH106" s="19">
        <f t="shared" si="272"/>
        <v>0</v>
      </c>
      <c r="CI106" s="19">
        <f t="shared" si="273"/>
        <v>0</v>
      </c>
      <c r="CJ106" s="19">
        <f t="shared" si="274"/>
        <v>0</v>
      </c>
      <c r="CK106" s="19">
        <f t="shared" si="275"/>
        <v>0</v>
      </c>
      <c r="CL106" s="19">
        <f t="shared" si="276"/>
        <v>0</v>
      </c>
      <c r="CM106" s="19">
        <f t="shared" si="277"/>
        <v>0</v>
      </c>
      <c r="CN106" s="19">
        <f t="shared" si="278"/>
        <v>0</v>
      </c>
      <c r="CO106" s="19">
        <f t="shared" si="279"/>
        <v>0</v>
      </c>
      <c r="CP106" s="19">
        <f t="shared" si="280"/>
        <v>0</v>
      </c>
      <c r="CQ106" s="19">
        <f t="shared" si="281"/>
        <v>0</v>
      </c>
      <c r="CR106" s="19">
        <f t="shared" si="282"/>
        <v>0</v>
      </c>
      <c r="CS106" s="19">
        <f t="shared" si="283"/>
        <v>0</v>
      </c>
      <c r="CT106" s="19">
        <f t="shared" si="284"/>
        <v>0</v>
      </c>
      <c r="CU106" s="19">
        <f t="shared" si="285"/>
        <v>0</v>
      </c>
      <c r="CV106" s="19">
        <f t="shared" si="286"/>
        <v>0</v>
      </c>
      <c r="CW106" s="19">
        <f t="shared" si="287"/>
        <v>0</v>
      </c>
      <c r="CX106" s="19">
        <f t="shared" si="288"/>
        <v>0</v>
      </c>
      <c r="CY106" s="19">
        <f t="shared" si="289"/>
        <v>0</v>
      </c>
      <c r="CZ106" s="19">
        <f t="shared" si="290"/>
        <v>0</v>
      </c>
      <c r="DA106" s="19">
        <f t="shared" si="291"/>
        <v>0</v>
      </c>
      <c r="DB106" s="19">
        <f t="shared" si="292"/>
        <v>0</v>
      </c>
      <c r="DC106" s="19">
        <f t="shared" si="293"/>
        <v>0</v>
      </c>
      <c r="DD106" s="19">
        <f t="shared" si="294"/>
        <v>0</v>
      </c>
      <c r="DE106" s="19">
        <f t="shared" si="295"/>
        <v>0</v>
      </c>
      <c r="DF106" s="19">
        <f t="shared" si="296"/>
        <v>0</v>
      </c>
      <c r="DG106" s="19">
        <f t="shared" si="297"/>
        <v>0</v>
      </c>
      <c r="DH106" s="19">
        <f t="shared" si="298"/>
        <v>0</v>
      </c>
      <c r="DI106" s="19">
        <f t="shared" si="299"/>
        <v>0</v>
      </c>
      <c r="DJ106" s="19">
        <f t="shared" si="300"/>
        <v>0</v>
      </c>
      <c r="DK106" s="19">
        <f t="shared" si="301"/>
        <v>0</v>
      </c>
      <c r="DL106" s="19">
        <f t="shared" si="302"/>
        <v>0</v>
      </c>
      <c r="DM106" s="19">
        <f t="shared" si="303"/>
        <v>0</v>
      </c>
      <c r="DN106" s="19">
        <f t="shared" si="304"/>
        <v>0</v>
      </c>
      <c r="DO106" s="19">
        <f t="shared" si="305"/>
        <v>0</v>
      </c>
      <c r="DP106" s="19">
        <f t="shared" si="306"/>
        <v>0</v>
      </c>
      <c r="DQ106" s="19">
        <f t="shared" si="307"/>
        <v>0</v>
      </c>
      <c r="DR106" s="19">
        <f t="shared" si="308"/>
        <v>0</v>
      </c>
      <c r="DS106" s="19">
        <f t="shared" si="309"/>
        <v>0</v>
      </c>
      <c r="DT106" s="19">
        <f t="shared" si="310"/>
        <v>0</v>
      </c>
      <c r="DU106" s="19">
        <f t="shared" si="311"/>
        <v>0</v>
      </c>
      <c r="DV106" s="19">
        <f t="shared" si="312"/>
        <v>0</v>
      </c>
      <c r="DW106" s="19">
        <f t="shared" si="313"/>
        <v>0</v>
      </c>
      <c r="DX106" s="19">
        <f t="shared" si="314"/>
        <v>0</v>
      </c>
      <c r="DY106" s="19">
        <f t="shared" si="315"/>
        <v>0</v>
      </c>
      <c r="DZ106" s="19">
        <f t="shared" si="316"/>
        <v>0</v>
      </c>
      <c r="EA106" s="19">
        <f t="shared" si="317"/>
        <v>0</v>
      </c>
      <c r="EB106" s="19">
        <f t="shared" si="318"/>
        <v>0</v>
      </c>
      <c r="EC106" s="19">
        <f t="shared" si="319"/>
        <v>0</v>
      </c>
    </row>
    <row r="107" spans="1:134" s="78" customFormat="1" ht="18" customHeight="1" x14ac:dyDescent="0.25">
      <c r="A107" s="15">
        <v>104</v>
      </c>
      <c r="B107" s="108" t="s">
        <v>631</v>
      </c>
      <c r="C107" s="74" t="s">
        <v>595</v>
      </c>
      <c r="D107" s="16" t="s">
        <v>61</v>
      </c>
      <c r="E107" s="18">
        <v>45869</v>
      </c>
      <c r="F107" s="19">
        <v>11</v>
      </c>
      <c r="G107" s="19">
        <v>11</v>
      </c>
      <c r="H107" s="19">
        <v>11</v>
      </c>
      <c r="I107" s="19">
        <v>11</v>
      </c>
      <c r="J107" s="19" t="s">
        <v>603</v>
      </c>
      <c r="K107" s="19">
        <v>11</v>
      </c>
      <c r="L107" s="19" t="s">
        <v>15</v>
      </c>
      <c r="M107" s="19">
        <v>11</v>
      </c>
      <c r="N107" s="19">
        <v>11</v>
      </c>
      <c r="O107" s="19">
        <v>11</v>
      </c>
      <c r="P107" s="19">
        <v>11</v>
      </c>
      <c r="Q107" s="19">
        <v>11</v>
      </c>
      <c r="R107" s="19">
        <v>11</v>
      </c>
      <c r="S107" s="19" t="s">
        <v>15</v>
      </c>
      <c r="T107" s="19">
        <v>11</v>
      </c>
      <c r="U107" s="19" t="s">
        <v>316</v>
      </c>
      <c r="V107" s="19">
        <v>11</v>
      </c>
      <c r="W107" s="19">
        <v>11</v>
      </c>
      <c r="X107" s="19">
        <v>11</v>
      </c>
      <c r="Y107" s="19">
        <v>11</v>
      </c>
      <c r="Z107" s="19" t="s">
        <v>316</v>
      </c>
      <c r="AA107" s="19">
        <v>11</v>
      </c>
      <c r="AB107" s="19">
        <v>11</v>
      </c>
      <c r="AC107" s="19">
        <v>11</v>
      </c>
      <c r="AD107" s="19">
        <v>11</v>
      </c>
      <c r="AE107" s="19">
        <v>11</v>
      </c>
      <c r="AF107" s="19">
        <v>11</v>
      </c>
      <c r="AG107" s="19" t="s">
        <v>15</v>
      </c>
      <c r="AH107" s="19">
        <v>11</v>
      </c>
      <c r="AI107" s="19">
        <v>11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11</v>
      </c>
      <c r="AP107" s="19"/>
      <c r="AQ107" s="19"/>
      <c r="AR107" s="19"/>
      <c r="AS107" s="19">
        <v>0</v>
      </c>
      <c r="AT107" s="19">
        <f t="shared" si="240"/>
        <v>72</v>
      </c>
      <c r="AU107" s="19">
        <f t="shared" si="241"/>
        <v>0</v>
      </c>
      <c r="AV107" s="19">
        <f t="shared" si="242"/>
        <v>11</v>
      </c>
      <c r="AW107" s="16">
        <f t="shared" si="243"/>
        <v>28</v>
      </c>
      <c r="AX107" s="16">
        <f t="shared" si="244"/>
        <v>2</v>
      </c>
      <c r="AY107" s="16">
        <f t="shared" si="245"/>
        <v>0</v>
      </c>
      <c r="AZ107" s="21">
        <v>1100</v>
      </c>
      <c r="BA107" s="21">
        <v>100</v>
      </c>
      <c r="BB107" s="21">
        <v>0</v>
      </c>
      <c r="BC107" s="19">
        <f t="shared" si="246"/>
        <v>1027</v>
      </c>
      <c r="BD107" s="19">
        <f t="shared" si="247"/>
        <v>93</v>
      </c>
      <c r="BE107" s="19">
        <f t="shared" si="248"/>
        <v>488</v>
      </c>
      <c r="BF107" s="19">
        <f t="shared" si="249"/>
        <v>0</v>
      </c>
      <c r="BG107" s="19">
        <f t="shared" si="250"/>
        <v>0</v>
      </c>
      <c r="BH107" s="19">
        <f t="shared" si="251"/>
        <v>0</v>
      </c>
      <c r="BI107" s="19">
        <v>0</v>
      </c>
      <c r="BJ107" s="19">
        <f t="shared" si="252"/>
        <v>1608</v>
      </c>
      <c r="BK107" s="19">
        <v>100</v>
      </c>
      <c r="BL107" s="19">
        <v>0</v>
      </c>
      <c r="BM107" s="19">
        <f t="shared" si="253"/>
        <v>100</v>
      </c>
      <c r="BN107" s="19">
        <f t="shared" si="254"/>
        <v>1508</v>
      </c>
      <c r="BO107" s="19">
        <v>0</v>
      </c>
      <c r="BP107" s="19">
        <v>0</v>
      </c>
      <c r="BQ107" s="22">
        <f t="shared" si="255"/>
        <v>1508</v>
      </c>
      <c r="BR107" s="82">
        <f t="shared" si="256"/>
        <v>0</v>
      </c>
      <c r="BS107" s="19">
        <f t="shared" si="257"/>
        <v>0</v>
      </c>
      <c r="BT107" s="19">
        <f t="shared" si="258"/>
        <v>0</v>
      </c>
      <c r="BU107" s="19">
        <f t="shared" si="259"/>
        <v>0</v>
      </c>
      <c r="BV107" s="19">
        <f t="shared" si="260"/>
        <v>0</v>
      </c>
      <c r="BW107" s="19">
        <f t="shared" si="261"/>
        <v>0</v>
      </c>
      <c r="BX107" s="19">
        <f t="shared" si="262"/>
        <v>0</v>
      </c>
      <c r="BY107" s="19">
        <f t="shared" si="263"/>
        <v>0</v>
      </c>
      <c r="BZ107" s="19">
        <f t="shared" si="264"/>
        <v>0</v>
      </c>
      <c r="CA107" s="19">
        <f t="shared" si="265"/>
        <v>0</v>
      </c>
      <c r="CB107" s="19">
        <f t="shared" si="266"/>
        <v>24</v>
      </c>
      <c r="CC107" s="19">
        <f t="shared" si="267"/>
        <v>72</v>
      </c>
      <c r="CD107" s="19">
        <f t="shared" si="268"/>
        <v>0</v>
      </c>
      <c r="CE107" s="19">
        <f t="shared" si="269"/>
        <v>0</v>
      </c>
      <c r="CF107" s="19">
        <f t="shared" si="270"/>
        <v>0</v>
      </c>
      <c r="CG107" s="19">
        <f t="shared" si="271"/>
        <v>0</v>
      </c>
      <c r="CH107" s="19">
        <f t="shared" si="272"/>
        <v>0</v>
      </c>
      <c r="CI107" s="19">
        <f t="shared" si="273"/>
        <v>0</v>
      </c>
      <c r="CJ107" s="19">
        <f t="shared" si="274"/>
        <v>0</v>
      </c>
      <c r="CK107" s="19">
        <f t="shared" si="275"/>
        <v>0</v>
      </c>
      <c r="CL107" s="19">
        <f t="shared" si="276"/>
        <v>0</v>
      </c>
      <c r="CM107" s="19">
        <f t="shared" si="277"/>
        <v>0</v>
      </c>
      <c r="CN107" s="19">
        <f t="shared" si="278"/>
        <v>0</v>
      </c>
      <c r="CO107" s="19">
        <f t="shared" si="279"/>
        <v>0</v>
      </c>
      <c r="CP107" s="19">
        <f t="shared" si="280"/>
        <v>0</v>
      </c>
      <c r="CQ107" s="19">
        <f t="shared" si="281"/>
        <v>0</v>
      </c>
      <c r="CR107" s="19">
        <f t="shared" si="282"/>
        <v>0</v>
      </c>
      <c r="CS107" s="19">
        <f t="shared" si="283"/>
        <v>0</v>
      </c>
      <c r="CT107" s="19">
        <f t="shared" si="284"/>
        <v>0</v>
      </c>
      <c r="CU107" s="19">
        <f t="shared" si="285"/>
        <v>0</v>
      </c>
      <c r="CV107" s="19">
        <f t="shared" si="286"/>
        <v>0</v>
      </c>
      <c r="CW107" s="19">
        <f t="shared" si="287"/>
        <v>0</v>
      </c>
      <c r="CX107" s="19">
        <f t="shared" si="288"/>
        <v>0</v>
      </c>
      <c r="CY107" s="19">
        <f t="shared" si="289"/>
        <v>0</v>
      </c>
      <c r="CZ107" s="19">
        <f t="shared" si="290"/>
        <v>0</v>
      </c>
      <c r="DA107" s="19">
        <f t="shared" si="291"/>
        <v>0</v>
      </c>
      <c r="DB107" s="19">
        <f t="shared" si="292"/>
        <v>0</v>
      </c>
      <c r="DC107" s="19">
        <f t="shared" si="293"/>
        <v>0</v>
      </c>
      <c r="DD107" s="19">
        <f t="shared" si="294"/>
        <v>0</v>
      </c>
      <c r="DE107" s="19">
        <f t="shared" si="295"/>
        <v>0</v>
      </c>
      <c r="DF107" s="19">
        <f t="shared" si="296"/>
        <v>0</v>
      </c>
      <c r="DG107" s="19">
        <f t="shared" si="297"/>
        <v>0</v>
      </c>
      <c r="DH107" s="19">
        <f t="shared" si="298"/>
        <v>0</v>
      </c>
      <c r="DI107" s="19">
        <f t="shared" si="299"/>
        <v>0</v>
      </c>
      <c r="DJ107" s="19">
        <f t="shared" si="300"/>
        <v>0</v>
      </c>
      <c r="DK107" s="19">
        <f t="shared" si="301"/>
        <v>0</v>
      </c>
      <c r="DL107" s="19">
        <f t="shared" si="302"/>
        <v>0</v>
      </c>
      <c r="DM107" s="19">
        <f t="shared" si="303"/>
        <v>0</v>
      </c>
      <c r="DN107" s="19">
        <f t="shared" si="304"/>
        <v>0</v>
      </c>
      <c r="DO107" s="19">
        <f t="shared" si="305"/>
        <v>0</v>
      </c>
      <c r="DP107" s="19">
        <f t="shared" si="306"/>
        <v>0</v>
      </c>
      <c r="DQ107" s="19">
        <f t="shared" si="307"/>
        <v>0</v>
      </c>
      <c r="DR107" s="19">
        <f t="shared" si="308"/>
        <v>0</v>
      </c>
      <c r="DS107" s="19">
        <f t="shared" si="309"/>
        <v>0</v>
      </c>
      <c r="DT107" s="19">
        <f t="shared" si="310"/>
        <v>0</v>
      </c>
      <c r="DU107" s="19">
        <f t="shared" si="311"/>
        <v>0</v>
      </c>
      <c r="DV107" s="19">
        <f t="shared" si="312"/>
        <v>0</v>
      </c>
      <c r="DW107" s="19">
        <f t="shared" si="313"/>
        <v>0</v>
      </c>
      <c r="DX107" s="19">
        <f t="shared" si="314"/>
        <v>0</v>
      </c>
      <c r="DY107" s="19">
        <f t="shared" si="315"/>
        <v>0</v>
      </c>
      <c r="DZ107" s="19">
        <f t="shared" si="316"/>
        <v>0</v>
      </c>
      <c r="EA107" s="19">
        <f t="shared" si="317"/>
        <v>0</v>
      </c>
      <c r="EB107" s="19">
        <f t="shared" si="318"/>
        <v>0</v>
      </c>
      <c r="EC107" s="19">
        <f t="shared" si="319"/>
        <v>0</v>
      </c>
    </row>
    <row r="108" spans="1:134" s="78" customFormat="1" ht="18" customHeight="1" x14ac:dyDescent="0.25">
      <c r="A108" s="99">
        <v>105</v>
      </c>
      <c r="B108" s="110" t="s">
        <v>630</v>
      </c>
      <c r="C108" s="95" t="s">
        <v>594</v>
      </c>
      <c r="D108" s="102" t="s">
        <v>61</v>
      </c>
      <c r="E108" s="18">
        <v>45863</v>
      </c>
      <c r="F108" s="19">
        <v>10</v>
      </c>
      <c r="G108" s="19">
        <v>10</v>
      </c>
      <c r="H108" s="19">
        <v>10</v>
      </c>
      <c r="I108" s="19">
        <v>10</v>
      </c>
      <c r="J108" s="19" t="s">
        <v>603</v>
      </c>
      <c r="K108" s="19">
        <v>10</v>
      </c>
      <c r="L108" s="19" t="s">
        <v>15</v>
      </c>
      <c r="M108" s="19">
        <v>10</v>
      </c>
      <c r="N108" s="19">
        <v>10</v>
      </c>
      <c r="O108" s="19">
        <v>10</v>
      </c>
      <c r="P108" s="19">
        <v>10</v>
      </c>
      <c r="Q108" s="19">
        <v>10</v>
      </c>
      <c r="R108" s="19">
        <v>10</v>
      </c>
      <c r="S108" s="19" t="s">
        <v>15</v>
      </c>
      <c r="T108" s="19">
        <v>10</v>
      </c>
      <c r="U108" s="19">
        <v>10</v>
      </c>
      <c r="V108" s="19">
        <v>10</v>
      </c>
      <c r="W108" s="19">
        <v>10</v>
      </c>
      <c r="X108" s="19">
        <v>10</v>
      </c>
      <c r="Y108" s="19">
        <v>10</v>
      </c>
      <c r="Z108" s="19" t="s">
        <v>15</v>
      </c>
      <c r="AA108" s="19">
        <v>10</v>
      </c>
      <c r="AB108" s="19">
        <v>10</v>
      </c>
      <c r="AC108" s="19">
        <v>10</v>
      </c>
      <c r="AD108" s="19">
        <v>10</v>
      </c>
      <c r="AE108" s="19">
        <v>10</v>
      </c>
      <c r="AF108" s="19">
        <v>10</v>
      </c>
      <c r="AG108" s="19" t="s">
        <v>15</v>
      </c>
      <c r="AH108" s="19">
        <v>10</v>
      </c>
      <c r="AI108" s="19">
        <v>10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/>
      <c r="AQ108" s="19"/>
      <c r="AR108" s="19"/>
      <c r="AS108" s="19">
        <v>0</v>
      </c>
      <c r="AT108" s="19">
        <f>SUM(BS108+BU108+BW108+BY108+CA108+CC108+CE108+CG108+CI108+CK108+CM108+CO108+CQ108+CS108+CU108+CW108+CY108+DA108+DC108+DE108+DG108+DI108+DK108+DM108+DO108+DQ108+DS108+DU108+DW108+DY108+EA108+EC108)</f>
        <v>50</v>
      </c>
      <c r="AU108" s="19">
        <f>SUM(AJ108:AN108)</f>
        <v>0</v>
      </c>
      <c r="AV108" s="19">
        <f>SUM(AO108:AS108)</f>
        <v>0</v>
      </c>
      <c r="AW108" s="16">
        <f>COUNTIF(F108:AI108,"8")+COUNTIF(F108:AI108,"8.5")+COUNTIF(F108:AI108,"9")+COUNTIF(F108:AI108,"9.5")+COUNTIF(F108:AI108,"10")+COUNTIF(F108:AI108,"10.5")+COUNTIF(F108:AI108,"11")+COUNTIF(F108:AI108,"11.5")+COUNTIF(F108:AI108,"12")+COUNTIF(F108:AI108,"12.5")+COUNTIF(F108:AI108,"13")+COUNTIF(F108:AI108,"13.5")+COUNTIF(F108:AI108,"14")+COUNTIF(F108:AI108,"14.5")+COUNTIF(F108:AI108,"15")+COUNTIF(F108:AI108,"15.5")+COUNTIF(F108:AI108,"16")+COUNTIF(F108:AI108,"16.5")+COUNTIF(F108:AI108,"17")+COUNTIF(F108:AI108,"17.5")+COUNTIF(F108:AI108,"18")+COUNTIF(F108:AI108,"18.5")+COUNTIF(F108:AI108,"19")+COUNTIF(F108:AI108,"19.5")+COUNTIF(F108:AI108,"20")+COUNTIF(F108:AI108,"20.5")+COUNTIF(F108:AI108,"21")+COUNTIF(F108:AI108,"21.5")+COUNTIF(F108:AI108,"22")+COUNTIF(F108:AI108,"22.5")+COUNTIF(F108:AI108,"23")+COUNTIF(F108:AI108,"23.5")+COUNTIF(F108:AI108,"24")+COUNTIF(F108:AI108,"S")+COUNTIF(F108:AI108,"PH")+COUNTIF(F108:AI108,"ML")+COUNTIF(F108:AI108,"OD")</f>
        <v>30</v>
      </c>
      <c r="AX108" s="16">
        <f>COUNTIF(F108:AI108,"A")</f>
        <v>0</v>
      </c>
      <c r="AY108" s="16">
        <f>COUNTIF(F108:AI108,"ID")</f>
        <v>0</v>
      </c>
      <c r="AZ108" s="21">
        <v>1050</v>
      </c>
      <c r="BA108" s="21">
        <v>100</v>
      </c>
      <c r="BB108" s="21">
        <v>0</v>
      </c>
      <c r="BC108" s="19">
        <f>MROUND(AZ108/30*AW108, 1)</f>
        <v>1050</v>
      </c>
      <c r="BD108" s="19">
        <f>MROUND(BA108/30*AW108, 1)</f>
        <v>100</v>
      </c>
      <c r="BE108" s="19">
        <f>MROUND((AZ108/30/8*1.25*AT108)+(AZ108/30/8*1.5*AU108)+(AZ108/30/8*1.5*AV108), 1)</f>
        <v>273</v>
      </c>
      <c r="BF108" s="19">
        <f>MROUND(BB108/30*AW108, 1)</f>
        <v>0</v>
      </c>
      <c r="BG108" s="19">
        <f>MROUND(AZ108/30*AY108, 1)</f>
        <v>0</v>
      </c>
      <c r="BH108" s="19">
        <f>MROUND(BA108/30*AY108, 1)</f>
        <v>0</v>
      </c>
      <c r="BI108" s="19">
        <v>95</v>
      </c>
      <c r="BJ108" s="19">
        <f>SUM(BC108:BI108)</f>
        <v>1518</v>
      </c>
      <c r="BK108" s="19">
        <v>100</v>
      </c>
      <c r="BL108" s="19">
        <v>0</v>
      </c>
      <c r="BM108" s="19">
        <f>BK108+BL108</f>
        <v>100</v>
      </c>
      <c r="BN108" s="19">
        <f>BJ108-BM108</f>
        <v>1418</v>
      </c>
      <c r="BO108" s="19">
        <v>0</v>
      </c>
      <c r="BP108" s="19">
        <v>0</v>
      </c>
      <c r="BQ108" s="22">
        <f>SUM(BN108:BO108)-BP108</f>
        <v>1418</v>
      </c>
      <c r="BR108" s="82">
        <f>COUNTIF(F108:AI108, "8.5")</f>
        <v>0</v>
      </c>
      <c r="BS108" s="19">
        <f>BR108*0.5</f>
        <v>0</v>
      </c>
      <c r="BT108" s="19">
        <f>COUNTIF(F108:AI108, "9")</f>
        <v>0</v>
      </c>
      <c r="BU108" s="19">
        <f>BT108*1</f>
        <v>0</v>
      </c>
      <c r="BV108" s="19">
        <f>COUNTIF(F108:AI108, "9.5")</f>
        <v>0</v>
      </c>
      <c r="BW108" s="19">
        <f>BV108*1.5</f>
        <v>0</v>
      </c>
      <c r="BX108" s="19">
        <f>COUNTIF(F108:AI108, "10")</f>
        <v>25</v>
      </c>
      <c r="BY108" s="19">
        <f>BX108*2</f>
        <v>50</v>
      </c>
      <c r="BZ108" s="19">
        <f>COUNTIF(F108:AI108, "10.5")</f>
        <v>0</v>
      </c>
      <c r="CA108" s="19">
        <f>BZ108*2.5</f>
        <v>0</v>
      </c>
      <c r="CB108" s="19">
        <f>COUNTIF(F108:AI108, "11")</f>
        <v>0</v>
      </c>
      <c r="CC108" s="19">
        <f>CB108*3</f>
        <v>0</v>
      </c>
      <c r="CD108" s="19">
        <f>COUNTIF(F108:AI108, "11.5")</f>
        <v>0</v>
      </c>
      <c r="CE108" s="19">
        <f>CD108*3.5</f>
        <v>0</v>
      </c>
      <c r="CF108" s="19">
        <f>COUNTIF(F108:AI108, "12")</f>
        <v>0</v>
      </c>
      <c r="CG108" s="19">
        <f>CF108*4</f>
        <v>0</v>
      </c>
      <c r="CH108" s="19">
        <f>COUNTIF(F108:AI108, "12.5")</f>
        <v>0</v>
      </c>
      <c r="CI108" s="19">
        <f>CH108*4.5</f>
        <v>0</v>
      </c>
      <c r="CJ108" s="19">
        <f>COUNTIF(F108:AI108, "13")</f>
        <v>0</v>
      </c>
      <c r="CK108" s="19">
        <f>CJ108*5</f>
        <v>0</v>
      </c>
      <c r="CL108" s="19">
        <f>COUNTIF(F108:AI108, "13.5")</f>
        <v>0</v>
      </c>
      <c r="CM108" s="19">
        <f>CL108*5.5</f>
        <v>0</v>
      </c>
      <c r="CN108" s="19">
        <f>COUNTIF(F108:AI108, "14")</f>
        <v>0</v>
      </c>
      <c r="CO108" s="19">
        <f>CN108*6</f>
        <v>0</v>
      </c>
      <c r="CP108" s="19">
        <f>COUNTIF(F108:AI108, "14.5")</f>
        <v>0</v>
      </c>
      <c r="CQ108" s="19">
        <f>CP108*6.5</f>
        <v>0</v>
      </c>
      <c r="CR108" s="19">
        <f>COUNTIF(F108:AI108, "15")</f>
        <v>0</v>
      </c>
      <c r="CS108" s="19">
        <f>CR108*7</f>
        <v>0</v>
      </c>
      <c r="CT108" s="19">
        <f>COUNTIF(F108:AI108, "15.5")</f>
        <v>0</v>
      </c>
      <c r="CU108" s="19">
        <f>CT108*7.5</f>
        <v>0</v>
      </c>
      <c r="CV108" s="19">
        <f>COUNTIF(F108:AI108, "16")</f>
        <v>0</v>
      </c>
      <c r="CW108" s="19">
        <f>CV108*8</f>
        <v>0</v>
      </c>
      <c r="CX108" s="19">
        <f>COUNTIF(F108:AI108, "16.5")</f>
        <v>0</v>
      </c>
      <c r="CY108" s="19">
        <f>CX108*8.5</f>
        <v>0</v>
      </c>
      <c r="CZ108" s="19">
        <f>COUNTIF(F108:AI108, "17")</f>
        <v>0</v>
      </c>
      <c r="DA108" s="19">
        <f>CZ108*9</f>
        <v>0</v>
      </c>
      <c r="DB108" s="19">
        <f>COUNTIF(F108:AI108, "17.5")</f>
        <v>0</v>
      </c>
      <c r="DC108" s="19">
        <f>DB108*9.5</f>
        <v>0</v>
      </c>
      <c r="DD108" s="19">
        <f>COUNTIF(F108:AI108, "18")</f>
        <v>0</v>
      </c>
      <c r="DE108" s="19">
        <f>DD108*10</f>
        <v>0</v>
      </c>
      <c r="DF108" s="19">
        <f>COUNTIF(F108:AI108, "18.5")</f>
        <v>0</v>
      </c>
      <c r="DG108" s="19">
        <f>DF108*10.5</f>
        <v>0</v>
      </c>
      <c r="DH108" s="19">
        <f>COUNTIF(F108:AI108, "19")</f>
        <v>0</v>
      </c>
      <c r="DI108" s="19">
        <f>DH108*11</f>
        <v>0</v>
      </c>
      <c r="DJ108" s="19">
        <f>COUNTIF(F108:AI108, "19.5")</f>
        <v>0</v>
      </c>
      <c r="DK108" s="19">
        <f>DJ108*11.5</f>
        <v>0</v>
      </c>
      <c r="DL108" s="19">
        <f>COUNTIF(F108:AI108, "20")</f>
        <v>0</v>
      </c>
      <c r="DM108" s="19">
        <f>DL108*12</f>
        <v>0</v>
      </c>
      <c r="DN108" s="19">
        <f>COUNTIF(F108:AI108, "20.5")</f>
        <v>0</v>
      </c>
      <c r="DO108" s="19">
        <f>DN108*12.5</f>
        <v>0</v>
      </c>
      <c r="DP108" s="19">
        <f>COUNTIF(F108:AI108, "21")</f>
        <v>0</v>
      </c>
      <c r="DQ108" s="19">
        <f>DP108*13</f>
        <v>0</v>
      </c>
      <c r="DR108" s="19">
        <f>COUNTIF(F108:AI108, "21.5")</f>
        <v>0</v>
      </c>
      <c r="DS108" s="19">
        <f>DR108*13.5</f>
        <v>0</v>
      </c>
      <c r="DT108" s="19">
        <f>COUNTIF(F108:AI108, "22")</f>
        <v>0</v>
      </c>
      <c r="DU108" s="19">
        <f>DT108*14</f>
        <v>0</v>
      </c>
      <c r="DV108" s="19">
        <f>COUNTIF(F108:AI108, "22.5")</f>
        <v>0</v>
      </c>
      <c r="DW108" s="19">
        <f>DV108*14.5</f>
        <v>0</v>
      </c>
      <c r="DX108" s="19">
        <f>COUNTIF(F108:AI108, "23")</f>
        <v>0</v>
      </c>
      <c r="DY108" s="19">
        <f>DX108*15</f>
        <v>0</v>
      </c>
      <c r="DZ108" s="19">
        <f>COUNTIF(F108:AI108, "23.5")</f>
        <v>0</v>
      </c>
      <c r="EA108" s="19">
        <f>DZ108*15.5</f>
        <v>0</v>
      </c>
      <c r="EB108" s="19">
        <f>COUNTIF(F108:AI108, "24")</f>
        <v>0</v>
      </c>
      <c r="EC108" s="19">
        <f>EB108*16</f>
        <v>0</v>
      </c>
      <c r="ED108" s="97" t="s">
        <v>374</v>
      </c>
    </row>
    <row r="109" spans="1:134" s="78" customFormat="1" ht="18" customHeight="1" x14ac:dyDescent="0.25">
      <c r="A109" s="99">
        <v>106</v>
      </c>
      <c r="B109" s="110" t="s">
        <v>632</v>
      </c>
      <c r="C109" s="95" t="s">
        <v>599</v>
      </c>
      <c r="D109" s="102" t="s">
        <v>61</v>
      </c>
      <c r="E109" s="18">
        <v>45872</v>
      </c>
      <c r="F109" s="19">
        <v>10</v>
      </c>
      <c r="G109" s="19">
        <v>10</v>
      </c>
      <c r="H109" s="19">
        <v>10</v>
      </c>
      <c r="I109" s="19">
        <v>10</v>
      </c>
      <c r="J109" s="19" t="s">
        <v>603</v>
      </c>
      <c r="K109" s="19">
        <v>10</v>
      </c>
      <c r="L109" s="19" t="s">
        <v>15</v>
      </c>
      <c r="M109" s="19">
        <v>10</v>
      </c>
      <c r="N109" s="19">
        <v>10</v>
      </c>
      <c r="O109" s="19">
        <v>10</v>
      </c>
      <c r="P109" s="19">
        <v>10</v>
      </c>
      <c r="Q109" s="19">
        <v>10</v>
      </c>
      <c r="R109" s="19">
        <v>10</v>
      </c>
      <c r="S109" s="19" t="s">
        <v>15</v>
      </c>
      <c r="T109" s="19">
        <v>10</v>
      </c>
      <c r="U109" s="19">
        <v>10</v>
      </c>
      <c r="V109" s="19">
        <v>10</v>
      </c>
      <c r="W109" s="19">
        <v>10</v>
      </c>
      <c r="X109" s="19">
        <v>10</v>
      </c>
      <c r="Y109" s="19">
        <v>10</v>
      </c>
      <c r="Z109" s="19" t="s">
        <v>15</v>
      </c>
      <c r="AA109" s="19">
        <v>10</v>
      </c>
      <c r="AB109" s="19">
        <v>10</v>
      </c>
      <c r="AC109" s="19">
        <v>10</v>
      </c>
      <c r="AD109" s="19">
        <v>10</v>
      </c>
      <c r="AE109" s="19">
        <v>10</v>
      </c>
      <c r="AF109" s="19">
        <v>10</v>
      </c>
      <c r="AG109" s="19" t="s">
        <v>15</v>
      </c>
      <c r="AH109" s="19">
        <v>10</v>
      </c>
      <c r="AI109" s="19">
        <v>10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/>
      <c r="AQ109" s="19"/>
      <c r="AR109" s="19"/>
      <c r="AS109" s="19">
        <v>0</v>
      </c>
      <c r="AT109" s="19">
        <f t="shared" si="240"/>
        <v>50</v>
      </c>
      <c r="AU109" s="19">
        <f t="shared" si="241"/>
        <v>0</v>
      </c>
      <c r="AV109" s="19">
        <f t="shared" si="242"/>
        <v>0</v>
      </c>
      <c r="AW109" s="16">
        <f t="shared" si="243"/>
        <v>30</v>
      </c>
      <c r="AX109" s="16">
        <f t="shared" si="244"/>
        <v>0</v>
      </c>
      <c r="AY109" s="16">
        <f t="shared" si="245"/>
        <v>0</v>
      </c>
      <c r="AZ109" s="21">
        <v>1000</v>
      </c>
      <c r="BA109" s="21">
        <v>100</v>
      </c>
      <c r="BB109" s="21">
        <v>0</v>
      </c>
      <c r="BC109" s="19">
        <f t="shared" si="246"/>
        <v>1000</v>
      </c>
      <c r="BD109" s="19">
        <f t="shared" si="247"/>
        <v>100</v>
      </c>
      <c r="BE109" s="19">
        <f t="shared" si="248"/>
        <v>260</v>
      </c>
      <c r="BF109" s="19">
        <f t="shared" si="249"/>
        <v>0</v>
      </c>
      <c r="BG109" s="19">
        <f t="shared" si="250"/>
        <v>0</v>
      </c>
      <c r="BH109" s="19">
        <f t="shared" si="251"/>
        <v>0</v>
      </c>
      <c r="BI109" s="19">
        <v>95</v>
      </c>
      <c r="BJ109" s="19">
        <f t="shared" si="252"/>
        <v>1455</v>
      </c>
      <c r="BK109" s="19">
        <v>100</v>
      </c>
      <c r="BL109" s="19">
        <v>0</v>
      </c>
      <c r="BM109" s="19">
        <f t="shared" si="253"/>
        <v>100</v>
      </c>
      <c r="BN109" s="19">
        <f t="shared" si="254"/>
        <v>1355</v>
      </c>
      <c r="BO109" s="19">
        <v>0</v>
      </c>
      <c r="BP109" s="19">
        <v>0</v>
      </c>
      <c r="BQ109" s="22">
        <f t="shared" si="255"/>
        <v>1355</v>
      </c>
      <c r="BR109" s="82">
        <f t="shared" si="256"/>
        <v>0</v>
      </c>
      <c r="BS109" s="19">
        <f t="shared" si="257"/>
        <v>0</v>
      </c>
      <c r="BT109" s="19">
        <f t="shared" si="258"/>
        <v>0</v>
      </c>
      <c r="BU109" s="19">
        <f t="shared" si="259"/>
        <v>0</v>
      </c>
      <c r="BV109" s="19">
        <f t="shared" si="260"/>
        <v>0</v>
      </c>
      <c r="BW109" s="19">
        <f t="shared" si="261"/>
        <v>0</v>
      </c>
      <c r="BX109" s="19">
        <f t="shared" si="262"/>
        <v>25</v>
      </c>
      <c r="BY109" s="19">
        <f t="shared" si="263"/>
        <v>50</v>
      </c>
      <c r="BZ109" s="19">
        <f t="shared" si="264"/>
        <v>0</v>
      </c>
      <c r="CA109" s="19">
        <f t="shared" si="265"/>
        <v>0</v>
      </c>
      <c r="CB109" s="19">
        <f t="shared" si="266"/>
        <v>0</v>
      </c>
      <c r="CC109" s="19">
        <f t="shared" si="267"/>
        <v>0</v>
      </c>
      <c r="CD109" s="19">
        <f t="shared" si="268"/>
        <v>0</v>
      </c>
      <c r="CE109" s="19">
        <f t="shared" si="269"/>
        <v>0</v>
      </c>
      <c r="CF109" s="19">
        <f t="shared" si="270"/>
        <v>0</v>
      </c>
      <c r="CG109" s="19">
        <f t="shared" si="271"/>
        <v>0</v>
      </c>
      <c r="CH109" s="19">
        <f t="shared" si="272"/>
        <v>0</v>
      </c>
      <c r="CI109" s="19">
        <f t="shared" si="273"/>
        <v>0</v>
      </c>
      <c r="CJ109" s="19">
        <f t="shared" si="274"/>
        <v>0</v>
      </c>
      <c r="CK109" s="19">
        <f t="shared" si="275"/>
        <v>0</v>
      </c>
      <c r="CL109" s="19">
        <f t="shared" si="276"/>
        <v>0</v>
      </c>
      <c r="CM109" s="19">
        <f t="shared" si="277"/>
        <v>0</v>
      </c>
      <c r="CN109" s="19">
        <f t="shared" si="278"/>
        <v>0</v>
      </c>
      <c r="CO109" s="19">
        <f t="shared" si="279"/>
        <v>0</v>
      </c>
      <c r="CP109" s="19">
        <f t="shared" si="280"/>
        <v>0</v>
      </c>
      <c r="CQ109" s="19">
        <f t="shared" si="281"/>
        <v>0</v>
      </c>
      <c r="CR109" s="19">
        <f t="shared" si="282"/>
        <v>0</v>
      </c>
      <c r="CS109" s="19">
        <f t="shared" si="283"/>
        <v>0</v>
      </c>
      <c r="CT109" s="19">
        <f t="shared" si="284"/>
        <v>0</v>
      </c>
      <c r="CU109" s="19">
        <f t="shared" si="285"/>
        <v>0</v>
      </c>
      <c r="CV109" s="19">
        <f t="shared" si="286"/>
        <v>0</v>
      </c>
      <c r="CW109" s="19">
        <f t="shared" si="287"/>
        <v>0</v>
      </c>
      <c r="CX109" s="19">
        <f t="shared" si="288"/>
        <v>0</v>
      </c>
      <c r="CY109" s="19">
        <f t="shared" si="289"/>
        <v>0</v>
      </c>
      <c r="CZ109" s="19">
        <f t="shared" si="290"/>
        <v>0</v>
      </c>
      <c r="DA109" s="19">
        <f t="shared" si="291"/>
        <v>0</v>
      </c>
      <c r="DB109" s="19">
        <f t="shared" si="292"/>
        <v>0</v>
      </c>
      <c r="DC109" s="19">
        <f t="shared" si="293"/>
        <v>0</v>
      </c>
      <c r="DD109" s="19">
        <f t="shared" si="294"/>
        <v>0</v>
      </c>
      <c r="DE109" s="19">
        <f t="shared" si="295"/>
        <v>0</v>
      </c>
      <c r="DF109" s="19">
        <f t="shared" si="296"/>
        <v>0</v>
      </c>
      <c r="DG109" s="19">
        <f t="shared" si="297"/>
        <v>0</v>
      </c>
      <c r="DH109" s="19">
        <f t="shared" si="298"/>
        <v>0</v>
      </c>
      <c r="DI109" s="19">
        <f t="shared" si="299"/>
        <v>0</v>
      </c>
      <c r="DJ109" s="19">
        <f t="shared" si="300"/>
        <v>0</v>
      </c>
      <c r="DK109" s="19">
        <f t="shared" si="301"/>
        <v>0</v>
      </c>
      <c r="DL109" s="19">
        <f t="shared" si="302"/>
        <v>0</v>
      </c>
      <c r="DM109" s="19">
        <f t="shared" si="303"/>
        <v>0</v>
      </c>
      <c r="DN109" s="19">
        <f t="shared" si="304"/>
        <v>0</v>
      </c>
      <c r="DO109" s="19">
        <f t="shared" si="305"/>
        <v>0</v>
      </c>
      <c r="DP109" s="19">
        <f t="shared" si="306"/>
        <v>0</v>
      </c>
      <c r="DQ109" s="19">
        <f t="shared" si="307"/>
        <v>0</v>
      </c>
      <c r="DR109" s="19">
        <f t="shared" si="308"/>
        <v>0</v>
      </c>
      <c r="DS109" s="19">
        <f t="shared" si="309"/>
        <v>0</v>
      </c>
      <c r="DT109" s="19">
        <f t="shared" si="310"/>
        <v>0</v>
      </c>
      <c r="DU109" s="19">
        <f t="shared" si="311"/>
        <v>0</v>
      </c>
      <c r="DV109" s="19">
        <f t="shared" si="312"/>
        <v>0</v>
      </c>
      <c r="DW109" s="19">
        <f t="shared" si="313"/>
        <v>0</v>
      </c>
      <c r="DX109" s="19">
        <f t="shared" si="314"/>
        <v>0</v>
      </c>
      <c r="DY109" s="19">
        <f t="shared" si="315"/>
        <v>0</v>
      </c>
      <c r="DZ109" s="19">
        <f t="shared" si="316"/>
        <v>0</v>
      </c>
      <c r="EA109" s="19">
        <f t="shared" si="317"/>
        <v>0</v>
      </c>
      <c r="EB109" s="19">
        <f t="shared" si="318"/>
        <v>0</v>
      </c>
      <c r="EC109" s="19">
        <f t="shared" si="319"/>
        <v>0</v>
      </c>
      <c r="ED109" s="97" t="s">
        <v>374</v>
      </c>
    </row>
    <row r="110" spans="1:134" s="78" customFormat="1" ht="18" customHeight="1" x14ac:dyDescent="0.25">
      <c r="A110" s="27">
        <v>107</v>
      </c>
      <c r="B110" s="128" t="s">
        <v>461</v>
      </c>
      <c r="C110" s="127" t="s">
        <v>462</v>
      </c>
      <c r="D110" s="52" t="s">
        <v>61</v>
      </c>
      <c r="E110" s="18">
        <v>45686</v>
      </c>
      <c r="F110" s="19">
        <v>11</v>
      </c>
      <c r="G110" s="19">
        <v>11</v>
      </c>
      <c r="H110" s="19">
        <v>11</v>
      </c>
      <c r="I110" s="19">
        <v>11</v>
      </c>
      <c r="J110" s="19" t="s">
        <v>603</v>
      </c>
      <c r="K110" s="19">
        <v>11</v>
      </c>
      <c r="L110" s="19" t="s">
        <v>15</v>
      </c>
      <c r="M110" s="19" t="s">
        <v>316</v>
      </c>
      <c r="N110" s="19">
        <v>11</v>
      </c>
      <c r="O110" s="19">
        <v>12</v>
      </c>
      <c r="P110" s="19">
        <v>12</v>
      </c>
      <c r="Q110" s="19">
        <v>11</v>
      </c>
      <c r="R110" s="19">
        <v>11</v>
      </c>
      <c r="S110" s="19" t="s">
        <v>316</v>
      </c>
      <c r="T110" s="19">
        <v>11</v>
      </c>
      <c r="U110" s="19" t="s">
        <v>316</v>
      </c>
      <c r="V110" s="19">
        <v>11</v>
      </c>
      <c r="W110" s="19">
        <v>11</v>
      </c>
      <c r="X110" s="19">
        <v>11</v>
      </c>
      <c r="Y110" s="19">
        <v>11</v>
      </c>
      <c r="Z110" s="19" t="s">
        <v>316</v>
      </c>
      <c r="AA110" s="19" t="s">
        <v>316</v>
      </c>
      <c r="AB110" s="19" t="s">
        <v>316</v>
      </c>
      <c r="AC110" s="19" t="s">
        <v>316</v>
      </c>
      <c r="AD110" s="19" t="s">
        <v>316</v>
      </c>
      <c r="AE110" s="19" t="s">
        <v>316</v>
      </c>
      <c r="AF110" s="19">
        <v>11</v>
      </c>
      <c r="AG110" s="19" t="s">
        <v>15</v>
      </c>
      <c r="AH110" s="19">
        <v>11</v>
      </c>
      <c r="AI110" s="19">
        <v>11</v>
      </c>
      <c r="AJ110" s="19">
        <v>0</v>
      </c>
      <c r="AK110" s="19">
        <v>0</v>
      </c>
      <c r="AL110" s="19">
        <v>0</v>
      </c>
      <c r="AM110" s="19">
        <v>11</v>
      </c>
      <c r="AN110" s="19">
        <v>0</v>
      </c>
      <c r="AO110" s="19">
        <v>11</v>
      </c>
      <c r="AP110" s="19"/>
      <c r="AQ110" s="19"/>
      <c r="AR110" s="19"/>
      <c r="AS110" s="19">
        <v>0</v>
      </c>
      <c r="AT110" s="19">
        <f>SUM(BS110+BU110+BW110+BY110+CA110+CC110+CE110+CG110+CI110+CK110+CM110+CO110+CQ110+CS110+CU110+CW110+CY110+DA110+DC110+DE110+DG110+DI110+DK110+DM110+DO110+DQ110+DS110+DU110+DW110+DY110+EA110+EC110)</f>
        <v>56</v>
      </c>
      <c r="AU110" s="19">
        <f>SUM(AJ110:AN110)</f>
        <v>11</v>
      </c>
      <c r="AV110" s="19">
        <f>SUM(AO110:AS110)</f>
        <v>11</v>
      </c>
      <c r="AW110" s="16">
        <f>COUNTIF(F110:AI110,"8")+COUNTIF(F110:AI110,"8.5")+COUNTIF(F110:AI110,"9")+COUNTIF(F110:AI110,"9.5")+COUNTIF(F110:AI110,"10")+COUNTIF(F110:AI110,"10.5")+COUNTIF(F110:AI110,"11")+COUNTIF(F110:AI110,"11.5")+COUNTIF(F110:AI110,"12")+COUNTIF(F110:AI110,"12.5")+COUNTIF(F110:AI110,"13")+COUNTIF(F110:AI110,"13.5")+COUNTIF(F110:AI110,"14")+COUNTIF(F110:AI110,"14.5")+COUNTIF(F110:AI110,"15")+COUNTIF(F110:AI110,"15.5")+COUNTIF(F110:AI110,"16")+COUNTIF(F110:AI110,"16.5")+COUNTIF(F110:AI110,"17")+COUNTIF(F110:AI110,"17.5")+COUNTIF(F110:AI110,"18")+COUNTIF(F110:AI110,"18.5")+COUNTIF(F110:AI110,"19")+COUNTIF(F110:AI110,"19.5")+COUNTIF(F110:AI110,"20")+COUNTIF(F110:AI110,"20.5")+COUNTIF(F110:AI110,"21")+COUNTIF(F110:AI110,"21.5")+COUNTIF(F110:AI110,"22")+COUNTIF(F110:AI110,"22.5")+COUNTIF(F110:AI110,"23")+COUNTIF(F110:AI110,"23.5")+COUNTIF(F110:AI110,"24")+COUNTIF(F110:AI110,"S")+COUNTIF(F110:AI110,"PH")+COUNTIF(F110:AI110,"ML")+COUNTIF(F110:AI110,"OD")</f>
        <v>21</v>
      </c>
      <c r="AX110" s="16">
        <f>COUNTIF(F110:AI110,"A")</f>
        <v>9</v>
      </c>
      <c r="AY110" s="16">
        <f>COUNTIF(F110:AI110,"ID")</f>
        <v>0</v>
      </c>
      <c r="AZ110" s="21">
        <v>950</v>
      </c>
      <c r="BA110" s="21">
        <v>100</v>
      </c>
      <c r="BB110" s="21">
        <v>0</v>
      </c>
      <c r="BC110" s="19">
        <f>MROUND(AZ110/30*AW110, 1)</f>
        <v>665</v>
      </c>
      <c r="BD110" s="19">
        <f>MROUND(BA110/30*AW110, 1)</f>
        <v>70</v>
      </c>
      <c r="BE110" s="19">
        <f>MROUND((AZ110/30/8*1.25*AT110)+(AZ110/30/8*1.5*AU110)+(AZ110/30/8*1.5*AV110), 1)</f>
        <v>408</v>
      </c>
      <c r="BF110" s="19">
        <f>MROUND(BB110/30*AW110, 1)</f>
        <v>0</v>
      </c>
      <c r="BG110" s="19">
        <f>MROUND(AZ110/30*AY110, 1)</f>
        <v>0</v>
      </c>
      <c r="BH110" s="19">
        <f>MROUND(BA110/30*AY110, 1)</f>
        <v>0</v>
      </c>
      <c r="BI110" s="19">
        <v>0</v>
      </c>
      <c r="BJ110" s="19">
        <f>SUM(BC110:BI110)</f>
        <v>1143</v>
      </c>
      <c r="BK110" s="19">
        <v>0</v>
      </c>
      <c r="BL110" s="19">
        <v>0</v>
      </c>
      <c r="BM110" s="19">
        <f>BK110+BL110</f>
        <v>0</v>
      </c>
      <c r="BN110" s="19">
        <f>BJ110-BM110</f>
        <v>1143</v>
      </c>
      <c r="BO110" s="19">
        <v>0</v>
      </c>
      <c r="BP110" s="19">
        <v>0</v>
      </c>
      <c r="BQ110" s="22">
        <f>SUM(BN110:BO110)-BP110</f>
        <v>1143</v>
      </c>
      <c r="BR110" s="82">
        <f>COUNTIF(F110:AI110, "8.5")</f>
        <v>0</v>
      </c>
      <c r="BS110" s="19">
        <f>BR110*0.5</f>
        <v>0</v>
      </c>
      <c r="BT110" s="19">
        <f>COUNTIF(F110:AI110, "9")</f>
        <v>0</v>
      </c>
      <c r="BU110" s="19">
        <f>BT110*1</f>
        <v>0</v>
      </c>
      <c r="BV110" s="19">
        <f>COUNTIF(F110:AI110, "9.5")</f>
        <v>0</v>
      </c>
      <c r="BW110" s="19">
        <f>BV110*1.5</f>
        <v>0</v>
      </c>
      <c r="BX110" s="19">
        <f>COUNTIF(F110:AI110, "10")</f>
        <v>0</v>
      </c>
      <c r="BY110" s="19">
        <f>BX110*2</f>
        <v>0</v>
      </c>
      <c r="BZ110" s="19">
        <f>COUNTIF(F110:AI110, "10.5")</f>
        <v>0</v>
      </c>
      <c r="CA110" s="19">
        <f>BZ110*2.5</f>
        <v>0</v>
      </c>
      <c r="CB110" s="19">
        <f>COUNTIF(F110:AI110, "11")</f>
        <v>16</v>
      </c>
      <c r="CC110" s="19">
        <f>CB110*3</f>
        <v>48</v>
      </c>
      <c r="CD110" s="19">
        <f>COUNTIF(F110:AI110, "11.5")</f>
        <v>0</v>
      </c>
      <c r="CE110" s="19">
        <f>CD110*3.5</f>
        <v>0</v>
      </c>
      <c r="CF110" s="19">
        <f>COUNTIF(F110:AI110, "12")</f>
        <v>2</v>
      </c>
      <c r="CG110" s="19">
        <f>CF110*4</f>
        <v>8</v>
      </c>
      <c r="CH110" s="19">
        <f>COUNTIF(F110:AI110, "12.5")</f>
        <v>0</v>
      </c>
      <c r="CI110" s="19">
        <f>CH110*4.5</f>
        <v>0</v>
      </c>
      <c r="CJ110" s="19">
        <f>COUNTIF(F110:AI110, "13")</f>
        <v>0</v>
      </c>
      <c r="CK110" s="19">
        <f>CJ110*5</f>
        <v>0</v>
      </c>
      <c r="CL110" s="19">
        <f>COUNTIF(F110:AI110, "13.5")</f>
        <v>0</v>
      </c>
      <c r="CM110" s="19">
        <f>CL110*5.5</f>
        <v>0</v>
      </c>
      <c r="CN110" s="19">
        <f>COUNTIF(F110:AI110, "14")</f>
        <v>0</v>
      </c>
      <c r="CO110" s="19">
        <f>CN110*6</f>
        <v>0</v>
      </c>
      <c r="CP110" s="19">
        <f>COUNTIF(F110:AI110, "14.5")</f>
        <v>0</v>
      </c>
      <c r="CQ110" s="19">
        <f>CP110*6.5</f>
        <v>0</v>
      </c>
      <c r="CR110" s="19">
        <f>COUNTIF(F110:AI110, "15")</f>
        <v>0</v>
      </c>
      <c r="CS110" s="19">
        <f>CR110*7</f>
        <v>0</v>
      </c>
      <c r="CT110" s="19">
        <f>COUNTIF(F110:AI110, "15.5")</f>
        <v>0</v>
      </c>
      <c r="CU110" s="19">
        <f>CT110*7.5</f>
        <v>0</v>
      </c>
      <c r="CV110" s="19">
        <f>COUNTIF(F110:AI110, "16")</f>
        <v>0</v>
      </c>
      <c r="CW110" s="19">
        <f>CV110*8</f>
        <v>0</v>
      </c>
      <c r="CX110" s="19">
        <f>COUNTIF(F110:AI110, "16.5")</f>
        <v>0</v>
      </c>
      <c r="CY110" s="19">
        <f>CX110*8.5</f>
        <v>0</v>
      </c>
      <c r="CZ110" s="19">
        <f>COUNTIF(F110:AI110, "17")</f>
        <v>0</v>
      </c>
      <c r="DA110" s="19">
        <f>CZ110*9</f>
        <v>0</v>
      </c>
      <c r="DB110" s="19">
        <f>COUNTIF(F110:AI110, "17.5")</f>
        <v>0</v>
      </c>
      <c r="DC110" s="19">
        <f>DB110*9.5</f>
        <v>0</v>
      </c>
      <c r="DD110" s="19">
        <f>COUNTIF(F110:AI110, "18")</f>
        <v>0</v>
      </c>
      <c r="DE110" s="19">
        <f>DD110*10</f>
        <v>0</v>
      </c>
      <c r="DF110" s="19">
        <f>COUNTIF(F110:AI110, "18.5")</f>
        <v>0</v>
      </c>
      <c r="DG110" s="19">
        <f>DF110*10.5</f>
        <v>0</v>
      </c>
      <c r="DH110" s="19">
        <f>COUNTIF(F110:AI110, "19")</f>
        <v>0</v>
      </c>
      <c r="DI110" s="19">
        <f>DH110*11</f>
        <v>0</v>
      </c>
      <c r="DJ110" s="19">
        <f>COUNTIF(F110:AI110, "19.5")</f>
        <v>0</v>
      </c>
      <c r="DK110" s="19">
        <f>DJ110*11.5</f>
        <v>0</v>
      </c>
      <c r="DL110" s="19">
        <f>COUNTIF(F110:AI110, "20")</f>
        <v>0</v>
      </c>
      <c r="DM110" s="19">
        <f>DL110*12</f>
        <v>0</v>
      </c>
      <c r="DN110" s="19">
        <f>COUNTIF(F110:AI110, "20.5")</f>
        <v>0</v>
      </c>
      <c r="DO110" s="19">
        <f>DN110*12.5</f>
        <v>0</v>
      </c>
      <c r="DP110" s="19">
        <f>COUNTIF(F110:AI110, "21")</f>
        <v>0</v>
      </c>
      <c r="DQ110" s="19">
        <f>DP110*13</f>
        <v>0</v>
      </c>
      <c r="DR110" s="19">
        <f>COUNTIF(F110:AI110, "21.5")</f>
        <v>0</v>
      </c>
      <c r="DS110" s="19">
        <f>DR110*13.5</f>
        <v>0</v>
      </c>
      <c r="DT110" s="19">
        <f>COUNTIF(F110:AI110, "22")</f>
        <v>0</v>
      </c>
      <c r="DU110" s="19">
        <f>DT110*14</f>
        <v>0</v>
      </c>
      <c r="DV110" s="19">
        <f>COUNTIF(F110:AI110, "22.5")</f>
        <v>0</v>
      </c>
      <c r="DW110" s="19">
        <f>DV110*14.5</f>
        <v>0</v>
      </c>
      <c r="DX110" s="19">
        <f>COUNTIF(F110:AI110, "23")</f>
        <v>0</v>
      </c>
      <c r="DY110" s="19">
        <f>DX110*15</f>
        <v>0</v>
      </c>
      <c r="DZ110" s="19">
        <f>COUNTIF(F110:AI110, "23.5")</f>
        <v>0</v>
      </c>
      <c r="EA110" s="19">
        <f>DZ110*15.5</f>
        <v>0</v>
      </c>
      <c r="EB110" s="19">
        <f>COUNTIF(F110:AI110, "24")</f>
        <v>0</v>
      </c>
      <c r="EC110" s="19">
        <f>EB110*16</f>
        <v>0</v>
      </c>
      <c r="ED110" s="139" t="s">
        <v>553</v>
      </c>
    </row>
    <row r="111" spans="1:134" s="78" customFormat="1" ht="18" customHeight="1" x14ac:dyDescent="0.25">
      <c r="A111" s="27">
        <v>108</v>
      </c>
      <c r="B111" s="128" t="s">
        <v>523</v>
      </c>
      <c r="C111" s="127" t="s">
        <v>486</v>
      </c>
      <c r="D111" s="52" t="s">
        <v>61</v>
      </c>
      <c r="E111" s="18">
        <v>45719</v>
      </c>
      <c r="F111" s="19">
        <v>10</v>
      </c>
      <c r="G111" s="19">
        <v>10</v>
      </c>
      <c r="H111" s="19">
        <v>10</v>
      </c>
      <c r="I111" s="19">
        <v>10</v>
      </c>
      <c r="J111" s="19" t="s">
        <v>603</v>
      </c>
      <c r="K111" s="19">
        <v>10</v>
      </c>
      <c r="L111" s="19" t="s">
        <v>15</v>
      </c>
      <c r="M111" s="19">
        <v>9</v>
      </c>
      <c r="N111" s="19">
        <v>8</v>
      </c>
      <c r="O111" s="19">
        <v>8</v>
      </c>
      <c r="P111" s="19">
        <v>8</v>
      </c>
      <c r="Q111" s="19" t="s">
        <v>316</v>
      </c>
      <c r="R111" s="19" t="s">
        <v>316</v>
      </c>
      <c r="S111" s="19" t="s">
        <v>316</v>
      </c>
      <c r="T111" s="19" t="s">
        <v>316</v>
      </c>
      <c r="U111" s="19" t="s">
        <v>316</v>
      </c>
      <c r="V111" s="19" t="s">
        <v>316</v>
      </c>
      <c r="W111" s="19" t="s">
        <v>316</v>
      </c>
      <c r="X111" s="19" t="s">
        <v>316</v>
      </c>
      <c r="Y111" s="19" t="s">
        <v>316</v>
      </c>
      <c r="Z111" s="19" t="s">
        <v>316</v>
      </c>
      <c r="AA111" s="19" t="s">
        <v>316</v>
      </c>
      <c r="AB111" s="19" t="s">
        <v>316</v>
      </c>
      <c r="AC111" s="19" t="s">
        <v>316</v>
      </c>
      <c r="AD111" s="19" t="s">
        <v>316</v>
      </c>
      <c r="AE111" s="19" t="s">
        <v>316</v>
      </c>
      <c r="AF111" s="19" t="s">
        <v>316</v>
      </c>
      <c r="AG111" s="19" t="s">
        <v>316</v>
      </c>
      <c r="AH111" s="19" t="s">
        <v>316</v>
      </c>
      <c r="AI111" s="19" t="s">
        <v>316</v>
      </c>
      <c r="AJ111" s="19">
        <v>6</v>
      </c>
      <c r="AK111" s="19">
        <v>0</v>
      </c>
      <c r="AL111" s="19">
        <v>0</v>
      </c>
      <c r="AM111" s="19">
        <v>0</v>
      </c>
      <c r="AN111" s="19">
        <v>0</v>
      </c>
      <c r="AO111" s="19">
        <v>10</v>
      </c>
      <c r="AP111" s="19"/>
      <c r="AQ111" s="19"/>
      <c r="AR111" s="19"/>
      <c r="AS111" s="19">
        <v>0</v>
      </c>
      <c r="AT111" s="19">
        <f>SUM(BS111+BU111+BW111+BY111+CA111+CC111+CE111+CG111+CI111+CK111+CM111+CO111+CQ111+CS111+CU111+CW111+CY111+DA111+DC111+DE111+DG111+DI111+DK111+DM111+DO111+DQ111+DS111+DU111+DW111+DY111+EA111+EC111)</f>
        <v>11</v>
      </c>
      <c r="AU111" s="19">
        <f>SUM(AJ111:AN111)</f>
        <v>6</v>
      </c>
      <c r="AV111" s="19">
        <f>SUM(AO111:AS111)</f>
        <v>10</v>
      </c>
      <c r="AW111" s="16">
        <f>COUNTIF(F111:AI111,"8")+COUNTIF(F111:AI111,"8.5")+COUNTIF(F111:AI111,"9")+COUNTIF(F111:AI111,"9.5")+COUNTIF(F111:AI111,"10")+COUNTIF(F111:AI111,"10.5")+COUNTIF(F111:AI111,"11")+COUNTIF(F111:AI111,"11.5")+COUNTIF(F111:AI111,"12")+COUNTIF(F111:AI111,"12.5")+COUNTIF(F111:AI111,"13")+COUNTIF(F111:AI111,"13.5")+COUNTIF(F111:AI111,"14")+COUNTIF(F111:AI111,"14.5")+COUNTIF(F111:AI111,"15")+COUNTIF(F111:AI111,"15.5")+COUNTIF(F111:AI111,"16")+COUNTIF(F111:AI111,"16.5")+COUNTIF(F111:AI111,"17")+COUNTIF(F111:AI111,"17.5")+COUNTIF(F111:AI111,"18")+COUNTIF(F111:AI111,"18.5")+COUNTIF(F111:AI111,"19")+COUNTIF(F111:AI111,"19.5")+COUNTIF(F111:AI111,"20")+COUNTIF(F111:AI111,"20.5")+COUNTIF(F111:AI111,"21")+COUNTIF(F111:AI111,"21.5")+COUNTIF(F111:AI111,"22")+COUNTIF(F111:AI111,"22.5")+COUNTIF(F111:AI111,"23")+COUNTIF(F111:AI111,"23.5")+COUNTIF(F111:AI111,"24")+COUNTIF(F111:AI111,"S")+COUNTIF(F111:AI111,"PH")+COUNTIF(F111:AI111,"ML")+COUNTIF(F111:AI111,"OD")</f>
        <v>11</v>
      </c>
      <c r="AX111" s="16">
        <f>COUNTIF(F111:AI111,"A")</f>
        <v>19</v>
      </c>
      <c r="AY111" s="16">
        <f>COUNTIF(F111:AI111,"ID")</f>
        <v>0</v>
      </c>
      <c r="AZ111" s="21">
        <v>1100</v>
      </c>
      <c r="BA111" s="21">
        <v>100</v>
      </c>
      <c r="BB111" s="21">
        <v>0</v>
      </c>
      <c r="BC111" s="19">
        <f>MROUND(AZ111/30*AW111, 1)</f>
        <v>403</v>
      </c>
      <c r="BD111" s="19">
        <f>MROUND(BA111/30*AW111, 1)</f>
        <v>37</v>
      </c>
      <c r="BE111" s="19">
        <f>MROUND((AZ111/30/8*1.25*AT111)+(AZ111/30/8*1.5*AU111)+(AZ111/30/8*1.5*AV111), 1)</f>
        <v>173</v>
      </c>
      <c r="BF111" s="19">
        <f>MROUND(BB111/30*AW111, 1)</f>
        <v>0</v>
      </c>
      <c r="BG111" s="19">
        <f>MROUND(AZ111/30*AY111, 1)</f>
        <v>0</v>
      </c>
      <c r="BH111" s="19">
        <f>MROUND(BA111/30*AY111, 1)</f>
        <v>0</v>
      </c>
      <c r="BI111" s="19">
        <v>0</v>
      </c>
      <c r="BJ111" s="19">
        <f>SUM(BC111:BI111)</f>
        <v>613</v>
      </c>
      <c r="BK111" s="19">
        <v>0</v>
      </c>
      <c r="BL111" s="19">
        <v>0</v>
      </c>
      <c r="BM111" s="19">
        <f>BK111+BL111</f>
        <v>0</v>
      </c>
      <c r="BN111" s="19">
        <f>BJ111-BM111</f>
        <v>613</v>
      </c>
      <c r="BO111" s="19">
        <v>0</v>
      </c>
      <c r="BP111" s="19">
        <v>0</v>
      </c>
      <c r="BQ111" s="22">
        <f>SUM(BN111:BO111)-BP111</f>
        <v>613</v>
      </c>
      <c r="BR111" s="82">
        <f>COUNTIF(F111:AI111, "8.5")</f>
        <v>0</v>
      </c>
      <c r="BS111" s="19">
        <f>BR111*0.5</f>
        <v>0</v>
      </c>
      <c r="BT111" s="19">
        <f>COUNTIF(F111:AI111, "9")</f>
        <v>1</v>
      </c>
      <c r="BU111" s="19">
        <f>BT111*1</f>
        <v>1</v>
      </c>
      <c r="BV111" s="19">
        <f>COUNTIF(F111:AI111, "9.5")</f>
        <v>0</v>
      </c>
      <c r="BW111" s="19">
        <f>BV111*1.5</f>
        <v>0</v>
      </c>
      <c r="BX111" s="19">
        <f>COUNTIF(F111:AI111, "10")</f>
        <v>5</v>
      </c>
      <c r="BY111" s="19">
        <f>BX111*2</f>
        <v>10</v>
      </c>
      <c r="BZ111" s="19">
        <f>COUNTIF(F111:AI111, "10.5")</f>
        <v>0</v>
      </c>
      <c r="CA111" s="19">
        <f>BZ111*2.5</f>
        <v>0</v>
      </c>
      <c r="CB111" s="19">
        <f>COUNTIF(F111:AI111, "11")</f>
        <v>0</v>
      </c>
      <c r="CC111" s="19">
        <f>CB111*3</f>
        <v>0</v>
      </c>
      <c r="CD111" s="19">
        <f>COUNTIF(F111:AI111, "11.5")</f>
        <v>0</v>
      </c>
      <c r="CE111" s="19">
        <f>CD111*3.5</f>
        <v>0</v>
      </c>
      <c r="CF111" s="19">
        <f>COUNTIF(F111:AI111, "12")</f>
        <v>0</v>
      </c>
      <c r="CG111" s="19">
        <f>CF111*4</f>
        <v>0</v>
      </c>
      <c r="CH111" s="19">
        <f>COUNTIF(F111:AI111, "12.5")</f>
        <v>0</v>
      </c>
      <c r="CI111" s="19">
        <f>CH111*4.5</f>
        <v>0</v>
      </c>
      <c r="CJ111" s="19">
        <f>COUNTIF(F111:AI111, "13")</f>
        <v>0</v>
      </c>
      <c r="CK111" s="19">
        <f>CJ111*5</f>
        <v>0</v>
      </c>
      <c r="CL111" s="19">
        <f>COUNTIF(F111:AI111, "13.5")</f>
        <v>0</v>
      </c>
      <c r="CM111" s="19">
        <f>CL111*5.5</f>
        <v>0</v>
      </c>
      <c r="CN111" s="19">
        <f>COUNTIF(F111:AI111, "14")</f>
        <v>0</v>
      </c>
      <c r="CO111" s="19">
        <f>CN111*6</f>
        <v>0</v>
      </c>
      <c r="CP111" s="19">
        <f>COUNTIF(F111:AI111, "14.5")</f>
        <v>0</v>
      </c>
      <c r="CQ111" s="19">
        <f>CP111*6.5</f>
        <v>0</v>
      </c>
      <c r="CR111" s="19">
        <f>COUNTIF(F111:AI111, "15")</f>
        <v>0</v>
      </c>
      <c r="CS111" s="19">
        <f>CR111*7</f>
        <v>0</v>
      </c>
      <c r="CT111" s="19">
        <f>COUNTIF(F111:AI111, "15.5")</f>
        <v>0</v>
      </c>
      <c r="CU111" s="19">
        <f>CT111*7.5</f>
        <v>0</v>
      </c>
      <c r="CV111" s="19">
        <f>COUNTIF(F111:AI111, "16")</f>
        <v>0</v>
      </c>
      <c r="CW111" s="19">
        <f>CV111*8</f>
        <v>0</v>
      </c>
      <c r="CX111" s="19">
        <f>COUNTIF(F111:AI111, "16.5")</f>
        <v>0</v>
      </c>
      <c r="CY111" s="19">
        <f>CX111*8.5</f>
        <v>0</v>
      </c>
      <c r="CZ111" s="19">
        <f>COUNTIF(F111:AI111, "17")</f>
        <v>0</v>
      </c>
      <c r="DA111" s="19">
        <f>CZ111*9</f>
        <v>0</v>
      </c>
      <c r="DB111" s="19">
        <f>COUNTIF(F111:AI111, "17.5")</f>
        <v>0</v>
      </c>
      <c r="DC111" s="19">
        <f>DB111*9.5</f>
        <v>0</v>
      </c>
      <c r="DD111" s="19">
        <f>COUNTIF(F111:AI111, "18")</f>
        <v>0</v>
      </c>
      <c r="DE111" s="19">
        <f>DD111*10</f>
        <v>0</v>
      </c>
      <c r="DF111" s="19">
        <f>COUNTIF(F111:AI111, "18.5")</f>
        <v>0</v>
      </c>
      <c r="DG111" s="19">
        <f>DF111*10.5</f>
        <v>0</v>
      </c>
      <c r="DH111" s="19">
        <f>COUNTIF(F111:AI111, "19")</f>
        <v>0</v>
      </c>
      <c r="DI111" s="19">
        <f>DH111*11</f>
        <v>0</v>
      </c>
      <c r="DJ111" s="19">
        <f>COUNTIF(F111:AI111, "19.5")</f>
        <v>0</v>
      </c>
      <c r="DK111" s="19">
        <f>DJ111*11.5</f>
        <v>0</v>
      </c>
      <c r="DL111" s="19">
        <f>COUNTIF(F111:AI111, "20")</f>
        <v>0</v>
      </c>
      <c r="DM111" s="19">
        <f>DL111*12</f>
        <v>0</v>
      </c>
      <c r="DN111" s="19">
        <f>COUNTIF(F111:AI111, "20.5")</f>
        <v>0</v>
      </c>
      <c r="DO111" s="19">
        <f>DN111*12.5</f>
        <v>0</v>
      </c>
      <c r="DP111" s="19">
        <f>COUNTIF(F111:AI111, "21")</f>
        <v>0</v>
      </c>
      <c r="DQ111" s="19">
        <f>DP111*13</f>
        <v>0</v>
      </c>
      <c r="DR111" s="19">
        <f>COUNTIF(F111:AI111, "21.5")</f>
        <v>0</v>
      </c>
      <c r="DS111" s="19">
        <f>DR111*13.5</f>
        <v>0</v>
      </c>
      <c r="DT111" s="19">
        <f>COUNTIF(F111:AI111, "22")</f>
        <v>0</v>
      </c>
      <c r="DU111" s="19">
        <f>DT111*14</f>
        <v>0</v>
      </c>
      <c r="DV111" s="19">
        <f>COUNTIF(F111:AI111, "22.5")</f>
        <v>0</v>
      </c>
      <c r="DW111" s="19">
        <f>DV111*14.5</f>
        <v>0</v>
      </c>
      <c r="DX111" s="19">
        <f>COUNTIF(F111:AI111, "23")</f>
        <v>0</v>
      </c>
      <c r="DY111" s="19">
        <f>DX111*15</f>
        <v>0</v>
      </c>
      <c r="DZ111" s="19">
        <f>COUNTIF(F111:AI111, "23.5")</f>
        <v>0</v>
      </c>
      <c r="EA111" s="19">
        <f>DZ111*15.5</f>
        <v>0</v>
      </c>
      <c r="EB111" s="19">
        <f>COUNTIF(F111:AI111, "24")</f>
        <v>0</v>
      </c>
      <c r="EC111" s="19">
        <f>EB111*16</f>
        <v>0</v>
      </c>
      <c r="ED111" s="139" t="s">
        <v>553</v>
      </c>
    </row>
    <row r="112" spans="1:134" s="78" customFormat="1" ht="18" customHeight="1" x14ac:dyDescent="0.25">
      <c r="A112" s="27">
        <v>109</v>
      </c>
      <c r="B112" s="128" t="s">
        <v>530</v>
      </c>
      <c r="C112" s="127" t="s">
        <v>506</v>
      </c>
      <c r="D112" s="52" t="s">
        <v>61</v>
      </c>
      <c r="E112" s="18">
        <v>45768</v>
      </c>
      <c r="F112" s="19" t="s">
        <v>316</v>
      </c>
      <c r="G112" s="19" t="s">
        <v>316</v>
      </c>
      <c r="H112" s="19" t="s">
        <v>316</v>
      </c>
      <c r="I112" s="19" t="s">
        <v>316</v>
      </c>
      <c r="J112" s="19" t="s">
        <v>316</v>
      </c>
      <c r="K112" s="19" t="s">
        <v>316</v>
      </c>
      <c r="L112" s="19" t="s">
        <v>316</v>
      </c>
      <c r="M112" s="19">
        <v>10</v>
      </c>
      <c r="N112" s="19">
        <v>10</v>
      </c>
      <c r="O112" s="19">
        <v>10</v>
      </c>
      <c r="P112" s="19">
        <v>10</v>
      </c>
      <c r="Q112" s="19">
        <v>10</v>
      </c>
      <c r="R112" s="19">
        <v>10</v>
      </c>
      <c r="S112" s="19" t="s">
        <v>15</v>
      </c>
      <c r="T112" s="19">
        <v>10</v>
      </c>
      <c r="U112" s="19">
        <v>10</v>
      </c>
      <c r="V112" s="19">
        <v>10</v>
      </c>
      <c r="W112" s="19">
        <v>10</v>
      </c>
      <c r="X112" s="19">
        <v>10</v>
      </c>
      <c r="Y112" s="19">
        <v>10</v>
      </c>
      <c r="Z112" s="19" t="s">
        <v>15</v>
      </c>
      <c r="AA112" s="19">
        <v>10</v>
      </c>
      <c r="AB112" s="19">
        <v>10</v>
      </c>
      <c r="AC112" s="19">
        <v>10</v>
      </c>
      <c r="AD112" s="19">
        <v>10</v>
      </c>
      <c r="AE112" s="19">
        <v>10</v>
      </c>
      <c r="AF112" s="19">
        <v>10</v>
      </c>
      <c r="AG112" s="19" t="s">
        <v>15</v>
      </c>
      <c r="AH112" s="19">
        <v>10</v>
      </c>
      <c r="AI112" s="19">
        <v>10</v>
      </c>
      <c r="AJ112" s="19">
        <v>0</v>
      </c>
      <c r="AK112" s="19">
        <v>0</v>
      </c>
      <c r="AL112" s="19">
        <v>0</v>
      </c>
      <c r="AM112" s="19">
        <v>10</v>
      </c>
      <c r="AN112" s="19">
        <v>0</v>
      </c>
      <c r="AO112" s="19">
        <v>0</v>
      </c>
      <c r="AP112" s="19"/>
      <c r="AQ112" s="19"/>
      <c r="AR112" s="19"/>
      <c r="AS112" s="19">
        <v>0</v>
      </c>
      <c r="AT112" s="19">
        <f>SUM(BS112+BU112+BW112+BY112+CA112+CC112+CE112+CG112+CI112+CK112+CM112+CO112+CQ112+CS112+CU112+CW112+CY112+DA112+DC112+DE112+DG112+DI112+DK112+DM112+DO112+DQ112+DS112+DU112+DW112+DY112+EA112+EC112)</f>
        <v>40</v>
      </c>
      <c r="AU112" s="19">
        <f>SUM(AJ112:AN112)</f>
        <v>10</v>
      </c>
      <c r="AV112" s="19">
        <f>SUM(AO112:AS112)</f>
        <v>0</v>
      </c>
      <c r="AW112" s="16">
        <f>COUNTIF(F112:AI112,"8")+COUNTIF(F112:AI112,"8.5")+COUNTIF(F112:AI112,"9")+COUNTIF(F112:AI112,"9.5")+COUNTIF(F112:AI112,"10")+COUNTIF(F112:AI112,"10.5")+COUNTIF(F112:AI112,"11")+COUNTIF(F112:AI112,"11.5")+COUNTIF(F112:AI112,"12")+COUNTIF(F112:AI112,"12.5")+COUNTIF(F112:AI112,"13")+COUNTIF(F112:AI112,"13.5")+COUNTIF(F112:AI112,"14")+COUNTIF(F112:AI112,"14.5")+COUNTIF(F112:AI112,"15")+COUNTIF(F112:AI112,"15.5")+COUNTIF(F112:AI112,"16")+COUNTIF(F112:AI112,"16.5")+COUNTIF(F112:AI112,"17")+COUNTIF(F112:AI112,"17.5")+COUNTIF(F112:AI112,"18")+COUNTIF(F112:AI112,"18.5")+COUNTIF(F112:AI112,"19")+COUNTIF(F112:AI112,"19.5")+COUNTIF(F112:AI112,"20")+COUNTIF(F112:AI112,"20.5")+COUNTIF(F112:AI112,"21")+COUNTIF(F112:AI112,"21.5")+COUNTIF(F112:AI112,"22")+COUNTIF(F112:AI112,"22.5")+COUNTIF(F112:AI112,"23")+COUNTIF(F112:AI112,"23.5")+COUNTIF(F112:AI112,"24")+COUNTIF(F112:AI112,"S")+COUNTIF(F112:AI112,"PH")+COUNTIF(F112:AI112,"ML")+COUNTIF(F112:AI112,"OD")</f>
        <v>23</v>
      </c>
      <c r="AX112" s="16">
        <f>COUNTIF(F112:AI112,"A")</f>
        <v>7</v>
      </c>
      <c r="AY112" s="16">
        <f>COUNTIF(F112:AI112,"ID")</f>
        <v>0</v>
      </c>
      <c r="AZ112" s="21">
        <v>900</v>
      </c>
      <c r="BA112" s="21">
        <v>100</v>
      </c>
      <c r="BB112" s="21">
        <v>0</v>
      </c>
      <c r="BC112" s="19">
        <f>MROUND(AZ112/30*AW112, 1)</f>
        <v>690</v>
      </c>
      <c r="BD112" s="19">
        <f>MROUND(BA112/30*AW112, 1)</f>
        <v>77</v>
      </c>
      <c r="BE112" s="19">
        <f>MROUND((AZ112/30/8*1.25*AT112)+(AZ112/30/8*1.5*AU112)+(AZ112/30/8*1.5*AV112), 1)</f>
        <v>244</v>
      </c>
      <c r="BF112" s="19">
        <f>MROUND(BB112/30*AW112, 1)</f>
        <v>0</v>
      </c>
      <c r="BG112" s="19">
        <f>MROUND(AZ112/30*AY112, 1)</f>
        <v>0</v>
      </c>
      <c r="BH112" s="19">
        <f>MROUND(BA112/30*AY112, 1)</f>
        <v>0</v>
      </c>
      <c r="BI112" s="19">
        <v>0</v>
      </c>
      <c r="BJ112" s="19">
        <f>SUM(BC112:BI112)</f>
        <v>1011</v>
      </c>
      <c r="BK112" s="19">
        <v>0</v>
      </c>
      <c r="BL112" s="19">
        <v>0</v>
      </c>
      <c r="BM112" s="19">
        <f>BK112+BL112</f>
        <v>0</v>
      </c>
      <c r="BN112" s="19">
        <f>BJ112-BM112</f>
        <v>1011</v>
      </c>
      <c r="BO112" s="19">
        <v>0</v>
      </c>
      <c r="BP112" s="19">
        <v>0</v>
      </c>
      <c r="BQ112" s="22">
        <f>SUM(BN112:BO112)-BP112</f>
        <v>1011</v>
      </c>
      <c r="BR112" s="82">
        <f>COUNTIF(F112:AI112, "8.5")</f>
        <v>0</v>
      </c>
      <c r="BS112" s="19">
        <f>BR112*0.5</f>
        <v>0</v>
      </c>
      <c r="BT112" s="19">
        <f>COUNTIF(F112:AI112, "9")</f>
        <v>0</v>
      </c>
      <c r="BU112" s="19">
        <f>BT112*1</f>
        <v>0</v>
      </c>
      <c r="BV112" s="19">
        <f>COUNTIF(F112:AI112, "9.5")</f>
        <v>0</v>
      </c>
      <c r="BW112" s="19">
        <f>BV112*1.5</f>
        <v>0</v>
      </c>
      <c r="BX112" s="19">
        <f>COUNTIF(F112:AI112, "10")</f>
        <v>20</v>
      </c>
      <c r="BY112" s="19">
        <f>BX112*2</f>
        <v>40</v>
      </c>
      <c r="BZ112" s="19">
        <f>COUNTIF(F112:AI112, "10.5")</f>
        <v>0</v>
      </c>
      <c r="CA112" s="19">
        <f>BZ112*2.5</f>
        <v>0</v>
      </c>
      <c r="CB112" s="19">
        <f>COUNTIF(F112:AI112, "11")</f>
        <v>0</v>
      </c>
      <c r="CC112" s="19">
        <f>CB112*3</f>
        <v>0</v>
      </c>
      <c r="CD112" s="19">
        <f>COUNTIF(F112:AI112, "11.5")</f>
        <v>0</v>
      </c>
      <c r="CE112" s="19">
        <f>CD112*3.5</f>
        <v>0</v>
      </c>
      <c r="CF112" s="19">
        <f>COUNTIF(F112:AI112, "12")</f>
        <v>0</v>
      </c>
      <c r="CG112" s="19">
        <f>CF112*4</f>
        <v>0</v>
      </c>
      <c r="CH112" s="19">
        <f>COUNTIF(F112:AI112, "12.5")</f>
        <v>0</v>
      </c>
      <c r="CI112" s="19">
        <f>CH112*4.5</f>
        <v>0</v>
      </c>
      <c r="CJ112" s="19">
        <f>COUNTIF(F112:AI112, "13")</f>
        <v>0</v>
      </c>
      <c r="CK112" s="19">
        <f>CJ112*5</f>
        <v>0</v>
      </c>
      <c r="CL112" s="19">
        <f>COUNTIF(F112:AI112, "13.5")</f>
        <v>0</v>
      </c>
      <c r="CM112" s="19">
        <f>CL112*5.5</f>
        <v>0</v>
      </c>
      <c r="CN112" s="19">
        <f>COUNTIF(F112:AI112, "14")</f>
        <v>0</v>
      </c>
      <c r="CO112" s="19">
        <f>CN112*6</f>
        <v>0</v>
      </c>
      <c r="CP112" s="19">
        <f>COUNTIF(F112:AI112, "14.5")</f>
        <v>0</v>
      </c>
      <c r="CQ112" s="19">
        <f>CP112*6.5</f>
        <v>0</v>
      </c>
      <c r="CR112" s="19">
        <f>COUNTIF(F112:AI112, "15")</f>
        <v>0</v>
      </c>
      <c r="CS112" s="19">
        <f>CR112*7</f>
        <v>0</v>
      </c>
      <c r="CT112" s="19">
        <f>COUNTIF(F112:AI112, "15.5")</f>
        <v>0</v>
      </c>
      <c r="CU112" s="19">
        <f>CT112*7.5</f>
        <v>0</v>
      </c>
      <c r="CV112" s="19">
        <f>COUNTIF(F112:AI112, "16")</f>
        <v>0</v>
      </c>
      <c r="CW112" s="19">
        <f>CV112*8</f>
        <v>0</v>
      </c>
      <c r="CX112" s="19">
        <f>COUNTIF(F112:AI112, "16.5")</f>
        <v>0</v>
      </c>
      <c r="CY112" s="19">
        <f>CX112*8.5</f>
        <v>0</v>
      </c>
      <c r="CZ112" s="19">
        <f>COUNTIF(F112:AI112, "17")</f>
        <v>0</v>
      </c>
      <c r="DA112" s="19">
        <f>CZ112*9</f>
        <v>0</v>
      </c>
      <c r="DB112" s="19">
        <f>COUNTIF(F112:AI112, "17.5")</f>
        <v>0</v>
      </c>
      <c r="DC112" s="19">
        <f>DB112*9.5</f>
        <v>0</v>
      </c>
      <c r="DD112" s="19">
        <f>COUNTIF(F112:AI112, "18")</f>
        <v>0</v>
      </c>
      <c r="DE112" s="19">
        <f>DD112*10</f>
        <v>0</v>
      </c>
      <c r="DF112" s="19">
        <f>COUNTIF(F112:AI112, "18.5")</f>
        <v>0</v>
      </c>
      <c r="DG112" s="19">
        <f>DF112*10.5</f>
        <v>0</v>
      </c>
      <c r="DH112" s="19">
        <f>COUNTIF(F112:AI112, "19")</f>
        <v>0</v>
      </c>
      <c r="DI112" s="19">
        <f>DH112*11</f>
        <v>0</v>
      </c>
      <c r="DJ112" s="19">
        <f>COUNTIF(F112:AI112, "19.5")</f>
        <v>0</v>
      </c>
      <c r="DK112" s="19">
        <f>DJ112*11.5</f>
        <v>0</v>
      </c>
      <c r="DL112" s="19">
        <f>COUNTIF(F112:AI112, "20")</f>
        <v>0</v>
      </c>
      <c r="DM112" s="19">
        <f>DL112*12</f>
        <v>0</v>
      </c>
      <c r="DN112" s="19">
        <f>COUNTIF(F112:AI112, "20.5")</f>
        <v>0</v>
      </c>
      <c r="DO112" s="19">
        <f>DN112*12.5</f>
        <v>0</v>
      </c>
      <c r="DP112" s="19">
        <f>COUNTIF(F112:AI112, "21")</f>
        <v>0</v>
      </c>
      <c r="DQ112" s="19">
        <f>DP112*13</f>
        <v>0</v>
      </c>
      <c r="DR112" s="19">
        <f>COUNTIF(F112:AI112, "21.5")</f>
        <v>0</v>
      </c>
      <c r="DS112" s="19">
        <f>DR112*13.5</f>
        <v>0</v>
      </c>
      <c r="DT112" s="19">
        <f>COUNTIF(F112:AI112, "22")</f>
        <v>0</v>
      </c>
      <c r="DU112" s="19">
        <f>DT112*14</f>
        <v>0</v>
      </c>
      <c r="DV112" s="19">
        <f>COUNTIF(F112:AI112, "22.5")</f>
        <v>0</v>
      </c>
      <c r="DW112" s="19">
        <f>DV112*14.5</f>
        <v>0</v>
      </c>
      <c r="DX112" s="19">
        <f>COUNTIF(F112:AI112, "23")</f>
        <v>0</v>
      </c>
      <c r="DY112" s="19">
        <f>DX112*15</f>
        <v>0</v>
      </c>
      <c r="DZ112" s="19">
        <f>COUNTIF(F112:AI112, "23.5")</f>
        <v>0</v>
      </c>
      <c r="EA112" s="19">
        <f>DZ112*15.5</f>
        <v>0</v>
      </c>
      <c r="EB112" s="19">
        <f>COUNTIF(F112:AI112, "24")</f>
        <v>0</v>
      </c>
      <c r="EC112" s="19">
        <f>EB112*16</f>
        <v>0</v>
      </c>
      <c r="ED112" s="139" t="s">
        <v>553</v>
      </c>
    </row>
    <row r="113" spans="1:134" s="78" customFormat="1" ht="18" customHeight="1" x14ac:dyDescent="0.25">
      <c r="A113" s="27">
        <v>110</v>
      </c>
      <c r="B113" s="123" t="s">
        <v>59</v>
      </c>
      <c r="C113" s="104" t="s">
        <v>60</v>
      </c>
      <c r="D113" s="103" t="s">
        <v>61</v>
      </c>
      <c r="E113" s="18">
        <v>44903</v>
      </c>
      <c r="F113" s="19" t="s">
        <v>473</v>
      </c>
      <c r="G113" s="19" t="s">
        <v>473</v>
      </c>
      <c r="H113" s="19" t="s">
        <v>473</v>
      </c>
      <c r="I113" s="19" t="s">
        <v>473</v>
      </c>
      <c r="J113" s="19" t="s">
        <v>473</v>
      </c>
      <c r="K113" s="19" t="s">
        <v>473</v>
      </c>
      <c r="L113" s="19" t="s">
        <v>473</v>
      </c>
      <c r="M113" s="19" t="s">
        <v>473</v>
      </c>
      <c r="N113" s="19" t="s">
        <v>473</v>
      </c>
      <c r="O113" s="19" t="s">
        <v>473</v>
      </c>
      <c r="P113" s="19" t="s">
        <v>473</v>
      </c>
      <c r="Q113" s="19" t="s">
        <v>473</v>
      </c>
      <c r="R113" s="19" t="s">
        <v>473</v>
      </c>
      <c r="S113" s="19" t="s">
        <v>473</v>
      </c>
      <c r="T113" s="19" t="s">
        <v>473</v>
      </c>
      <c r="U113" s="19" t="s">
        <v>473</v>
      </c>
      <c r="V113" s="19" t="s">
        <v>473</v>
      </c>
      <c r="W113" s="19" t="s">
        <v>473</v>
      </c>
      <c r="X113" s="19" t="s">
        <v>473</v>
      </c>
      <c r="Y113" s="19" t="s">
        <v>473</v>
      </c>
      <c r="Z113" s="19" t="s">
        <v>473</v>
      </c>
      <c r="AA113" s="19" t="s">
        <v>473</v>
      </c>
      <c r="AB113" s="19" t="s">
        <v>473</v>
      </c>
      <c r="AC113" s="19" t="s">
        <v>473</v>
      </c>
      <c r="AD113" s="19" t="s">
        <v>473</v>
      </c>
      <c r="AE113" s="19" t="s">
        <v>473</v>
      </c>
      <c r="AF113" s="19" t="s">
        <v>473</v>
      </c>
      <c r="AG113" s="19" t="s">
        <v>473</v>
      </c>
      <c r="AH113" s="19" t="s">
        <v>473</v>
      </c>
      <c r="AI113" s="19" t="s">
        <v>473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/>
      <c r="AQ113" s="19"/>
      <c r="AR113" s="19"/>
      <c r="AS113" s="19">
        <v>0</v>
      </c>
      <c r="AT113" s="19">
        <f t="shared" si="240"/>
        <v>0</v>
      </c>
      <c r="AU113" s="19">
        <f t="shared" si="241"/>
        <v>0</v>
      </c>
      <c r="AV113" s="19">
        <f t="shared" si="242"/>
        <v>0</v>
      </c>
      <c r="AW113" s="16">
        <f t="shared" si="243"/>
        <v>0</v>
      </c>
      <c r="AX113" s="16">
        <f t="shared" si="244"/>
        <v>0</v>
      </c>
      <c r="AY113" s="16">
        <f t="shared" si="245"/>
        <v>0</v>
      </c>
      <c r="AZ113" s="21">
        <v>1000</v>
      </c>
      <c r="BA113" s="21">
        <v>200</v>
      </c>
      <c r="BB113" s="21">
        <v>0</v>
      </c>
      <c r="BC113" s="19">
        <f t="shared" si="246"/>
        <v>0</v>
      </c>
      <c r="BD113" s="19">
        <f t="shared" si="247"/>
        <v>0</v>
      </c>
      <c r="BE113" s="19">
        <f t="shared" si="248"/>
        <v>0</v>
      </c>
      <c r="BF113" s="19">
        <f t="shared" si="249"/>
        <v>0</v>
      </c>
      <c r="BG113" s="19">
        <f t="shared" si="250"/>
        <v>0</v>
      </c>
      <c r="BH113" s="19">
        <f t="shared" si="251"/>
        <v>0</v>
      </c>
      <c r="BI113" s="19">
        <v>0</v>
      </c>
      <c r="BJ113" s="19">
        <f t="shared" si="252"/>
        <v>0</v>
      </c>
      <c r="BK113" s="19">
        <v>0</v>
      </c>
      <c r="BL113" s="19">
        <v>0</v>
      </c>
      <c r="BM113" s="19">
        <f t="shared" si="253"/>
        <v>0</v>
      </c>
      <c r="BN113" s="19">
        <f t="shared" si="254"/>
        <v>0</v>
      </c>
      <c r="BO113" s="19">
        <v>0</v>
      </c>
      <c r="BP113" s="19">
        <v>0</v>
      </c>
      <c r="BQ113" s="22">
        <f t="shared" si="255"/>
        <v>0</v>
      </c>
      <c r="BR113" s="82">
        <f t="shared" si="256"/>
        <v>0</v>
      </c>
      <c r="BS113" s="19">
        <f t="shared" si="257"/>
        <v>0</v>
      </c>
      <c r="BT113" s="19">
        <f t="shared" si="258"/>
        <v>0</v>
      </c>
      <c r="BU113" s="19">
        <f t="shared" si="259"/>
        <v>0</v>
      </c>
      <c r="BV113" s="19">
        <f t="shared" si="260"/>
        <v>0</v>
      </c>
      <c r="BW113" s="19">
        <f t="shared" si="261"/>
        <v>0</v>
      </c>
      <c r="BX113" s="19">
        <f t="shared" si="262"/>
        <v>0</v>
      </c>
      <c r="BY113" s="19">
        <f t="shared" si="263"/>
        <v>0</v>
      </c>
      <c r="BZ113" s="19">
        <f t="shared" si="264"/>
        <v>0</v>
      </c>
      <c r="CA113" s="19">
        <f t="shared" si="265"/>
        <v>0</v>
      </c>
      <c r="CB113" s="19">
        <f t="shared" si="266"/>
        <v>0</v>
      </c>
      <c r="CC113" s="19">
        <f t="shared" si="267"/>
        <v>0</v>
      </c>
      <c r="CD113" s="19">
        <f t="shared" si="268"/>
        <v>0</v>
      </c>
      <c r="CE113" s="19">
        <f t="shared" si="269"/>
        <v>0</v>
      </c>
      <c r="CF113" s="19">
        <f t="shared" si="270"/>
        <v>0</v>
      </c>
      <c r="CG113" s="19">
        <f t="shared" si="271"/>
        <v>0</v>
      </c>
      <c r="CH113" s="19">
        <f t="shared" si="272"/>
        <v>0</v>
      </c>
      <c r="CI113" s="19">
        <f t="shared" si="273"/>
        <v>0</v>
      </c>
      <c r="CJ113" s="19">
        <f t="shared" si="274"/>
        <v>0</v>
      </c>
      <c r="CK113" s="19">
        <f t="shared" si="275"/>
        <v>0</v>
      </c>
      <c r="CL113" s="19">
        <f t="shared" si="276"/>
        <v>0</v>
      </c>
      <c r="CM113" s="19">
        <f t="shared" si="277"/>
        <v>0</v>
      </c>
      <c r="CN113" s="19">
        <f t="shared" si="278"/>
        <v>0</v>
      </c>
      <c r="CO113" s="19">
        <f t="shared" si="279"/>
        <v>0</v>
      </c>
      <c r="CP113" s="19">
        <f t="shared" si="280"/>
        <v>0</v>
      </c>
      <c r="CQ113" s="19">
        <f t="shared" si="281"/>
        <v>0</v>
      </c>
      <c r="CR113" s="19">
        <f t="shared" si="282"/>
        <v>0</v>
      </c>
      <c r="CS113" s="19">
        <f t="shared" si="283"/>
        <v>0</v>
      </c>
      <c r="CT113" s="19">
        <f t="shared" si="284"/>
        <v>0</v>
      </c>
      <c r="CU113" s="19">
        <f t="shared" si="285"/>
        <v>0</v>
      </c>
      <c r="CV113" s="19">
        <f t="shared" si="286"/>
        <v>0</v>
      </c>
      <c r="CW113" s="19">
        <f t="shared" si="287"/>
        <v>0</v>
      </c>
      <c r="CX113" s="19">
        <f t="shared" si="288"/>
        <v>0</v>
      </c>
      <c r="CY113" s="19">
        <f t="shared" si="289"/>
        <v>0</v>
      </c>
      <c r="CZ113" s="19">
        <f t="shared" si="290"/>
        <v>0</v>
      </c>
      <c r="DA113" s="19">
        <f t="shared" si="291"/>
        <v>0</v>
      </c>
      <c r="DB113" s="19">
        <f t="shared" si="292"/>
        <v>0</v>
      </c>
      <c r="DC113" s="19">
        <f t="shared" si="293"/>
        <v>0</v>
      </c>
      <c r="DD113" s="19">
        <f t="shared" si="294"/>
        <v>0</v>
      </c>
      <c r="DE113" s="19">
        <f t="shared" si="295"/>
        <v>0</v>
      </c>
      <c r="DF113" s="19">
        <f t="shared" si="296"/>
        <v>0</v>
      </c>
      <c r="DG113" s="19">
        <f t="shared" si="297"/>
        <v>0</v>
      </c>
      <c r="DH113" s="19">
        <f t="shared" si="298"/>
        <v>0</v>
      </c>
      <c r="DI113" s="19">
        <f t="shared" si="299"/>
        <v>0</v>
      </c>
      <c r="DJ113" s="19">
        <f t="shared" si="300"/>
        <v>0</v>
      </c>
      <c r="DK113" s="19">
        <f t="shared" si="301"/>
        <v>0</v>
      </c>
      <c r="DL113" s="19">
        <f t="shared" si="302"/>
        <v>0</v>
      </c>
      <c r="DM113" s="19">
        <f t="shared" si="303"/>
        <v>0</v>
      </c>
      <c r="DN113" s="19">
        <f t="shared" si="304"/>
        <v>0</v>
      </c>
      <c r="DO113" s="19">
        <f t="shared" si="305"/>
        <v>0</v>
      </c>
      <c r="DP113" s="19">
        <f t="shared" si="306"/>
        <v>0</v>
      </c>
      <c r="DQ113" s="19">
        <f t="shared" si="307"/>
        <v>0</v>
      </c>
      <c r="DR113" s="19">
        <f t="shared" si="308"/>
        <v>0</v>
      </c>
      <c r="DS113" s="19">
        <f t="shared" si="309"/>
        <v>0</v>
      </c>
      <c r="DT113" s="19">
        <f t="shared" si="310"/>
        <v>0</v>
      </c>
      <c r="DU113" s="19">
        <f t="shared" si="311"/>
        <v>0</v>
      </c>
      <c r="DV113" s="19">
        <f t="shared" si="312"/>
        <v>0</v>
      </c>
      <c r="DW113" s="19">
        <f t="shared" si="313"/>
        <v>0</v>
      </c>
      <c r="DX113" s="19">
        <f t="shared" si="314"/>
        <v>0</v>
      </c>
      <c r="DY113" s="19">
        <f t="shared" si="315"/>
        <v>0</v>
      </c>
      <c r="DZ113" s="19">
        <f t="shared" si="316"/>
        <v>0</v>
      </c>
      <c r="EA113" s="19">
        <f t="shared" si="317"/>
        <v>0</v>
      </c>
      <c r="EB113" s="19">
        <f t="shared" si="318"/>
        <v>0</v>
      </c>
      <c r="EC113" s="19">
        <f t="shared" si="319"/>
        <v>0</v>
      </c>
      <c r="ED113" s="106" t="s">
        <v>474</v>
      </c>
    </row>
    <row r="114" spans="1:134" s="78" customFormat="1" ht="18" customHeight="1" x14ac:dyDescent="0.25">
      <c r="A114" s="27">
        <v>111</v>
      </c>
      <c r="B114" s="123" t="s">
        <v>68</v>
      </c>
      <c r="C114" s="104" t="s">
        <v>69</v>
      </c>
      <c r="D114" s="103" t="s">
        <v>61</v>
      </c>
      <c r="E114" s="18">
        <v>44904</v>
      </c>
      <c r="F114" s="19" t="s">
        <v>473</v>
      </c>
      <c r="G114" s="19" t="s">
        <v>473</v>
      </c>
      <c r="H114" s="19" t="s">
        <v>473</v>
      </c>
      <c r="I114" s="19" t="s">
        <v>473</v>
      </c>
      <c r="J114" s="19" t="s">
        <v>473</v>
      </c>
      <c r="K114" s="19" t="s">
        <v>473</v>
      </c>
      <c r="L114" s="19" t="s">
        <v>473</v>
      </c>
      <c r="M114" s="19" t="s">
        <v>473</v>
      </c>
      <c r="N114" s="19" t="s">
        <v>473</v>
      </c>
      <c r="O114" s="19" t="s">
        <v>473</v>
      </c>
      <c r="P114" s="19" t="s">
        <v>473</v>
      </c>
      <c r="Q114" s="19" t="s">
        <v>473</v>
      </c>
      <c r="R114" s="19" t="s">
        <v>473</v>
      </c>
      <c r="S114" s="19" t="s">
        <v>473</v>
      </c>
      <c r="T114" s="19" t="s">
        <v>473</v>
      </c>
      <c r="U114" s="19" t="s">
        <v>473</v>
      </c>
      <c r="V114" s="19" t="s">
        <v>473</v>
      </c>
      <c r="W114" s="19" t="s">
        <v>473</v>
      </c>
      <c r="X114" s="19" t="s">
        <v>473</v>
      </c>
      <c r="Y114" s="19" t="s">
        <v>473</v>
      </c>
      <c r="Z114" s="19" t="s">
        <v>473</v>
      </c>
      <c r="AA114" s="19" t="s">
        <v>473</v>
      </c>
      <c r="AB114" s="19" t="s">
        <v>473</v>
      </c>
      <c r="AC114" s="19" t="s">
        <v>473</v>
      </c>
      <c r="AD114" s="19" t="s">
        <v>473</v>
      </c>
      <c r="AE114" s="19" t="s">
        <v>473</v>
      </c>
      <c r="AF114" s="19" t="s">
        <v>473</v>
      </c>
      <c r="AG114" s="19" t="s">
        <v>473</v>
      </c>
      <c r="AH114" s="19" t="s">
        <v>473</v>
      </c>
      <c r="AI114" s="19" t="s">
        <v>473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/>
      <c r="AQ114" s="19"/>
      <c r="AR114" s="19"/>
      <c r="AS114" s="19">
        <v>0</v>
      </c>
      <c r="AT114" s="19">
        <f t="shared" si="240"/>
        <v>0</v>
      </c>
      <c r="AU114" s="19">
        <f t="shared" si="241"/>
        <v>0</v>
      </c>
      <c r="AV114" s="19">
        <f t="shared" si="242"/>
        <v>0</v>
      </c>
      <c r="AW114" s="16">
        <f t="shared" si="243"/>
        <v>0</v>
      </c>
      <c r="AX114" s="16">
        <f t="shared" si="244"/>
        <v>0</v>
      </c>
      <c r="AY114" s="16">
        <f t="shared" si="245"/>
        <v>0</v>
      </c>
      <c r="AZ114" s="21">
        <v>1100</v>
      </c>
      <c r="BA114" s="21">
        <v>200</v>
      </c>
      <c r="BB114" s="21">
        <v>0</v>
      </c>
      <c r="BC114" s="19">
        <f t="shared" si="246"/>
        <v>0</v>
      </c>
      <c r="BD114" s="19">
        <f t="shared" si="247"/>
        <v>0</v>
      </c>
      <c r="BE114" s="19">
        <f t="shared" si="248"/>
        <v>0</v>
      </c>
      <c r="BF114" s="19">
        <f t="shared" si="249"/>
        <v>0</v>
      </c>
      <c r="BG114" s="19">
        <f t="shared" si="250"/>
        <v>0</v>
      </c>
      <c r="BH114" s="19">
        <f t="shared" si="251"/>
        <v>0</v>
      </c>
      <c r="BI114" s="19">
        <v>0</v>
      </c>
      <c r="BJ114" s="19">
        <f t="shared" si="252"/>
        <v>0</v>
      </c>
      <c r="BK114" s="19">
        <v>0</v>
      </c>
      <c r="BL114" s="19">
        <v>0</v>
      </c>
      <c r="BM114" s="19">
        <f t="shared" si="253"/>
        <v>0</v>
      </c>
      <c r="BN114" s="19">
        <f t="shared" si="254"/>
        <v>0</v>
      </c>
      <c r="BO114" s="19">
        <v>0</v>
      </c>
      <c r="BP114" s="19">
        <v>0</v>
      </c>
      <c r="BQ114" s="22">
        <f t="shared" si="255"/>
        <v>0</v>
      </c>
      <c r="BR114" s="82">
        <f t="shared" si="256"/>
        <v>0</v>
      </c>
      <c r="BS114" s="19">
        <f t="shared" si="257"/>
        <v>0</v>
      </c>
      <c r="BT114" s="19">
        <f t="shared" si="258"/>
        <v>0</v>
      </c>
      <c r="BU114" s="19">
        <f t="shared" si="259"/>
        <v>0</v>
      </c>
      <c r="BV114" s="19">
        <f t="shared" si="260"/>
        <v>0</v>
      </c>
      <c r="BW114" s="19">
        <f t="shared" si="261"/>
        <v>0</v>
      </c>
      <c r="BX114" s="19">
        <f t="shared" si="262"/>
        <v>0</v>
      </c>
      <c r="BY114" s="19">
        <f t="shared" si="263"/>
        <v>0</v>
      </c>
      <c r="BZ114" s="19">
        <f t="shared" si="264"/>
        <v>0</v>
      </c>
      <c r="CA114" s="19">
        <f t="shared" si="265"/>
        <v>0</v>
      </c>
      <c r="CB114" s="19">
        <f t="shared" si="266"/>
        <v>0</v>
      </c>
      <c r="CC114" s="19">
        <f t="shared" si="267"/>
        <v>0</v>
      </c>
      <c r="CD114" s="19">
        <f t="shared" si="268"/>
        <v>0</v>
      </c>
      <c r="CE114" s="19">
        <f t="shared" si="269"/>
        <v>0</v>
      </c>
      <c r="CF114" s="19">
        <f t="shared" si="270"/>
        <v>0</v>
      </c>
      <c r="CG114" s="19">
        <f t="shared" si="271"/>
        <v>0</v>
      </c>
      <c r="CH114" s="19">
        <f t="shared" si="272"/>
        <v>0</v>
      </c>
      <c r="CI114" s="19">
        <f t="shared" si="273"/>
        <v>0</v>
      </c>
      <c r="CJ114" s="19">
        <f t="shared" si="274"/>
        <v>0</v>
      </c>
      <c r="CK114" s="19">
        <f t="shared" si="275"/>
        <v>0</v>
      </c>
      <c r="CL114" s="19">
        <f t="shared" si="276"/>
        <v>0</v>
      </c>
      <c r="CM114" s="19">
        <f t="shared" si="277"/>
        <v>0</v>
      </c>
      <c r="CN114" s="19">
        <f t="shared" si="278"/>
        <v>0</v>
      </c>
      <c r="CO114" s="19">
        <f t="shared" si="279"/>
        <v>0</v>
      </c>
      <c r="CP114" s="19">
        <f t="shared" si="280"/>
        <v>0</v>
      </c>
      <c r="CQ114" s="19">
        <f t="shared" si="281"/>
        <v>0</v>
      </c>
      <c r="CR114" s="19">
        <f t="shared" si="282"/>
        <v>0</v>
      </c>
      <c r="CS114" s="19">
        <f t="shared" si="283"/>
        <v>0</v>
      </c>
      <c r="CT114" s="19">
        <f t="shared" si="284"/>
        <v>0</v>
      </c>
      <c r="CU114" s="19">
        <f t="shared" si="285"/>
        <v>0</v>
      </c>
      <c r="CV114" s="19">
        <f t="shared" si="286"/>
        <v>0</v>
      </c>
      <c r="CW114" s="19">
        <f t="shared" si="287"/>
        <v>0</v>
      </c>
      <c r="CX114" s="19">
        <f t="shared" si="288"/>
        <v>0</v>
      </c>
      <c r="CY114" s="19">
        <f t="shared" si="289"/>
        <v>0</v>
      </c>
      <c r="CZ114" s="19">
        <f t="shared" si="290"/>
        <v>0</v>
      </c>
      <c r="DA114" s="19">
        <f t="shared" si="291"/>
        <v>0</v>
      </c>
      <c r="DB114" s="19">
        <f t="shared" si="292"/>
        <v>0</v>
      </c>
      <c r="DC114" s="19">
        <f t="shared" si="293"/>
        <v>0</v>
      </c>
      <c r="DD114" s="19">
        <f t="shared" si="294"/>
        <v>0</v>
      </c>
      <c r="DE114" s="19">
        <f t="shared" si="295"/>
        <v>0</v>
      </c>
      <c r="DF114" s="19">
        <f t="shared" si="296"/>
        <v>0</v>
      </c>
      <c r="DG114" s="19">
        <f t="shared" si="297"/>
        <v>0</v>
      </c>
      <c r="DH114" s="19">
        <f t="shared" si="298"/>
        <v>0</v>
      </c>
      <c r="DI114" s="19">
        <f t="shared" si="299"/>
        <v>0</v>
      </c>
      <c r="DJ114" s="19">
        <f t="shared" si="300"/>
        <v>0</v>
      </c>
      <c r="DK114" s="19">
        <f t="shared" si="301"/>
        <v>0</v>
      </c>
      <c r="DL114" s="19">
        <f t="shared" si="302"/>
        <v>0</v>
      </c>
      <c r="DM114" s="19">
        <f t="shared" si="303"/>
        <v>0</v>
      </c>
      <c r="DN114" s="19">
        <f t="shared" si="304"/>
        <v>0</v>
      </c>
      <c r="DO114" s="19">
        <f t="shared" si="305"/>
        <v>0</v>
      </c>
      <c r="DP114" s="19">
        <f t="shared" si="306"/>
        <v>0</v>
      </c>
      <c r="DQ114" s="19">
        <f t="shared" si="307"/>
        <v>0</v>
      </c>
      <c r="DR114" s="19">
        <f t="shared" si="308"/>
        <v>0</v>
      </c>
      <c r="DS114" s="19">
        <f t="shared" si="309"/>
        <v>0</v>
      </c>
      <c r="DT114" s="19">
        <f t="shared" si="310"/>
        <v>0</v>
      </c>
      <c r="DU114" s="19">
        <f t="shared" si="311"/>
        <v>0</v>
      </c>
      <c r="DV114" s="19">
        <f t="shared" si="312"/>
        <v>0</v>
      </c>
      <c r="DW114" s="19">
        <f t="shared" si="313"/>
        <v>0</v>
      </c>
      <c r="DX114" s="19">
        <f t="shared" si="314"/>
        <v>0</v>
      </c>
      <c r="DY114" s="19">
        <f t="shared" si="315"/>
        <v>0</v>
      </c>
      <c r="DZ114" s="19">
        <f t="shared" si="316"/>
        <v>0</v>
      </c>
      <c r="EA114" s="19">
        <f t="shared" si="317"/>
        <v>0</v>
      </c>
      <c r="EB114" s="19">
        <f t="shared" si="318"/>
        <v>0</v>
      </c>
      <c r="EC114" s="19">
        <f t="shared" si="319"/>
        <v>0</v>
      </c>
      <c r="ED114" s="106" t="s">
        <v>474</v>
      </c>
    </row>
    <row r="115" spans="1:134" s="78" customFormat="1" ht="18" customHeight="1" x14ac:dyDescent="0.25">
      <c r="A115" s="27">
        <v>112</v>
      </c>
      <c r="B115" s="123" t="s">
        <v>70</v>
      </c>
      <c r="C115" s="104" t="s">
        <v>71</v>
      </c>
      <c r="D115" s="103" t="s">
        <v>61</v>
      </c>
      <c r="E115" s="18">
        <v>44903</v>
      </c>
      <c r="F115" s="19" t="s">
        <v>473</v>
      </c>
      <c r="G115" s="19" t="s">
        <v>473</v>
      </c>
      <c r="H115" s="19" t="s">
        <v>473</v>
      </c>
      <c r="I115" s="19" t="s">
        <v>473</v>
      </c>
      <c r="J115" s="19" t="s">
        <v>473</v>
      </c>
      <c r="K115" s="19" t="s">
        <v>473</v>
      </c>
      <c r="L115" s="19" t="s">
        <v>473</v>
      </c>
      <c r="M115" s="19" t="s">
        <v>473</v>
      </c>
      <c r="N115" s="19" t="s">
        <v>473</v>
      </c>
      <c r="O115" s="19" t="s">
        <v>473</v>
      </c>
      <c r="P115" s="19" t="s">
        <v>473</v>
      </c>
      <c r="Q115" s="19" t="s">
        <v>473</v>
      </c>
      <c r="R115" s="19" t="s">
        <v>473</v>
      </c>
      <c r="S115" s="19" t="s">
        <v>473</v>
      </c>
      <c r="T115" s="19" t="s">
        <v>473</v>
      </c>
      <c r="U115" s="19" t="s">
        <v>473</v>
      </c>
      <c r="V115" s="19" t="s">
        <v>473</v>
      </c>
      <c r="W115" s="19" t="s">
        <v>473</v>
      </c>
      <c r="X115" s="19" t="s">
        <v>473</v>
      </c>
      <c r="Y115" s="19" t="s">
        <v>473</v>
      </c>
      <c r="Z115" s="19" t="s">
        <v>473</v>
      </c>
      <c r="AA115" s="19" t="s">
        <v>473</v>
      </c>
      <c r="AB115" s="19" t="s">
        <v>473</v>
      </c>
      <c r="AC115" s="19" t="s">
        <v>473</v>
      </c>
      <c r="AD115" s="19" t="s">
        <v>473</v>
      </c>
      <c r="AE115" s="19" t="s">
        <v>473</v>
      </c>
      <c r="AF115" s="19" t="s">
        <v>473</v>
      </c>
      <c r="AG115" s="19" t="s">
        <v>473</v>
      </c>
      <c r="AH115" s="19" t="s">
        <v>473</v>
      </c>
      <c r="AI115" s="19" t="s">
        <v>473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/>
      <c r="AQ115" s="19"/>
      <c r="AR115" s="19"/>
      <c r="AS115" s="19">
        <v>0</v>
      </c>
      <c r="AT115" s="19">
        <f t="shared" si="240"/>
        <v>0</v>
      </c>
      <c r="AU115" s="19">
        <f t="shared" si="241"/>
        <v>0</v>
      </c>
      <c r="AV115" s="19">
        <f t="shared" si="242"/>
        <v>0</v>
      </c>
      <c r="AW115" s="16">
        <f t="shared" si="243"/>
        <v>0</v>
      </c>
      <c r="AX115" s="16">
        <f t="shared" si="244"/>
        <v>0</v>
      </c>
      <c r="AY115" s="16">
        <f t="shared" si="245"/>
        <v>0</v>
      </c>
      <c r="AZ115" s="21">
        <v>1000</v>
      </c>
      <c r="BA115" s="21">
        <v>200</v>
      </c>
      <c r="BB115" s="21">
        <v>0</v>
      </c>
      <c r="BC115" s="19">
        <f t="shared" si="246"/>
        <v>0</v>
      </c>
      <c r="BD115" s="19">
        <f t="shared" si="247"/>
        <v>0</v>
      </c>
      <c r="BE115" s="19">
        <f t="shared" si="248"/>
        <v>0</v>
      </c>
      <c r="BF115" s="19">
        <f t="shared" si="249"/>
        <v>0</v>
      </c>
      <c r="BG115" s="19">
        <f t="shared" si="250"/>
        <v>0</v>
      </c>
      <c r="BH115" s="19">
        <f t="shared" si="251"/>
        <v>0</v>
      </c>
      <c r="BI115" s="19">
        <v>0</v>
      </c>
      <c r="BJ115" s="19">
        <f t="shared" si="252"/>
        <v>0</v>
      </c>
      <c r="BK115" s="19">
        <v>0</v>
      </c>
      <c r="BL115" s="19">
        <v>0</v>
      </c>
      <c r="BM115" s="19">
        <f t="shared" si="253"/>
        <v>0</v>
      </c>
      <c r="BN115" s="19">
        <f t="shared" si="254"/>
        <v>0</v>
      </c>
      <c r="BO115" s="19">
        <v>0</v>
      </c>
      <c r="BP115" s="19">
        <v>0</v>
      </c>
      <c r="BQ115" s="22">
        <f t="shared" si="255"/>
        <v>0</v>
      </c>
      <c r="BR115" s="82">
        <f t="shared" si="256"/>
        <v>0</v>
      </c>
      <c r="BS115" s="19">
        <f t="shared" si="257"/>
        <v>0</v>
      </c>
      <c r="BT115" s="19">
        <f t="shared" si="258"/>
        <v>0</v>
      </c>
      <c r="BU115" s="19">
        <f t="shared" si="259"/>
        <v>0</v>
      </c>
      <c r="BV115" s="19">
        <f t="shared" si="260"/>
        <v>0</v>
      </c>
      <c r="BW115" s="19">
        <f t="shared" si="261"/>
        <v>0</v>
      </c>
      <c r="BX115" s="19">
        <f t="shared" si="262"/>
        <v>0</v>
      </c>
      <c r="BY115" s="19">
        <f t="shared" si="263"/>
        <v>0</v>
      </c>
      <c r="BZ115" s="19">
        <f t="shared" si="264"/>
        <v>0</v>
      </c>
      <c r="CA115" s="19">
        <f t="shared" si="265"/>
        <v>0</v>
      </c>
      <c r="CB115" s="19">
        <f t="shared" si="266"/>
        <v>0</v>
      </c>
      <c r="CC115" s="19">
        <f t="shared" si="267"/>
        <v>0</v>
      </c>
      <c r="CD115" s="19">
        <f t="shared" si="268"/>
        <v>0</v>
      </c>
      <c r="CE115" s="19">
        <f t="shared" si="269"/>
        <v>0</v>
      </c>
      <c r="CF115" s="19">
        <f t="shared" si="270"/>
        <v>0</v>
      </c>
      <c r="CG115" s="19">
        <f t="shared" si="271"/>
        <v>0</v>
      </c>
      <c r="CH115" s="19">
        <f t="shared" si="272"/>
        <v>0</v>
      </c>
      <c r="CI115" s="19">
        <f t="shared" si="273"/>
        <v>0</v>
      </c>
      <c r="CJ115" s="19">
        <f t="shared" si="274"/>
        <v>0</v>
      </c>
      <c r="CK115" s="19">
        <f t="shared" si="275"/>
        <v>0</v>
      </c>
      <c r="CL115" s="19">
        <f t="shared" si="276"/>
        <v>0</v>
      </c>
      <c r="CM115" s="19">
        <f t="shared" si="277"/>
        <v>0</v>
      </c>
      <c r="CN115" s="19">
        <f t="shared" si="278"/>
        <v>0</v>
      </c>
      <c r="CO115" s="19">
        <f t="shared" si="279"/>
        <v>0</v>
      </c>
      <c r="CP115" s="19">
        <f t="shared" si="280"/>
        <v>0</v>
      </c>
      <c r="CQ115" s="19">
        <f t="shared" si="281"/>
        <v>0</v>
      </c>
      <c r="CR115" s="19">
        <f t="shared" si="282"/>
        <v>0</v>
      </c>
      <c r="CS115" s="19">
        <f t="shared" si="283"/>
        <v>0</v>
      </c>
      <c r="CT115" s="19">
        <f t="shared" si="284"/>
        <v>0</v>
      </c>
      <c r="CU115" s="19">
        <f t="shared" si="285"/>
        <v>0</v>
      </c>
      <c r="CV115" s="19">
        <f t="shared" si="286"/>
        <v>0</v>
      </c>
      <c r="CW115" s="19">
        <f t="shared" si="287"/>
        <v>0</v>
      </c>
      <c r="CX115" s="19">
        <f t="shared" si="288"/>
        <v>0</v>
      </c>
      <c r="CY115" s="19">
        <f t="shared" si="289"/>
        <v>0</v>
      </c>
      <c r="CZ115" s="19">
        <f t="shared" si="290"/>
        <v>0</v>
      </c>
      <c r="DA115" s="19">
        <f t="shared" si="291"/>
        <v>0</v>
      </c>
      <c r="DB115" s="19">
        <f t="shared" si="292"/>
        <v>0</v>
      </c>
      <c r="DC115" s="19">
        <f t="shared" si="293"/>
        <v>0</v>
      </c>
      <c r="DD115" s="19">
        <f t="shared" si="294"/>
        <v>0</v>
      </c>
      <c r="DE115" s="19">
        <f t="shared" si="295"/>
        <v>0</v>
      </c>
      <c r="DF115" s="19">
        <f t="shared" si="296"/>
        <v>0</v>
      </c>
      <c r="DG115" s="19">
        <f t="shared" si="297"/>
        <v>0</v>
      </c>
      <c r="DH115" s="19">
        <f t="shared" si="298"/>
        <v>0</v>
      </c>
      <c r="DI115" s="19">
        <f t="shared" si="299"/>
        <v>0</v>
      </c>
      <c r="DJ115" s="19">
        <f t="shared" si="300"/>
        <v>0</v>
      </c>
      <c r="DK115" s="19">
        <f t="shared" si="301"/>
        <v>0</v>
      </c>
      <c r="DL115" s="19">
        <f t="shared" si="302"/>
        <v>0</v>
      </c>
      <c r="DM115" s="19">
        <f t="shared" si="303"/>
        <v>0</v>
      </c>
      <c r="DN115" s="19">
        <f t="shared" si="304"/>
        <v>0</v>
      </c>
      <c r="DO115" s="19">
        <f t="shared" si="305"/>
        <v>0</v>
      </c>
      <c r="DP115" s="19">
        <f t="shared" si="306"/>
        <v>0</v>
      </c>
      <c r="DQ115" s="19">
        <f t="shared" si="307"/>
        <v>0</v>
      </c>
      <c r="DR115" s="19">
        <f t="shared" si="308"/>
        <v>0</v>
      </c>
      <c r="DS115" s="19">
        <f t="shared" si="309"/>
        <v>0</v>
      </c>
      <c r="DT115" s="19">
        <f t="shared" si="310"/>
        <v>0</v>
      </c>
      <c r="DU115" s="19">
        <f t="shared" si="311"/>
        <v>0</v>
      </c>
      <c r="DV115" s="19">
        <f t="shared" si="312"/>
        <v>0</v>
      </c>
      <c r="DW115" s="19">
        <f t="shared" si="313"/>
        <v>0</v>
      </c>
      <c r="DX115" s="19">
        <f t="shared" si="314"/>
        <v>0</v>
      </c>
      <c r="DY115" s="19">
        <f t="shared" si="315"/>
        <v>0</v>
      </c>
      <c r="DZ115" s="19">
        <f t="shared" si="316"/>
        <v>0</v>
      </c>
      <c r="EA115" s="19">
        <f t="shared" si="317"/>
        <v>0</v>
      </c>
      <c r="EB115" s="19">
        <f t="shared" si="318"/>
        <v>0</v>
      </c>
      <c r="EC115" s="19">
        <f t="shared" si="319"/>
        <v>0</v>
      </c>
      <c r="ED115" s="106" t="s">
        <v>474</v>
      </c>
    </row>
    <row r="116" spans="1:134" s="78" customFormat="1" ht="18" customHeight="1" x14ac:dyDescent="0.25">
      <c r="A116" s="27">
        <v>113</v>
      </c>
      <c r="B116" s="124" t="s">
        <v>94</v>
      </c>
      <c r="C116" s="104" t="s">
        <v>95</v>
      </c>
      <c r="D116" s="103" t="s">
        <v>61</v>
      </c>
      <c r="E116" s="18">
        <v>44970</v>
      </c>
      <c r="F116" s="19" t="s">
        <v>473</v>
      </c>
      <c r="G116" s="19" t="s">
        <v>473</v>
      </c>
      <c r="H116" s="19" t="s">
        <v>473</v>
      </c>
      <c r="I116" s="19" t="s">
        <v>473</v>
      </c>
      <c r="J116" s="19" t="s">
        <v>473</v>
      </c>
      <c r="K116" s="19" t="s">
        <v>473</v>
      </c>
      <c r="L116" s="19" t="s">
        <v>473</v>
      </c>
      <c r="M116" s="19" t="s">
        <v>473</v>
      </c>
      <c r="N116" s="19" t="s">
        <v>473</v>
      </c>
      <c r="O116" s="19" t="s">
        <v>473</v>
      </c>
      <c r="P116" s="19" t="s">
        <v>473</v>
      </c>
      <c r="Q116" s="19" t="s">
        <v>473</v>
      </c>
      <c r="R116" s="19" t="s">
        <v>473</v>
      </c>
      <c r="S116" s="19" t="s">
        <v>473</v>
      </c>
      <c r="T116" s="19" t="s">
        <v>473</v>
      </c>
      <c r="U116" s="19" t="s">
        <v>473</v>
      </c>
      <c r="V116" s="19" t="s">
        <v>473</v>
      </c>
      <c r="W116" s="19" t="s">
        <v>473</v>
      </c>
      <c r="X116" s="19" t="s">
        <v>473</v>
      </c>
      <c r="Y116" s="19" t="s">
        <v>473</v>
      </c>
      <c r="Z116" s="19" t="s">
        <v>473</v>
      </c>
      <c r="AA116" s="19" t="s">
        <v>473</v>
      </c>
      <c r="AB116" s="19" t="s">
        <v>473</v>
      </c>
      <c r="AC116" s="19" t="s">
        <v>473</v>
      </c>
      <c r="AD116" s="19" t="s">
        <v>473</v>
      </c>
      <c r="AE116" s="19" t="s">
        <v>473</v>
      </c>
      <c r="AF116" s="19" t="s">
        <v>473</v>
      </c>
      <c r="AG116" s="19" t="s">
        <v>473</v>
      </c>
      <c r="AH116" s="19" t="s">
        <v>473</v>
      </c>
      <c r="AI116" s="19" t="s">
        <v>473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/>
      <c r="AQ116" s="19"/>
      <c r="AR116" s="19"/>
      <c r="AS116" s="19">
        <v>0</v>
      </c>
      <c r="AT116" s="19">
        <f t="shared" si="240"/>
        <v>0</v>
      </c>
      <c r="AU116" s="19">
        <f t="shared" si="241"/>
        <v>0</v>
      </c>
      <c r="AV116" s="19">
        <f t="shared" si="242"/>
        <v>0</v>
      </c>
      <c r="AW116" s="16">
        <f t="shared" si="243"/>
        <v>0</v>
      </c>
      <c r="AX116" s="16">
        <f t="shared" si="244"/>
        <v>0</v>
      </c>
      <c r="AY116" s="16">
        <f t="shared" si="245"/>
        <v>0</v>
      </c>
      <c r="AZ116" s="21">
        <v>1050</v>
      </c>
      <c r="BA116" s="21">
        <v>200</v>
      </c>
      <c r="BB116" s="21">
        <v>0</v>
      </c>
      <c r="BC116" s="19">
        <f t="shared" si="246"/>
        <v>0</v>
      </c>
      <c r="BD116" s="19">
        <f t="shared" si="247"/>
        <v>0</v>
      </c>
      <c r="BE116" s="19">
        <f t="shared" si="248"/>
        <v>0</v>
      </c>
      <c r="BF116" s="19">
        <f t="shared" si="249"/>
        <v>0</v>
      </c>
      <c r="BG116" s="19">
        <f t="shared" si="250"/>
        <v>0</v>
      </c>
      <c r="BH116" s="19">
        <f t="shared" si="251"/>
        <v>0</v>
      </c>
      <c r="BI116" s="19">
        <v>0</v>
      </c>
      <c r="BJ116" s="19">
        <f t="shared" si="252"/>
        <v>0</v>
      </c>
      <c r="BK116" s="19">
        <v>0</v>
      </c>
      <c r="BL116" s="19">
        <v>0</v>
      </c>
      <c r="BM116" s="19">
        <f t="shared" si="253"/>
        <v>0</v>
      </c>
      <c r="BN116" s="19">
        <f t="shared" si="254"/>
        <v>0</v>
      </c>
      <c r="BO116" s="19">
        <v>0</v>
      </c>
      <c r="BP116" s="19">
        <v>0</v>
      </c>
      <c r="BQ116" s="22">
        <f t="shared" si="255"/>
        <v>0</v>
      </c>
      <c r="BR116" s="82">
        <f t="shared" si="256"/>
        <v>0</v>
      </c>
      <c r="BS116" s="19">
        <f t="shared" si="257"/>
        <v>0</v>
      </c>
      <c r="BT116" s="19">
        <f t="shared" si="258"/>
        <v>0</v>
      </c>
      <c r="BU116" s="19">
        <f t="shared" si="259"/>
        <v>0</v>
      </c>
      <c r="BV116" s="19">
        <f t="shared" si="260"/>
        <v>0</v>
      </c>
      <c r="BW116" s="19">
        <f t="shared" si="261"/>
        <v>0</v>
      </c>
      <c r="BX116" s="19">
        <f t="shared" si="262"/>
        <v>0</v>
      </c>
      <c r="BY116" s="19">
        <f t="shared" si="263"/>
        <v>0</v>
      </c>
      <c r="BZ116" s="19">
        <f t="shared" si="264"/>
        <v>0</v>
      </c>
      <c r="CA116" s="19">
        <f t="shared" si="265"/>
        <v>0</v>
      </c>
      <c r="CB116" s="19">
        <f t="shared" si="266"/>
        <v>0</v>
      </c>
      <c r="CC116" s="19">
        <f t="shared" si="267"/>
        <v>0</v>
      </c>
      <c r="CD116" s="19">
        <f t="shared" si="268"/>
        <v>0</v>
      </c>
      <c r="CE116" s="19">
        <f t="shared" si="269"/>
        <v>0</v>
      </c>
      <c r="CF116" s="19">
        <f t="shared" si="270"/>
        <v>0</v>
      </c>
      <c r="CG116" s="19">
        <f t="shared" si="271"/>
        <v>0</v>
      </c>
      <c r="CH116" s="19">
        <f t="shared" si="272"/>
        <v>0</v>
      </c>
      <c r="CI116" s="19">
        <f t="shared" si="273"/>
        <v>0</v>
      </c>
      <c r="CJ116" s="19">
        <f t="shared" si="274"/>
        <v>0</v>
      </c>
      <c r="CK116" s="19">
        <f t="shared" si="275"/>
        <v>0</v>
      </c>
      <c r="CL116" s="19">
        <f t="shared" si="276"/>
        <v>0</v>
      </c>
      <c r="CM116" s="19">
        <f t="shared" si="277"/>
        <v>0</v>
      </c>
      <c r="CN116" s="19">
        <f t="shared" si="278"/>
        <v>0</v>
      </c>
      <c r="CO116" s="19">
        <f t="shared" si="279"/>
        <v>0</v>
      </c>
      <c r="CP116" s="19">
        <f t="shared" si="280"/>
        <v>0</v>
      </c>
      <c r="CQ116" s="19">
        <f t="shared" si="281"/>
        <v>0</v>
      </c>
      <c r="CR116" s="19">
        <f t="shared" si="282"/>
        <v>0</v>
      </c>
      <c r="CS116" s="19">
        <f t="shared" si="283"/>
        <v>0</v>
      </c>
      <c r="CT116" s="19">
        <f t="shared" si="284"/>
        <v>0</v>
      </c>
      <c r="CU116" s="19">
        <f t="shared" si="285"/>
        <v>0</v>
      </c>
      <c r="CV116" s="19">
        <f t="shared" si="286"/>
        <v>0</v>
      </c>
      <c r="CW116" s="19">
        <f t="shared" si="287"/>
        <v>0</v>
      </c>
      <c r="CX116" s="19">
        <f t="shared" si="288"/>
        <v>0</v>
      </c>
      <c r="CY116" s="19">
        <f t="shared" si="289"/>
        <v>0</v>
      </c>
      <c r="CZ116" s="19">
        <f t="shared" si="290"/>
        <v>0</v>
      </c>
      <c r="DA116" s="19">
        <f t="shared" si="291"/>
        <v>0</v>
      </c>
      <c r="DB116" s="19">
        <f t="shared" si="292"/>
        <v>0</v>
      </c>
      <c r="DC116" s="19">
        <f t="shared" si="293"/>
        <v>0</v>
      </c>
      <c r="DD116" s="19">
        <f t="shared" si="294"/>
        <v>0</v>
      </c>
      <c r="DE116" s="19">
        <f t="shared" si="295"/>
        <v>0</v>
      </c>
      <c r="DF116" s="19">
        <f t="shared" si="296"/>
        <v>0</v>
      </c>
      <c r="DG116" s="19">
        <f t="shared" si="297"/>
        <v>0</v>
      </c>
      <c r="DH116" s="19">
        <f t="shared" si="298"/>
        <v>0</v>
      </c>
      <c r="DI116" s="19">
        <f t="shared" si="299"/>
        <v>0</v>
      </c>
      <c r="DJ116" s="19">
        <f t="shared" si="300"/>
        <v>0</v>
      </c>
      <c r="DK116" s="19">
        <f t="shared" si="301"/>
        <v>0</v>
      </c>
      <c r="DL116" s="19">
        <f t="shared" si="302"/>
        <v>0</v>
      </c>
      <c r="DM116" s="19">
        <f t="shared" si="303"/>
        <v>0</v>
      </c>
      <c r="DN116" s="19">
        <f t="shared" si="304"/>
        <v>0</v>
      </c>
      <c r="DO116" s="19">
        <f t="shared" si="305"/>
        <v>0</v>
      </c>
      <c r="DP116" s="19">
        <f t="shared" si="306"/>
        <v>0</v>
      </c>
      <c r="DQ116" s="19">
        <f t="shared" si="307"/>
        <v>0</v>
      </c>
      <c r="DR116" s="19">
        <f t="shared" si="308"/>
        <v>0</v>
      </c>
      <c r="DS116" s="19">
        <f t="shared" si="309"/>
        <v>0</v>
      </c>
      <c r="DT116" s="19">
        <f t="shared" si="310"/>
        <v>0</v>
      </c>
      <c r="DU116" s="19">
        <f t="shared" si="311"/>
        <v>0</v>
      </c>
      <c r="DV116" s="19">
        <f t="shared" si="312"/>
        <v>0</v>
      </c>
      <c r="DW116" s="19">
        <f t="shared" si="313"/>
        <v>0</v>
      </c>
      <c r="DX116" s="19">
        <f t="shared" si="314"/>
        <v>0</v>
      </c>
      <c r="DY116" s="19">
        <f t="shared" si="315"/>
        <v>0</v>
      </c>
      <c r="DZ116" s="19">
        <f t="shared" si="316"/>
        <v>0</v>
      </c>
      <c r="EA116" s="19">
        <f t="shared" si="317"/>
        <v>0</v>
      </c>
      <c r="EB116" s="19">
        <f t="shared" si="318"/>
        <v>0</v>
      </c>
      <c r="EC116" s="19">
        <f t="shared" si="319"/>
        <v>0</v>
      </c>
      <c r="ED116" s="106" t="s">
        <v>474</v>
      </c>
    </row>
    <row r="117" spans="1:134" s="78" customFormat="1" ht="18" customHeight="1" x14ac:dyDescent="0.25">
      <c r="A117" s="27">
        <v>114</v>
      </c>
      <c r="B117" s="123" t="s">
        <v>100</v>
      </c>
      <c r="C117" s="104" t="s">
        <v>101</v>
      </c>
      <c r="D117" s="103" t="s">
        <v>61</v>
      </c>
      <c r="E117" s="18">
        <v>45022</v>
      </c>
      <c r="F117" s="19" t="s">
        <v>473</v>
      </c>
      <c r="G117" s="19" t="s">
        <v>473</v>
      </c>
      <c r="H117" s="19" t="s">
        <v>473</v>
      </c>
      <c r="I117" s="19" t="s">
        <v>473</v>
      </c>
      <c r="J117" s="19" t="s">
        <v>473</v>
      </c>
      <c r="K117" s="19" t="s">
        <v>473</v>
      </c>
      <c r="L117" s="19" t="s">
        <v>473</v>
      </c>
      <c r="M117" s="19" t="s">
        <v>473</v>
      </c>
      <c r="N117" s="19" t="s">
        <v>473</v>
      </c>
      <c r="O117" s="19" t="s">
        <v>473</v>
      </c>
      <c r="P117" s="19" t="s">
        <v>473</v>
      </c>
      <c r="Q117" s="19" t="s">
        <v>473</v>
      </c>
      <c r="R117" s="19" t="s">
        <v>473</v>
      </c>
      <c r="S117" s="19" t="s">
        <v>473</v>
      </c>
      <c r="T117" s="19" t="s">
        <v>473</v>
      </c>
      <c r="U117" s="19" t="s">
        <v>473</v>
      </c>
      <c r="V117" s="19" t="s">
        <v>473</v>
      </c>
      <c r="W117" s="19" t="s">
        <v>473</v>
      </c>
      <c r="X117" s="19" t="s">
        <v>473</v>
      </c>
      <c r="Y117" s="19" t="s">
        <v>473</v>
      </c>
      <c r="Z117" s="19" t="s">
        <v>473</v>
      </c>
      <c r="AA117" s="19" t="s">
        <v>473</v>
      </c>
      <c r="AB117" s="19" t="s">
        <v>473</v>
      </c>
      <c r="AC117" s="19" t="s">
        <v>473</v>
      </c>
      <c r="AD117" s="19" t="s">
        <v>473</v>
      </c>
      <c r="AE117" s="19" t="s">
        <v>473</v>
      </c>
      <c r="AF117" s="19" t="s">
        <v>473</v>
      </c>
      <c r="AG117" s="19" t="s">
        <v>473</v>
      </c>
      <c r="AH117" s="19" t="s">
        <v>473</v>
      </c>
      <c r="AI117" s="19" t="s">
        <v>473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/>
      <c r="AQ117" s="19"/>
      <c r="AR117" s="19"/>
      <c r="AS117" s="19">
        <v>0</v>
      </c>
      <c r="AT117" s="19">
        <f t="shared" si="240"/>
        <v>0</v>
      </c>
      <c r="AU117" s="19">
        <f t="shared" si="241"/>
        <v>0</v>
      </c>
      <c r="AV117" s="19">
        <f t="shared" si="242"/>
        <v>0</v>
      </c>
      <c r="AW117" s="16">
        <f t="shared" si="243"/>
        <v>0</v>
      </c>
      <c r="AX117" s="16">
        <f t="shared" si="244"/>
        <v>0</v>
      </c>
      <c r="AY117" s="16">
        <f t="shared" si="245"/>
        <v>0</v>
      </c>
      <c r="AZ117" s="21">
        <v>1150</v>
      </c>
      <c r="BA117" s="21">
        <v>200</v>
      </c>
      <c r="BB117" s="21">
        <v>0</v>
      </c>
      <c r="BC117" s="19">
        <f t="shared" si="246"/>
        <v>0</v>
      </c>
      <c r="BD117" s="19">
        <f t="shared" si="247"/>
        <v>0</v>
      </c>
      <c r="BE117" s="19">
        <f t="shared" si="248"/>
        <v>0</v>
      </c>
      <c r="BF117" s="19">
        <f t="shared" si="249"/>
        <v>0</v>
      </c>
      <c r="BG117" s="19">
        <f t="shared" si="250"/>
        <v>0</v>
      </c>
      <c r="BH117" s="19">
        <f t="shared" si="251"/>
        <v>0</v>
      </c>
      <c r="BI117" s="19">
        <v>0</v>
      </c>
      <c r="BJ117" s="19">
        <f t="shared" si="252"/>
        <v>0</v>
      </c>
      <c r="BK117" s="19">
        <v>0</v>
      </c>
      <c r="BL117" s="19">
        <v>0</v>
      </c>
      <c r="BM117" s="19">
        <f t="shared" si="253"/>
        <v>0</v>
      </c>
      <c r="BN117" s="19">
        <f t="shared" si="254"/>
        <v>0</v>
      </c>
      <c r="BO117" s="19">
        <v>0</v>
      </c>
      <c r="BP117" s="19">
        <v>0</v>
      </c>
      <c r="BQ117" s="22">
        <f t="shared" si="255"/>
        <v>0</v>
      </c>
      <c r="BR117" s="82">
        <f t="shared" si="256"/>
        <v>0</v>
      </c>
      <c r="BS117" s="19">
        <f t="shared" si="257"/>
        <v>0</v>
      </c>
      <c r="BT117" s="19">
        <f t="shared" si="258"/>
        <v>0</v>
      </c>
      <c r="BU117" s="19">
        <f t="shared" si="259"/>
        <v>0</v>
      </c>
      <c r="BV117" s="19">
        <f t="shared" si="260"/>
        <v>0</v>
      </c>
      <c r="BW117" s="19">
        <f t="shared" si="261"/>
        <v>0</v>
      </c>
      <c r="BX117" s="19">
        <f t="shared" si="262"/>
        <v>0</v>
      </c>
      <c r="BY117" s="19">
        <f t="shared" si="263"/>
        <v>0</v>
      </c>
      <c r="BZ117" s="19">
        <f t="shared" si="264"/>
        <v>0</v>
      </c>
      <c r="CA117" s="19">
        <f t="shared" si="265"/>
        <v>0</v>
      </c>
      <c r="CB117" s="19">
        <f t="shared" si="266"/>
        <v>0</v>
      </c>
      <c r="CC117" s="19">
        <f t="shared" si="267"/>
        <v>0</v>
      </c>
      <c r="CD117" s="19">
        <f t="shared" si="268"/>
        <v>0</v>
      </c>
      <c r="CE117" s="19">
        <f t="shared" si="269"/>
        <v>0</v>
      </c>
      <c r="CF117" s="19">
        <f t="shared" si="270"/>
        <v>0</v>
      </c>
      <c r="CG117" s="19">
        <f t="shared" si="271"/>
        <v>0</v>
      </c>
      <c r="CH117" s="19">
        <f t="shared" si="272"/>
        <v>0</v>
      </c>
      <c r="CI117" s="19">
        <f t="shared" si="273"/>
        <v>0</v>
      </c>
      <c r="CJ117" s="19">
        <f t="shared" si="274"/>
        <v>0</v>
      </c>
      <c r="CK117" s="19">
        <f t="shared" si="275"/>
        <v>0</v>
      </c>
      <c r="CL117" s="19">
        <f t="shared" si="276"/>
        <v>0</v>
      </c>
      <c r="CM117" s="19">
        <f t="shared" si="277"/>
        <v>0</v>
      </c>
      <c r="CN117" s="19">
        <f t="shared" si="278"/>
        <v>0</v>
      </c>
      <c r="CO117" s="19">
        <f t="shared" si="279"/>
        <v>0</v>
      </c>
      <c r="CP117" s="19">
        <f t="shared" si="280"/>
        <v>0</v>
      </c>
      <c r="CQ117" s="19">
        <f t="shared" si="281"/>
        <v>0</v>
      </c>
      <c r="CR117" s="19">
        <f t="shared" si="282"/>
        <v>0</v>
      </c>
      <c r="CS117" s="19">
        <f t="shared" si="283"/>
        <v>0</v>
      </c>
      <c r="CT117" s="19">
        <f t="shared" si="284"/>
        <v>0</v>
      </c>
      <c r="CU117" s="19">
        <f t="shared" si="285"/>
        <v>0</v>
      </c>
      <c r="CV117" s="19">
        <f t="shared" si="286"/>
        <v>0</v>
      </c>
      <c r="CW117" s="19">
        <f t="shared" si="287"/>
        <v>0</v>
      </c>
      <c r="CX117" s="19">
        <f t="shared" si="288"/>
        <v>0</v>
      </c>
      <c r="CY117" s="19">
        <f t="shared" si="289"/>
        <v>0</v>
      </c>
      <c r="CZ117" s="19">
        <f t="shared" si="290"/>
        <v>0</v>
      </c>
      <c r="DA117" s="19">
        <f t="shared" si="291"/>
        <v>0</v>
      </c>
      <c r="DB117" s="19">
        <f t="shared" si="292"/>
        <v>0</v>
      </c>
      <c r="DC117" s="19">
        <f t="shared" si="293"/>
        <v>0</v>
      </c>
      <c r="DD117" s="19">
        <f t="shared" si="294"/>
        <v>0</v>
      </c>
      <c r="DE117" s="19">
        <f t="shared" si="295"/>
        <v>0</v>
      </c>
      <c r="DF117" s="19">
        <f t="shared" si="296"/>
        <v>0</v>
      </c>
      <c r="DG117" s="19">
        <f t="shared" si="297"/>
        <v>0</v>
      </c>
      <c r="DH117" s="19">
        <f t="shared" si="298"/>
        <v>0</v>
      </c>
      <c r="DI117" s="19">
        <f t="shared" si="299"/>
        <v>0</v>
      </c>
      <c r="DJ117" s="19">
        <f t="shared" si="300"/>
        <v>0</v>
      </c>
      <c r="DK117" s="19">
        <f t="shared" si="301"/>
        <v>0</v>
      </c>
      <c r="DL117" s="19">
        <f t="shared" si="302"/>
        <v>0</v>
      </c>
      <c r="DM117" s="19">
        <f t="shared" si="303"/>
        <v>0</v>
      </c>
      <c r="DN117" s="19">
        <f t="shared" si="304"/>
        <v>0</v>
      </c>
      <c r="DO117" s="19">
        <f t="shared" si="305"/>
        <v>0</v>
      </c>
      <c r="DP117" s="19">
        <f t="shared" si="306"/>
        <v>0</v>
      </c>
      <c r="DQ117" s="19">
        <f t="shared" si="307"/>
        <v>0</v>
      </c>
      <c r="DR117" s="19">
        <f t="shared" si="308"/>
        <v>0</v>
      </c>
      <c r="DS117" s="19">
        <f t="shared" si="309"/>
        <v>0</v>
      </c>
      <c r="DT117" s="19">
        <f t="shared" si="310"/>
        <v>0</v>
      </c>
      <c r="DU117" s="19">
        <f t="shared" si="311"/>
        <v>0</v>
      </c>
      <c r="DV117" s="19">
        <f t="shared" si="312"/>
        <v>0</v>
      </c>
      <c r="DW117" s="19">
        <f t="shared" si="313"/>
        <v>0</v>
      </c>
      <c r="DX117" s="19">
        <f t="shared" si="314"/>
        <v>0</v>
      </c>
      <c r="DY117" s="19">
        <f t="shared" si="315"/>
        <v>0</v>
      </c>
      <c r="DZ117" s="19">
        <f t="shared" si="316"/>
        <v>0</v>
      </c>
      <c r="EA117" s="19">
        <f t="shared" si="317"/>
        <v>0</v>
      </c>
      <c r="EB117" s="19">
        <f t="shared" si="318"/>
        <v>0</v>
      </c>
      <c r="EC117" s="19">
        <f t="shared" si="319"/>
        <v>0</v>
      </c>
      <c r="ED117" s="106" t="s">
        <v>474</v>
      </c>
    </row>
    <row r="118" spans="1:134" s="78" customFormat="1" ht="18" customHeight="1" x14ac:dyDescent="0.25">
      <c r="A118" s="27">
        <v>115</v>
      </c>
      <c r="B118" s="123" t="s">
        <v>153</v>
      </c>
      <c r="C118" s="104" t="s">
        <v>154</v>
      </c>
      <c r="D118" s="103" t="s">
        <v>157</v>
      </c>
      <c r="E118" s="18">
        <v>45082</v>
      </c>
      <c r="F118" s="19" t="s">
        <v>473</v>
      </c>
      <c r="G118" s="19" t="s">
        <v>473</v>
      </c>
      <c r="H118" s="19" t="s">
        <v>473</v>
      </c>
      <c r="I118" s="19" t="s">
        <v>473</v>
      </c>
      <c r="J118" s="19" t="s">
        <v>473</v>
      </c>
      <c r="K118" s="19" t="s">
        <v>473</v>
      </c>
      <c r="L118" s="19" t="s">
        <v>473</v>
      </c>
      <c r="M118" s="19" t="s">
        <v>473</v>
      </c>
      <c r="N118" s="19" t="s">
        <v>473</v>
      </c>
      <c r="O118" s="19" t="s">
        <v>473</v>
      </c>
      <c r="P118" s="19" t="s">
        <v>473</v>
      </c>
      <c r="Q118" s="19" t="s">
        <v>473</v>
      </c>
      <c r="R118" s="19" t="s">
        <v>473</v>
      </c>
      <c r="S118" s="19" t="s">
        <v>473</v>
      </c>
      <c r="T118" s="19" t="s">
        <v>473</v>
      </c>
      <c r="U118" s="19" t="s">
        <v>473</v>
      </c>
      <c r="V118" s="19" t="s">
        <v>473</v>
      </c>
      <c r="W118" s="19" t="s">
        <v>473</v>
      </c>
      <c r="X118" s="19" t="s">
        <v>473</v>
      </c>
      <c r="Y118" s="19" t="s">
        <v>473</v>
      </c>
      <c r="Z118" s="19" t="s">
        <v>473</v>
      </c>
      <c r="AA118" s="19" t="s">
        <v>473</v>
      </c>
      <c r="AB118" s="19" t="s">
        <v>473</v>
      </c>
      <c r="AC118" s="19" t="s">
        <v>473</v>
      </c>
      <c r="AD118" s="19" t="s">
        <v>473</v>
      </c>
      <c r="AE118" s="19" t="s">
        <v>473</v>
      </c>
      <c r="AF118" s="19" t="s">
        <v>473</v>
      </c>
      <c r="AG118" s="19" t="s">
        <v>473</v>
      </c>
      <c r="AH118" s="19" t="s">
        <v>473</v>
      </c>
      <c r="AI118" s="19" t="s">
        <v>473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/>
      <c r="AQ118" s="19"/>
      <c r="AR118" s="19"/>
      <c r="AS118" s="19">
        <v>0</v>
      </c>
      <c r="AT118" s="19">
        <f t="shared" si="240"/>
        <v>0</v>
      </c>
      <c r="AU118" s="19">
        <f t="shared" si="241"/>
        <v>0</v>
      </c>
      <c r="AV118" s="19">
        <f t="shared" si="242"/>
        <v>0</v>
      </c>
      <c r="AW118" s="16">
        <f t="shared" si="243"/>
        <v>0</v>
      </c>
      <c r="AX118" s="16">
        <f t="shared" si="244"/>
        <v>0</v>
      </c>
      <c r="AY118" s="16">
        <f t="shared" si="245"/>
        <v>0</v>
      </c>
      <c r="AZ118" s="21">
        <v>1600</v>
      </c>
      <c r="BA118" s="21">
        <v>100</v>
      </c>
      <c r="BB118" s="21">
        <v>300</v>
      </c>
      <c r="BC118" s="19">
        <f t="shared" si="246"/>
        <v>0</v>
      </c>
      <c r="BD118" s="19">
        <f t="shared" si="247"/>
        <v>0</v>
      </c>
      <c r="BE118" s="19">
        <f t="shared" si="248"/>
        <v>0</v>
      </c>
      <c r="BF118" s="19">
        <f t="shared" si="249"/>
        <v>0</v>
      </c>
      <c r="BG118" s="19">
        <f t="shared" si="250"/>
        <v>0</v>
      </c>
      <c r="BH118" s="19">
        <f t="shared" si="251"/>
        <v>0</v>
      </c>
      <c r="BI118" s="19">
        <v>0</v>
      </c>
      <c r="BJ118" s="19">
        <f t="shared" si="252"/>
        <v>0</v>
      </c>
      <c r="BK118" s="19">
        <v>0</v>
      </c>
      <c r="BL118" s="19">
        <v>0</v>
      </c>
      <c r="BM118" s="19">
        <f t="shared" si="253"/>
        <v>0</v>
      </c>
      <c r="BN118" s="19">
        <f t="shared" si="254"/>
        <v>0</v>
      </c>
      <c r="BO118" s="19">
        <v>0</v>
      </c>
      <c r="BP118" s="19">
        <v>0</v>
      </c>
      <c r="BQ118" s="22">
        <f t="shared" si="255"/>
        <v>0</v>
      </c>
      <c r="BR118" s="82">
        <f t="shared" si="256"/>
        <v>0</v>
      </c>
      <c r="BS118" s="19">
        <f t="shared" si="257"/>
        <v>0</v>
      </c>
      <c r="BT118" s="19">
        <f t="shared" si="258"/>
        <v>0</v>
      </c>
      <c r="BU118" s="19">
        <f t="shared" si="259"/>
        <v>0</v>
      </c>
      <c r="BV118" s="19">
        <f t="shared" si="260"/>
        <v>0</v>
      </c>
      <c r="BW118" s="19">
        <f t="shared" si="261"/>
        <v>0</v>
      </c>
      <c r="BX118" s="19">
        <f t="shared" si="262"/>
        <v>0</v>
      </c>
      <c r="BY118" s="19">
        <f t="shared" si="263"/>
        <v>0</v>
      </c>
      <c r="BZ118" s="19">
        <f t="shared" si="264"/>
        <v>0</v>
      </c>
      <c r="CA118" s="19">
        <f t="shared" si="265"/>
        <v>0</v>
      </c>
      <c r="CB118" s="19">
        <f t="shared" si="266"/>
        <v>0</v>
      </c>
      <c r="CC118" s="19">
        <f t="shared" si="267"/>
        <v>0</v>
      </c>
      <c r="CD118" s="19">
        <f t="shared" si="268"/>
        <v>0</v>
      </c>
      <c r="CE118" s="19">
        <f t="shared" si="269"/>
        <v>0</v>
      </c>
      <c r="CF118" s="19">
        <f t="shared" si="270"/>
        <v>0</v>
      </c>
      <c r="CG118" s="19">
        <f t="shared" si="271"/>
        <v>0</v>
      </c>
      <c r="CH118" s="19">
        <f t="shared" si="272"/>
        <v>0</v>
      </c>
      <c r="CI118" s="19">
        <f t="shared" si="273"/>
        <v>0</v>
      </c>
      <c r="CJ118" s="19">
        <f t="shared" si="274"/>
        <v>0</v>
      </c>
      <c r="CK118" s="19">
        <f t="shared" si="275"/>
        <v>0</v>
      </c>
      <c r="CL118" s="19">
        <f t="shared" si="276"/>
        <v>0</v>
      </c>
      <c r="CM118" s="19">
        <f t="shared" si="277"/>
        <v>0</v>
      </c>
      <c r="CN118" s="19">
        <f t="shared" si="278"/>
        <v>0</v>
      </c>
      <c r="CO118" s="19">
        <f t="shared" si="279"/>
        <v>0</v>
      </c>
      <c r="CP118" s="19">
        <f t="shared" si="280"/>
        <v>0</v>
      </c>
      <c r="CQ118" s="19">
        <f t="shared" si="281"/>
        <v>0</v>
      </c>
      <c r="CR118" s="19">
        <f t="shared" si="282"/>
        <v>0</v>
      </c>
      <c r="CS118" s="19">
        <f t="shared" si="283"/>
        <v>0</v>
      </c>
      <c r="CT118" s="19">
        <f t="shared" si="284"/>
        <v>0</v>
      </c>
      <c r="CU118" s="19">
        <f t="shared" si="285"/>
        <v>0</v>
      </c>
      <c r="CV118" s="19">
        <f t="shared" si="286"/>
        <v>0</v>
      </c>
      <c r="CW118" s="19">
        <f t="shared" si="287"/>
        <v>0</v>
      </c>
      <c r="CX118" s="19">
        <f t="shared" si="288"/>
        <v>0</v>
      </c>
      <c r="CY118" s="19">
        <f t="shared" si="289"/>
        <v>0</v>
      </c>
      <c r="CZ118" s="19">
        <f t="shared" si="290"/>
        <v>0</v>
      </c>
      <c r="DA118" s="19">
        <f t="shared" si="291"/>
        <v>0</v>
      </c>
      <c r="DB118" s="19">
        <f t="shared" si="292"/>
        <v>0</v>
      </c>
      <c r="DC118" s="19">
        <f t="shared" si="293"/>
        <v>0</v>
      </c>
      <c r="DD118" s="19">
        <f t="shared" si="294"/>
        <v>0</v>
      </c>
      <c r="DE118" s="19">
        <f t="shared" si="295"/>
        <v>0</v>
      </c>
      <c r="DF118" s="19">
        <f t="shared" si="296"/>
        <v>0</v>
      </c>
      <c r="DG118" s="19">
        <f t="shared" si="297"/>
        <v>0</v>
      </c>
      <c r="DH118" s="19">
        <f t="shared" si="298"/>
        <v>0</v>
      </c>
      <c r="DI118" s="19">
        <f t="shared" si="299"/>
        <v>0</v>
      </c>
      <c r="DJ118" s="19">
        <f t="shared" si="300"/>
        <v>0</v>
      </c>
      <c r="DK118" s="19">
        <f t="shared" si="301"/>
        <v>0</v>
      </c>
      <c r="DL118" s="19">
        <f t="shared" si="302"/>
        <v>0</v>
      </c>
      <c r="DM118" s="19">
        <f t="shared" si="303"/>
        <v>0</v>
      </c>
      <c r="DN118" s="19">
        <f t="shared" si="304"/>
        <v>0</v>
      </c>
      <c r="DO118" s="19">
        <f t="shared" si="305"/>
        <v>0</v>
      </c>
      <c r="DP118" s="19">
        <f t="shared" si="306"/>
        <v>0</v>
      </c>
      <c r="DQ118" s="19">
        <f t="shared" si="307"/>
        <v>0</v>
      </c>
      <c r="DR118" s="19">
        <f t="shared" si="308"/>
        <v>0</v>
      </c>
      <c r="DS118" s="19">
        <f t="shared" si="309"/>
        <v>0</v>
      </c>
      <c r="DT118" s="19">
        <f t="shared" si="310"/>
        <v>0</v>
      </c>
      <c r="DU118" s="19">
        <f t="shared" si="311"/>
        <v>0</v>
      </c>
      <c r="DV118" s="19">
        <f t="shared" si="312"/>
        <v>0</v>
      </c>
      <c r="DW118" s="19">
        <f t="shared" si="313"/>
        <v>0</v>
      </c>
      <c r="DX118" s="19">
        <f t="shared" si="314"/>
        <v>0</v>
      </c>
      <c r="DY118" s="19">
        <f t="shared" si="315"/>
        <v>0</v>
      </c>
      <c r="DZ118" s="19">
        <f t="shared" si="316"/>
        <v>0</v>
      </c>
      <c r="EA118" s="19">
        <f t="shared" si="317"/>
        <v>0</v>
      </c>
      <c r="EB118" s="19">
        <f t="shared" si="318"/>
        <v>0</v>
      </c>
      <c r="EC118" s="19">
        <f t="shared" si="319"/>
        <v>0</v>
      </c>
      <c r="ED118" s="106" t="s">
        <v>474</v>
      </c>
    </row>
    <row r="119" spans="1:134" s="78" customFormat="1" ht="18" customHeight="1" x14ac:dyDescent="0.25">
      <c r="A119" s="27">
        <v>116</v>
      </c>
      <c r="B119" s="145" t="s">
        <v>328</v>
      </c>
      <c r="C119" s="146" t="s">
        <v>325</v>
      </c>
      <c r="D119" s="133" t="s">
        <v>61</v>
      </c>
      <c r="E119" s="18">
        <v>45468</v>
      </c>
      <c r="F119" s="19">
        <v>8</v>
      </c>
      <c r="G119" s="19">
        <v>8</v>
      </c>
      <c r="H119" s="19">
        <v>8</v>
      </c>
      <c r="I119" s="19">
        <v>8</v>
      </c>
      <c r="J119" s="19" t="s">
        <v>603</v>
      </c>
      <c r="K119" s="19">
        <v>8</v>
      </c>
      <c r="L119" s="19" t="s">
        <v>15</v>
      </c>
      <c r="M119" s="19" t="s">
        <v>316</v>
      </c>
      <c r="N119" s="19">
        <v>8</v>
      </c>
      <c r="O119" s="19">
        <v>8</v>
      </c>
      <c r="P119" s="19">
        <v>8</v>
      </c>
      <c r="Q119" s="19">
        <v>8</v>
      </c>
      <c r="R119" s="19">
        <v>8</v>
      </c>
      <c r="S119" s="19" t="s">
        <v>316</v>
      </c>
      <c r="T119" s="19" t="s">
        <v>316</v>
      </c>
      <c r="U119" s="19">
        <v>8</v>
      </c>
      <c r="V119" s="19">
        <v>8</v>
      </c>
      <c r="W119" s="19">
        <v>8</v>
      </c>
      <c r="X119" s="19">
        <v>8</v>
      </c>
      <c r="Y119" s="19" t="s">
        <v>418</v>
      </c>
      <c r="Z119" s="19" t="s">
        <v>418</v>
      </c>
      <c r="AA119" s="19" t="s">
        <v>418</v>
      </c>
      <c r="AB119" s="19" t="s">
        <v>418</v>
      </c>
      <c r="AC119" s="19" t="s">
        <v>418</v>
      </c>
      <c r="AD119" s="19" t="s">
        <v>418</v>
      </c>
      <c r="AE119" s="19" t="s">
        <v>418</v>
      </c>
      <c r="AF119" s="19" t="s">
        <v>418</v>
      </c>
      <c r="AG119" s="19" t="s">
        <v>418</v>
      </c>
      <c r="AH119" s="19" t="s">
        <v>418</v>
      </c>
      <c r="AI119" s="19" t="s">
        <v>418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11</v>
      </c>
      <c r="AP119" s="19"/>
      <c r="AQ119" s="19"/>
      <c r="AR119" s="19"/>
      <c r="AS119" s="19">
        <v>0</v>
      </c>
      <c r="AT119" s="19">
        <f>SUM(BS119+BU119+BW119+BY119+CA119+CC119+CE119+CG119+CI119+CK119+CM119+CO119+CQ119+CS119+CU119+CW119+CY119+DA119+DC119+DE119+DG119+DI119+DK119+DM119+DO119+DQ119+DS119+DU119+DW119+DY119+EA119+EC119)</f>
        <v>0</v>
      </c>
      <c r="AU119" s="19">
        <f>SUM(AJ119:AN119)</f>
        <v>0</v>
      </c>
      <c r="AV119" s="19">
        <f>SUM(AO119:AS119)</f>
        <v>11</v>
      </c>
      <c r="AW119" s="16">
        <f>COUNTIF(F119:AI119,"8")+COUNTIF(F119:AI119,"8.5")+COUNTIF(F119:AI119,"9")+COUNTIF(F119:AI119,"9.5")+COUNTIF(F119:AI119,"10")+COUNTIF(F119:AI119,"10.5")+COUNTIF(F119:AI119,"11")+COUNTIF(F119:AI119,"11.5")+COUNTIF(F119:AI119,"12")+COUNTIF(F119:AI119,"12.5")+COUNTIF(F119:AI119,"13")+COUNTIF(F119:AI119,"13.5")+COUNTIF(F119:AI119,"14")+COUNTIF(F119:AI119,"14.5")+COUNTIF(F119:AI119,"15")+COUNTIF(F119:AI119,"15.5")+COUNTIF(F119:AI119,"16")+COUNTIF(F119:AI119,"16.5")+COUNTIF(F119:AI119,"17")+COUNTIF(F119:AI119,"17.5")+COUNTIF(F119:AI119,"18")+COUNTIF(F119:AI119,"18.5")+COUNTIF(F119:AI119,"19")+COUNTIF(F119:AI119,"19.5")+COUNTIF(F119:AI119,"20")+COUNTIF(F119:AI119,"20.5")+COUNTIF(F119:AI119,"21")+COUNTIF(F119:AI119,"21.5")+COUNTIF(F119:AI119,"22")+COUNTIF(F119:AI119,"22.5")+COUNTIF(F119:AI119,"23")+COUNTIF(F119:AI119,"23.5")+COUNTIF(F119:AI119,"24")+COUNTIF(F119:AI119,"S")+COUNTIF(F119:AI119,"PH")+COUNTIF(F119:AI119,"ML")+COUNTIF(F119:AI119,"OD")</f>
        <v>16</v>
      </c>
      <c r="AX119" s="16">
        <f>COUNTIF(F119:AI119,"A")</f>
        <v>3</v>
      </c>
      <c r="AY119" s="16">
        <f>COUNTIF(F119:AI119,"ID")</f>
        <v>0</v>
      </c>
      <c r="AZ119" s="21">
        <v>900</v>
      </c>
      <c r="BA119" s="21">
        <v>100</v>
      </c>
      <c r="BB119" s="21">
        <v>0</v>
      </c>
      <c r="BC119" s="19">
        <f>MROUND(AZ119/30*AW119, 1)</f>
        <v>480</v>
      </c>
      <c r="BD119" s="19">
        <f>MROUND(BA119/30*AW119, 1)</f>
        <v>53</v>
      </c>
      <c r="BE119" s="19">
        <f>MROUND((AZ119/30/8*1.25*AT119)+(AZ119/30/8*1.5*AU119)+(AZ119/30/8*1.5*AV119), 1)</f>
        <v>62</v>
      </c>
      <c r="BF119" s="19">
        <f>MROUND(BB119/30*AW119, 1)</f>
        <v>0</v>
      </c>
      <c r="BG119" s="19">
        <f>MROUND(AZ119/30*AY119, 1)</f>
        <v>0</v>
      </c>
      <c r="BH119" s="19">
        <f>MROUND(BA119/30*AY119, 1)</f>
        <v>0</v>
      </c>
      <c r="BI119" s="19">
        <v>0</v>
      </c>
      <c r="BJ119" s="19">
        <f>SUM(BC119:BI119)</f>
        <v>595</v>
      </c>
      <c r="BK119" s="19">
        <v>0</v>
      </c>
      <c r="BL119" s="19">
        <v>0</v>
      </c>
      <c r="BM119" s="19">
        <f>BK119+BL119</f>
        <v>0</v>
      </c>
      <c r="BN119" s="19">
        <f>BJ119-BM119</f>
        <v>595</v>
      </c>
      <c r="BO119" s="19">
        <v>0</v>
      </c>
      <c r="BP119" s="19">
        <v>0</v>
      </c>
      <c r="BQ119" s="22">
        <f>SUM(BN119:BO119)-BP119</f>
        <v>595</v>
      </c>
      <c r="BR119" s="82">
        <f>COUNTIF(F119:AI119, "8.5")</f>
        <v>0</v>
      </c>
      <c r="BS119" s="19">
        <f>BR119*0.5</f>
        <v>0</v>
      </c>
      <c r="BT119" s="19">
        <f>COUNTIF(F119:AI119, "9")</f>
        <v>0</v>
      </c>
      <c r="BU119" s="19">
        <f>BT119*1</f>
        <v>0</v>
      </c>
      <c r="BV119" s="19">
        <f>COUNTIF(F119:AI119, "9.5")</f>
        <v>0</v>
      </c>
      <c r="BW119" s="19">
        <f>BV119*1.5</f>
        <v>0</v>
      </c>
      <c r="BX119" s="19">
        <f>COUNTIF(F119:AI119, "10")</f>
        <v>0</v>
      </c>
      <c r="BY119" s="19">
        <f>BX119*2</f>
        <v>0</v>
      </c>
      <c r="BZ119" s="19">
        <f>COUNTIF(F119:AI119, "10.5")</f>
        <v>0</v>
      </c>
      <c r="CA119" s="19">
        <f>BZ119*2.5</f>
        <v>0</v>
      </c>
      <c r="CB119" s="19">
        <f>COUNTIF(F119:AI119, "11")</f>
        <v>0</v>
      </c>
      <c r="CC119" s="19">
        <f>CB119*3</f>
        <v>0</v>
      </c>
      <c r="CD119" s="19">
        <f>COUNTIF(F119:AI119, "11.5")</f>
        <v>0</v>
      </c>
      <c r="CE119" s="19">
        <f>CD119*3.5</f>
        <v>0</v>
      </c>
      <c r="CF119" s="19">
        <f>COUNTIF(F119:AI119, "12")</f>
        <v>0</v>
      </c>
      <c r="CG119" s="19">
        <f>CF119*4</f>
        <v>0</v>
      </c>
      <c r="CH119" s="19">
        <f>COUNTIF(F119:AI119, "12.5")</f>
        <v>0</v>
      </c>
      <c r="CI119" s="19">
        <f>CH119*4.5</f>
        <v>0</v>
      </c>
      <c r="CJ119" s="19">
        <f>COUNTIF(F119:AI119, "13")</f>
        <v>0</v>
      </c>
      <c r="CK119" s="19">
        <f>CJ119*5</f>
        <v>0</v>
      </c>
      <c r="CL119" s="19">
        <f>COUNTIF(F119:AI119, "13.5")</f>
        <v>0</v>
      </c>
      <c r="CM119" s="19">
        <f>CL119*5.5</f>
        <v>0</v>
      </c>
      <c r="CN119" s="19">
        <f>COUNTIF(F119:AI119, "14")</f>
        <v>0</v>
      </c>
      <c r="CO119" s="19">
        <f>CN119*6</f>
        <v>0</v>
      </c>
      <c r="CP119" s="19">
        <f>COUNTIF(F119:AI119, "14.5")</f>
        <v>0</v>
      </c>
      <c r="CQ119" s="19">
        <f>CP119*6.5</f>
        <v>0</v>
      </c>
      <c r="CR119" s="19">
        <f>COUNTIF(F119:AI119, "15")</f>
        <v>0</v>
      </c>
      <c r="CS119" s="19">
        <f>CR119*7</f>
        <v>0</v>
      </c>
      <c r="CT119" s="19">
        <f>COUNTIF(F119:AI119, "15.5")</f>
        <v>0</v>
      </c>
      <c r="CU119" s="19">
        <f>CT119*7.5</f>
        <v>0</v>
      </c>
      <c r="CV119" s="19">
        <f>COUNTIF(F119:AI119, "16")</f>
        <v>0</v>
      </c>
      <c r="CW119" s="19">
        <f>CV119*8</f>
        <v>0</v>
      </c>
      <c r="CX119" s="19">
        <f>COUNTIF(F119:AI119, "16.5")</f>
        <v>0</v>
      </c>
      <c r="CY119" s="19">
        <f>CX119*8.5</f>
        <v>0</v>
      </c>
      <c r="CZ119" s="19">
        <f>COUNTIF(F119:AI119, "17")</f>
        <v>0</v>
      </c>
      <c r="DA119" s="19">
        <f>CZ119*9</f>
        <v>0</v>
      </c>
      <c r="DB119" s="19">
        <f>COUNTIF(F119:AI119, "17.5")</f>
        <v>0</v>
      </c>
      <c r="DC119" s="19">
        <f>DB119*9.5</f>
        <v>0</v>
      </c>
      <c r="DD119" s="19">
        <f>COUNTIF(F119:AI119, "18")</f>
        <v>0</v>
      </c>
      <c r="DE119" s="19">
        <f>DD119*10</f>
        <v>0</v>
      </c>
      <c r="DF119" s="19">
        <f>COUNTIF(F119:AI119, "18.5")</f>
        <v>0</v>
      </c>
      <c r="DG119" s="19">
        <f>DF119*10.5</f>
        <v>0</v>
      </c>
      <c r="DH119" s="19">
        <f>COUNTIF(F119:AI119, "19")</f>
        <v>0</v>
      </c>
      <c r="DI119" s="19">
        <f>DH119*11</f>
        <v>0</v>
      </c>
      <c r="DJ119" s="19">
        <f>COUNTIF(F119:AI119, "19.5")</f>
        <v>0</v>
      </c>
      <c r="DK119" s="19">
        <f>DJ119*11.5</f>
        <v>0</v>
      </c>
      <c r="DL119" s="19">
        <f>COUNTIF(F119:AI119, "20")</f>
        <v>0</v>
      </c>
      <c r="DM119" s="19">
        <f>DL119*12</f>
        <v>0</v>
      </c>
      <c r="DN119" s="19">
        <f>COUNTIF(F119:AI119, "20.5")</f>
        <v>0</v>
      </c>
      <c r="DO119" s="19">
        <f>DN119*12.5</f>
        <v>0</v>
      </c>
      <c r="DP119" s="19">
        <f>COUNTIF(F119:AI119, "21")</f>
        <v>0</v>
      </c>
      <c r="DQ119" s="19">
        <f>DP119*13</f>
        <v>0</v>
      </c>
      <c r="DR119" s="19">
        <f>COUNTIF(F119:AI119, "21.5")</f>
        <v>0</v>
      </c>
      <c r="DS119" s="19">
        <f>DR119*13.5</f>
        <v>0</v>
      </c>
      <c r="DT119" s="19">
        <f>COUNTIF(F119:AI119, "22")</f>
        <v>0</v>
      </c>
      <c r="DU119" s="19">
        <f>DT119*14</f>
        <v>0</v>
      </c>
      <c r="DV119" s="19">
        <f>COUNTIF(F119:AI119, "22.5")</f>
        <v>0</v>
      </c>
      <c r="DW119" s="19">
        <f>DV119*14.5</f>
        <v>0</v>
      </c>
      <c r="DX119" s="19">
        <f>COUNTIF(F119:AI119, "23")</f>
        <v>0</v>
      </c>
      <c r="DY119" s="19">
        <f>DX119*15</f>
        <v>0</v>
      </c>
      <c r="DZ119" s="19">
        <f>COUNTIF(F119:AI119, "23.5")</f>
        <v>0</v>
      </c>
      <c r="EA119" s="19">
        <f>DZ119*15.5</f>
        <v>0</v>
      </c>
      <c r="EB119" s="19">
        <f>COUNTIF(F119:AI119, "24")</f>
        <v>0</v>
      </c>
      <c r="EC119" s="19">
        <f>EB119*16</f>
        <v>0</v>
      </c>
      <c r="ED119" s="150" t="s">
        <v>302</v>
      </c>
    </row>
    <row r="120" spans="1:134" s="78" customFormat="1" ht="18" customHeight="1" x14ac:dyDescent="0.25">
      <c r="A120" s="27">
        <v>117</v>
      </c>
      <c r="B120" s="145" t="s">
        <v>377</v>
      </c>
      <c r="C120" s="146" t="s">
        <v>333</v>
      </c>
      <c r="D120" s="133" t="s">
        <v>61</v>
      </c>
      <c r="E120" s="18">
        <v>45477</v>
      </c>
      <c r="F120" s="19">
        <v>8</v>
      </c>
      <c r="G120" s="19" t="s">
        <v>316</v>
      </c>
      <c r="H120" s="19">
        <v>8</v>
      </c>
      <c r="I120" s="19">
        <v>8</v>
      </c>
      <c r="J120" s="19" t="s">
        <v>603</v>
      </c>
      <c r="K120" s="19" t="s">
        <v>316</v>
      </c>
      <c r="L120" s="19" t="s">
        <v>316</v>
      </c>
      <c r="M120" s="19">
        <v>8</v>
      </c>
      <c r="N120" s="19">
        <v>8</v>
      </c>
      <c r="O120" s="19">
        <v>8</v>
      </c>
      <c r="P120" s="19">
        <v>8</v>
      </c>
      <c r="Q120" s="19">
        <v>8</v>
      </c>
      <c r="R120" s="19">
        <v>8</v>
      </c>
      <c r="S120" s="19" t="s">
        <v>15</v>
      </c>
      <c r="T120" s="19">
        <v>8</v>
      </c>
      <c r="U120" s="19">
        <v>8</v>
      </c>
      <c r="V120" s="19">
        <v>8</v>
      </c>
      <c r="W120" s="19">
        <v>8</v>
      </c>
      <c r="X120" s="19">
        <v>8</v>
      </c>
      <c r="Y120" s="19" t="s">
        <v>316</v>
      </c>
      <c r="Z120" s="19" t="s">
        <v>418</v>
      </c>
      <c r="AA120" s="19" t="s">
        <v>418</v>
      </c>
      <c r="AB120" s="19" t="s">
        <v>418</v>
      </c>
      <c r="AC120" s="19" t="s">
        <v>418</v>
      </c>
      <c r="AD120" s="19" t="s">
        <v>418</v>
      </c>
      <c r="AE120" s="19" t="s">
        <v>418</v>
      </c>
      <c r="AF120" s="19" t="s">
        <v>418</v>
      </c>
      <c r="AG120" s="19" t="s">
        <v>418</v>
      </c>
      <c r="AH120" s="19" t="s">
        <v>418</v>
      </c>
      <c r="AI120" s="19" t="s">
        <v>418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/>
      <c r="AQ120" s="19"/>
      <c r="AR120" s="19"/>
      <c r="AS120" s="19">
        <v>0</v>
      </c>
      <c r="AT120" s="19">
        <f>SUM(BS120+BU120+BW120+BY120+CA120+CC120+CE120+CG120+CI120+CK120+CM120+CO120+CQ120+CS120+CU120+CW120+CY120+DA120+DC120+DE120+DG120+DI120+DK120+DM120+DO120+DQ120+DS120+DU120+DW120+DY120+EA120+EC120)</f>
        <v>0</v>
      </c>
      <c r="AU120" s="19">
        <f>SUM(AJ120:AN120)</f>
        <v>0</v>
      </c>
      <c r="AV120" s="19">
        <f>SUM(AO120:AS120)</f>
        <v>0</v>
      </c>
      <c r="AW120" s="16">
        <f>COUNTIF(F120:AI120,"8")+COUNTIF(F120:AI120,"8.5")+COUNTIF(F120:AI120,"9")+COUNTIF(F120:AI120,"9.5")+COUNTIF(F120:AI120,"10")+COUNTIF(F120:AI120,"10.5")+COUNTIF(F120:AI120,"11")+COUNTIF(F120:AI120,"11.5")+COUNTIF(F120:AI120,"12")+COUNTIF(F120:AI120,"12.5")+COUNTIF(F120:AI120,"13")+COUNTIF(F120:AI120,"13.5")+COUNTIF(F120:AI120,"14")+COUNTIF(F120:AI120,"14.5")+COUNTIF(F120:AI120,"15")+COUNTIF(F120:AI120,"15.5")+COUNTIF(F120:AI120,"16")+COUNTIF(F120:AI120,"16.5")+COUNTIF(F120:AI120,"17")+COUNTIF(F120:AI120,"17.5")+COUNTIF(F120:AI120,"18")+COUNTIF(F120:AI120,"18.5")+COUNTIF(F120:AI120,"19")+COUNTIF(F120:AI120,"19.5")+COUNTIF(F120:AI120,"20")+COUNTIF(F120:AI120,"20.5")+COUNTIF(F120:AI120,"21")+COUNTIF(F120:AI120,"21.5")+COUNTIF(F120:AI120,"22")+COUNTIF(F120:AI120,"22.5")+COUNTIF(F120:AI120,"23")+COUNTIF(F120:AI120,"23.5")+COUNTIF(F120:AI120,"24")+COUNTIF(F120:AI120,"S")+COUNTIF(F120:AI120,"PH")+COUNTIF(F120:AI120,"ML")+COUNTIF(F120:AI120,"OD")</f>
        <v>16</v>
      </c>
      <c r="AX120" s="16">
        <f>COUNTIF(F120:AI120,"A")</f>
        <v>4</v>
      </c>
      <c r="AY120" s="16">
        <f>COUNTIF(F120:AI120,"ID")</f>
        <v>0</v>
      </c>
      <c r="AZ120" s="21">
        <v>900</v>
      </c>
      <c r="BA120" s="21">
        <v>100</v>
      </c>
      <c r="BB120" s="21">
        <v>0</v>
      </c>
      <c r="BC120" s="19">
        <f>MROUND(AZ120/30*AW120, 1)</f>
        <v>480</v>
      </c>
      <c r="BD120" s="19">
        <f>MROUND(BA120/30*AW120, 1)</f>
        <v>53</v>
      </c>
      <c r="BE120" s="19">
        <f>MROUND((AZ120/30/8*1.25*AT120)+(AZ120/30/8*1.5*AU120)+(AZ120/30/8*1.5*AV120), 1)</f>
        <v>0</v>
      </c>
      <c r="BF120" s="19">
        <f>MROUND(BB120/30*AW120, 1)</f>
        <v>0</v>
      </c>
      <c r="BG120" s="19">
        <f>MROUND(AZ120/30*AY120, 1)</f>
        <v>0</v>
      </c>
      <c r="BH120" s="19">
        <f>MROUND(BA120/30*AY120, 1)</f>
        <v>0</v>
      </c>
      <c r="BI120" s="19">
        <v>0</v>
      </c>
      <c r="BJ120" s="19">
        <f>SUM(BC120:BI120)</f>
        <v>533</v>
      </c>
      <c r="BK120" s="19">
        <v>0</v>
      </c>
      <c r="BL120" s="19">
        <v>0</v>
      </c>
      <c r="BM120" s="19">
        <f>BK120+BL120</f>
        <v>0</v>
      </c>
      <c r="BN120" s="19">
        <f>BJ120-BM120</f>
        <v>533</v>
      </c>
      <c r="BO120" s="19">
        <v>0</v>
      </c>
      <c r="BP120" s="19">
        <v>0</v>
      </c>
      <c r="BQ120" s="22">
        <f>SUM(BN120:BO120)-BP120</f>
        <v>533</v>
      </c>
      <c r="BR120" s="82">
        <f>COUNTIF(F120:AI120, "8.5")</f>
        <v>0</v>
      </c>
      <c r="BS120" s="19">
        <f>BR120*0.5</f>
        <v>0</v>
      </c>
      <c r="BT120" s="19">
        <f>COUNTIF(F120:AI120, "9")</f>
        <v>0</v>
      </c>
      <c r="BU120" s="19">
        <f>BT120*1</f>
        <v>0</v>
      </c>
      <c r="BV120" s="19">
        <f>COUNTIF(F120:AI120, "9.5")</f>
        <v>0</v>
      </c>
      <c r="BW120" s="19">
        <f>BV120*1.5</f>
        <v>0</v>
      </c>
      <c r="BX120" s="19">
        <f>COUNTIF(F120:AI120, "10")</f>
        <v>0</v>
      </c>
      <c r="BY120" s="19">
        <f>BX120*2</f>
        <v>0</v>
      </c>
      <c r="BZ120" s="19">
        <f>COUNTIF(F120:AI120, "10.5")</f>
        <v>0</v>
      </c>
      <c r="CA120" s="19">
        <f>BZ120*2.5</f>
        <v>0</v>
      </c>
      <c r="CB120" s="19">
        <f>COUNTIF(F120:AI120, "11")</f>
        <v>0</v>
      </c>
      <c r="CC120" s="19">
        <f>CB120*3</f>
        <v>0</v>
      </c>
      <c r="CD120" s="19">
        <f>COUNTIF(F120:AI120, "11.5")</f>
        <v>0</v>
      </c>
      <c r="CE120" s="19">
        <f>CD120*3.5</f>
        <v>0</v>
      </c>
      <c r="CF120" s="19">
        <f>COUNTIF(F120:AI120, "12")</f>
        <v>0</v>
      </c>
      <c r="CG120" s="19">
        <f>CF120*4</f>
        <v>0</v>
      </c>
      <c r="CH120" s="19">
        <f>COUNTIF(F120:AI120, "12.5")</f>
        <v>0</v>
      </c>
      <c r="CI120" s="19">
        <f>CH120*4.5</f>
        <v>0</v>
      </c>
      <c r="CJ120" s="19">
        <f>COUNTIF(F120:AI120, "13")</f>
        <v>0</v>
      </c>
      <c r="CK120" s="19">
        <f>CJ120*5</f>
        <v>0</v>
      </c>
      <c r="CL120" s="19">
        <f>COUNTIF(F120:AI120, "13.5")</f>
        <v>0</v>
      </c>
      <c r="CM120" s="19">
        <f>CL120*5.5</f>
        <v>0</v>
      </c>
      <c r="CN120" s="19">
        <f>COUNTIF(F120:AI120, "14")</f>
        <v>0</v>
      </c>
      <c r="CO120" s="19">
        <f>CN120*6</f>
        <v>0</v>
      </c>
      <c r="CP120" s="19">
        <f>COUNTIF(F120:AI120, "14.5")</f>
        <v>0</v>
      </c>
      <c r="CQ120" s="19">
        <f>CP120*6.5</f>
        <v>0</v>
      </c>
      <c r="CR120" s="19">
        <f>COUNTIF(F120:AI120, "15")</f>
        <v>0</v>
      </c>
      <c r="CS120" s="19">
        <f>CR120*7</f>
        <v>0</v>
      </c>
      <c r="CT120" s="19">
        <f>COUNTIF(F120:AI120, "15.5")</f>
        <v>0</v>
      </c>
      <c r="CU120" s="19">
        <f>CT120*7.5</f>
        <v>0</v>
      </c>
      <c r="CV120" s="19">
        <f>COUNTIF(F120:AI120, "16")</f>
        <v>0</v>
      </c>
      <c r="CW120" s="19">
        <f>CV120*8</f>
        <v>0</v>
      </c>
      <c r="CX120" s="19">
        <f>COUNTIF(F120:AI120, "16.5")</f>
        <v>0</v>
      </c>
      <c r="CY120" s="19">
        <f>CX120*8.5</f>
        <v>0</v>
      </c>
      <c r="CZ120" s="19">
        <f>COUNTIF(F120:AI120, "17")</f>
        <v>0</v>
      </c>
      <c r="DA120" s="19">
        <f>CZ120*9</f>
        <v>0</v>
      </c>
      <c r="DB120" s="19">
        <f>COUNTIF(F120:AI120, "17.5")</f>
        <v>0</v>
      </c>
      <c r="DC120" s="19">
        <f>DB120*9.5</f>
        <v>0</v>
      </c>
      <c r="DD120" s="19">
        <f>COUNTIF(F120:AI120, "18")</f>
        <v>0</v>
      </c>
      <c r="DE120" s="19">
        <f>DD120*10</f>
        <v>0</v>
      </c>
      <c r="DF120" s="19">
        <f>COUNTIF(F120:AI120, "18.5")</f>
        <v>0</v>
      </c>
      <c r="DG120" s="19">
        <f>DF120*10.5</f>
        <v>0</v>
      </c>
      <c r="DH120" s="19">
        <f>COUNTIF(F120:AI120, "19")</f>
        <v>0</v>
      </c>
      <c r="DI120" s="19">
        <f>DH120*11</f>
        <v>0</v>
      </c>
      <c r="DJ120" s="19">
        <f>COUNTIF(F120:AI120, "19.5")</f>
        <v>0</v>
      </c>
      <c r="DK120" s="19">
        <f>DJ120*11.5</f>
        <v>0</v>
      </c>
      <c r="DL120" s="19">
        <f>COUNTIF(F120:AI120, "20")</f>
        <v>0</v>
      </c>
      <c r="DM120" s="19">
        <f>DL120*12</f>
        <v>0</v>
      </c>
      <c r="DN120" s="19">
        <f>COUNTIF(F120:AI120, "20.5")</f>
        <v>0</v>
      </c>
      <c r="DO120" s="19">
        <f>DN120*12.5</f>
        <v>0</v>
      </c>
      <c r="DP120" s="19">
        <f>COUNTIF(F120:AI120, "21")</f>
        <v>0</v>
      </c>
      <c r="DQ120" s="19">
        <f>DP120*13</f>
        <v>0</v>
      </c>
      <c r="DR120" s="19">
        <f>COUNTIF(F120:AI120, "21.5")</f>
        <v>0</v>
      </c>
      <c r="DS120" s="19">
        <f>DR120*13.5</f>
        <v>0</v>
      </c>
      <c r="DT120" s="19">
        <f>COUNTIF(F120:AI120, "22")</f>
        <v>0</v>
      </c>
      <c r="DU120" s="19">
        <f>DT120*14</f>
        <v>0</v>
      </c>
      <c r="DV120" s="19">
        <f>COUNTIF(F120:AI120, "22.5")</f>
        <v>0</v>
      </c>
      <c r="DW120" s="19">
        <f>DV120*14.5</f>
        <v>0</v>
      </c>
      <c r="DX120" s="19">
        <f>COUNTIF(F120:AI120, "23")</f>
        <v>0</v>
      </c>
      <c r="DY120" s="19">
        <f>DX120*15</f>
        <v>0</v>
      </c>
      <c r="DZ120" s="19">
        <f>COUNTIF(F120:AI120, "23.5")</f>
        <v>0</v>
      </c>
      <c r="EA120" s="19">
        <f>DZ120*15.5</f>
        <v>0</v>
      </c>
      <c r="EB120" s="19">
        <f>COUNTIF(F120:AI120, "24")</f>
        <v>0</v>
      </c>
      <c r="EC120" s="19">
        <f>EB120*16</f>
        <v>0</v>
      </c>
      <c r="ED120" s="150" t="s">
        <v>302</v>
      </c>
    </row>
    <row r="121" spans="1:134" s="78" customFormat="1" ht="18" customHeight="1" x14ac:dyDescent="0.25">
      <c r="A121" s="27">
        <v>118</v>
      </c>
      <c r="B121" s="145" t="s">
        <v>389</v>
      </c>
      <c r="C121" s="146" t="s">
        <v>391</v>
      </c>
      <c r="D121" s="133" t="s">
        <v>61</v>
      </c>
      <c r="E121" s="18">
        <v>45561</v>
      </c>
      <c r="F121" s="19" t="s">
        <v>316</v>
      </c>
      <c r="G121" s="19">
        <v>11</v>
      </c>
      <c r="H121" s="19">
        <v>11</v>
      </c>
      <c r="I121" s="19">
        <v>11</v>
      </c>
      <c r="J121" s="19" t="s">
        <v>603</v>
      </c>
      <c r="K121" s="19">
        <v>11</v>
      </c>
      <c r="L121" s="19" t="s">
        <v>316</v>
      </c>
      <c r="M121" s="19" t="s">
        <v>316</v>
      </c>
      <c r="N121" s="19" t="s">
        <v>316</v>
      </c>
      <c r="O121" s="19">
        <v>11</v>
      </c>
      <c r="P121" s="19">
        <v>11</v>
      </c>
      <c r="Q121" s="19">
        <v>11</v>
      </c>
      <c r="R121" s="19" t="s">
        <v>418</v>
      </c>
      <c r="S121" s="19" t="s">
        <v>418</v>
      </c>
      <c r="T121" s="19" t="s">
        <v>418</v>
      </c>
      <c r="U121" s="19" t="s">
        <v>418</v>
      </c>
      <c r="V121" s="19" t="s">
        <v>418</v>
      </c>
      <c r="W121" s="19" t="s">
        <v>418</v>
      </c>
      <c r="X121" s="19" t="s">
        <v>418</v>
      </c>
      <c r="Y121" s="19" t="s">
        <v>418</v>
      </c>
      <c r="Z121" s="19" t="s">
        <v>418</v>
      </c>
      <c r="AA121" s="19" t="s">
        <v>418</v>
      </c>
      <c r="AB121" s="19" t="s">
        <v>418</v>
      </c>
      <c r="AC121" s="19" t="s">
        <v>418</v>
      </c>
      <c r="AD121" s="19" t="s">
        <v>418</v>
      </c>
      <c r="AE121" s="19" t="s">
        <v>418</v>
      </c>
      <c r="AF121" s="19" t="s">
        <v>418</v>
      </c>
      <c r="AG121" s="19" t="s">
        <v>418</v>
      </c>
      <c r="AH121" s="19" t="s">
        <v>418</v>
      </c>
      <c r="AI121" s="19" t="s">
        <v>418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11</v>
      </c>
      <c r="AP121" s="19"/>
      <c r="AQ121" s="19"/>
      <c r="AR121" s="19"/>
      <c r="AS121" s="19">
        <v>0</v>
      </c>
      <c r="AT121" s="19">
        <f>SUM(BS121+BU121+BW121+BY121+CA121+CC121+CE121+CG121+CI121+CK121+CM121+CO121+CQ121+CS121+CU121+CW121+CY121+DA121+DC121+DE121+DG121+DI121+DK121+DM121+DO121+DQ121+DS121+DU121+DW121+DY121+EA121+EC121)</f>
        <v>21</v>
      </c>
      <c r="AU121" s="19">
        <f>SUM(AJ121:AN121)</f>
        <v>0</v>
      </c>
      <c r="AV121" s="19">
        <f>SUM(AO121:AS121)</f>
        <v>11</v>
      </c>
      <c r="AW121" s="16">
        <f>COUNTIF(F121:AI121,"8")+COUNTIF(F121:AI121,"8.5")+COUNTIF(F121:AI121,"9")+COUNTIF(F121:AI121,"9.5")+COUNTIF(F121:AI121,"10")+COUNTIF(F121:AI121,"10.5")+COUNTIF(F121:AI121,"11")+COUNTIF(F121:AI121,"11.5")+COUNTIF(F121:AI121,"12")+COUNTIF(F121:AI121,"12.5")+COUNTIF(F121:AI121,"13")+COUNTIF(F121:AI121,"13.5")+COUNTIF(F121:AI121,"14")+COUNTIF(F121:AI121,"14.5")+COUNTIF(F121:AI121,"15")+COUNTIF(F121:AI121,"15.5")+COUNTIF(F121:AI121,"16")+COUNTIF(F121:AI121,"16.5")+COUNTIF(F121:AI121,"17")+COUNTIF(F121:AI121,"17.5")+COUNTIF(F121:AI121,"18")+COUNTIF(F121:AI121,"18.5")+COUNTIF(F121:AI121,"19")+COUNTIF(F121:AI121,"19.5")+COUNTIF(F121:AI121,"20")+COUNTIF(F121:AI121,"20.5")+COUNTIF(F121:AI121,"21")+COUNTIF(F121:AI121,"21.5")+COUNTIF(F121:AI121,"22")+COUNTIF(F121:AI121,"22.5")+COUNTIF(F121:AI121,"23")+COUNTIF(F121:AI121,"23.5")+COUNTIF(F121:AI121,"24")+COUNTIF(F121:AI121,"S")+COUNTIF(F121:AI121,"PH")+COUNTIF(F121:AI121,"ML")+COUNTIF(F121:AI121,"OD")</f>
        <v>8</v>
      </c>
      <c r="AX121" s="16">
        <f>COUNTIF(F121:AI121,"A")</f>
        <v>4</v>
      </c>
      <c r="AY121" s="16">
        <f>COUNTIF(F121:AI121,"ID")</f>
        <v>0</v>
      </c>
      <c r="AZ121" s="21">
        <v>1000</v>
      </c>
      <c r="BA121" s="21">
        <v>100</v>
      </c>
      <c r="BB121" s="21">
        <v>0</v>
      </c>
      <c r="BC121" s="19">
        <f>MROUND(AZ121/30*AW121, 1)</f>
        <v>267</v>
      </c>
      <c r="BD121" s="19">
        <f>MROUND(BA121/30*AW121, 1)</f>
        <v>27</v>
      </c>
      <c r="BE121" s="19">
        <f>MROUND((AZ121/30/8*1.25*AT121)+(AZ121/30/8*1.5*AU121)+(AZ121/30/8*1.5*AV121), 1)</f>
        <v>178</v>
      </c>
      <c r="BF121" s="19">
        <f>MROUND(BB121/30*AW121, 1)</f>
        <v>0</v>
      </c>
      <c r="BG121" s="19">
        <f>MROUND(AZ121/30*AY121, 1)</f>
        <v>0</v>
      </c>
      <c r="BH121" s="19">
        <f>MROUND(BA121/30*AY121, 1)</f>
        <v>0</v>
      </c>
      <c r="BI121" s="19">
        <v>0</v>
      </c>
      <c r="BJ121" s="19">
        <f>SUM(BC121:BI121)</f>
        <v>472</v>
      </c>
      <c r="BK121" s="19">
        <v>0</v>
      </c>
      <c r="BL121" s="19">
        <v>0</v>
      </c>
      <c r="BM121" s="19">
        <f>BK121+BL121</f>
        <v>0</v>
      </c>
      <c r="BN121" s="19">
        <f>BJ121-BM121</f>
        <v>472</v>
      </c>
      <c r="BO121" s="19">
        <v>0</v>
      </c>
      <c r="BP121" s="19">
        <v>0</v>
      </c>
      <c r="BQ121" s="22">
        <f>SUM(BN121:BO121)-BP121</f>
        <v>472</v>
      </c>
      <c r="BR121" s="82">
        <f>COUNTIF(F121:AI121, "8.5")</f>
        <v>0</v>
      </c>
      <c r="BS121" s="19">
        <f>BR121*0.5</f>
        <v>0</v>
      </c>
      <c r="BT121" s="19">
        <f>COUNTIF(F121:AI121, "9")</f>
        <v>0</v>
      </c>
      <c r="BU121" s="19">
        <f>BT121*1</f>
        <v>0</v>
      </c>
      <c r="BV121" s="19">
        <f>COUNTIF(F121:AI121, "9.5")</f>
        <v>0</v>
      </c>
      <c r="BW121" s="19">
        <f>BV121*1.5</f>
        <v>0</v>
      </c>
      <c r="BX121" s="19">
        <f>COUNTIF(F121:AI121, "10")</f>
        <v>0</v>
      </c>
      <c r="BY121" s="19">
        <f>BX121*2</f>
        <v>0</v>
      </c>
      <c r="BZ121" s="19">
        <f>COUNTIF(F121:AI121, "10.5")</f>
        <v>0</v>
      </c>
      <c r="CA121" s="19">
        <f>BZ121*2.5</f>
        <v>0</v>
      </c>
      <c r="CB121" s="19">
        <f>COUNTIF(F121:AI121, "11")</f>
        <v>7</v>
      </c>
      <c r="CC121" s="19">
        <f>CB121*3</f>
        <v>21</v>
      </c>
      <c r="CD121" s="19">
        <f>COUNTIF(F121:AI121, "11.5")</f>
        <v>0</v>
      </c>
      <c r="CE121" s="19">
        <f>CD121*3.5</f>
        <v>0</v>
      </c>
      <c r="CF121" s="19">
        <f>COUNTIF(F121:AI121, "12")</f>
        <v>0</v>
      </c>
      <c r="CG121" s="19">
        <f>CF121*4</f>
        <v>0</v>
      </c>
      <c r="CH121" s="19">
        <f>COUNTIF(F121:AI121, "12.5")</f>
        <v>0</v>
      </c>
      <c r="CI121" s="19">
        <f>CH121*4.5</f>
        <v>0</v>
      </c>
      <c r="CJ121" s="19">
        <f>COUNTIF(F121:AI121, "13")</f>
        <v>0</v>
      </c>
      <c r="CK121" s="19">
        <f>CJ121*5</f>
        <v>0</v>
      </c>
      <c r="CL121" s="19">
        <f>COUNTIF(F121:AI121, "13.5")</f>
        <v>0</v>
      </c>
      <c r="CM121" s="19">
        <f>CL121*5.5</f>
        <v>0</v>
      </c>
      <c r="CN121" s="19">
        <f>COUNTIF(F121:AI121, "14")</f>
        <v>0</v>
      </c>
      <c r="CO121" s="19">
        <f>CN121*6</f>
        <v>0</v>
      </c>
      <c r="CP121" s="19">
        <f>COUNTIF(F121:AI121, "14.5")</f>
        <v>0</v>
      </c>
      <c r="CQ121" s="19">
        <f>CP121*6.5</f>
        <v>0</v>
      </c>
      <c r="CR121" s="19">
        <f>COUNTIF(F121:AI121, "15")</f>
        <v>0</v>
      </c>
      <c r="CS121" s="19">
        <f>CR121*7</f>
        <v>0</v>
      </c>
      <c r="CT121" s="19">
        <f>COUNTIF(F121:AI121, "15.5")</f>
        <v>0</v>
      </c>
      <c r="CU121" s="19">
        <f>CT121*7.5</f>
        <v>0</v>
      </c>
      <c r="CV121" s="19">
        <f>COUNTIF(F121:AI121, "16")</f>
        <v>0</v>
      </c>
      <c r="CW121" s="19">
        <f>CV121*8</f>
        <v>0</v>
      </c>
      <c r="CX121" s="19">
        <f>COUNTIF(F121:AI121, "16.5")</f>
        <v>0</v>
      </c>
      <c r="CY121" s="19">
        <f>CX121*8.5</f>
        <v>0</v>
      </c>
      <c r="CZ121" s="19">
        <f>COUNTIF(F121:AI121, "17")</f>
        <v>0</v>
      </c>
      <c r="DA121" s="19">
        <f>CZ121*9</f>
        <v>0</v>
      </c>
      <c r="DB121" s="19">
        <f>COUNTIF(F121:AI121, "17.5")</f>
        <v>0</v>
      </c>
      <c r="DC121" s="19">
        <f>DB121*9.5</f>
        <v>0</v>
      </c>
      <c r="DD121" s="19">
        <f>COUNTIF(F121:AI121, "18")</f>
        <v>0</v>
      </c>
      <c r="DE121" s="19">
        <f>DD121*10</f>
        <v>0</v>
      </c>
      <c r="DF121" s="19">
        <f>COUNTIF(F121:AI121, "18.5")</f>
        <v>0</v>
      </c>
      <c r="DG121" s="19">
        <f>DF121*10.5</f>
        <v>0</v>
      </c>
      <c r="DH121" s="19">
        <f>COUNTIF(F121:AI121, "19")</f>
        <v>0</v>
      </c>
      <c r="DI121" s="19">
        <f>DH121*11</f>
        <v>0</v>
      </c>
      <c r="DJ121" s="19">
        <f>COUNTIF(F121:AI121, "19.5")</f>
        <v>0</v>
      </c>
      <c r="DK121" s="19">
        <f>DJ121*11.5</f>
        <v>0</v>
      </c>
      <c r="DL121" s="19">
        <f>COUNTIF(F121:AI121, "20")</f>
        <v>0</v>
      </c>
      <c r="DM121" s="19">
        <f>DL121*12</f>
        <v>0</v>
      </c>
      <c r="DN121" s="19">
        <f>COUNTIF(F121:AI121, "20.5")</f>
        <v>0</v>
      </c>
      <c r="DO121" s="19">
        <f>DN121*12.5</f>
        <v>0</v>
      </c>
      <c r="DP121" s="19">
        <f>COUNTIF(F121:AI121, "21")</f>
        <v>0</v>
      </c>
      <c r="DQ121" s="19">
        <f>DP121*13</f>
        <v>0</v>
      </c>
      <c r="DR121" s="19">
        <f>COUNTIF(F121:AI121, "21.5")</f>
        <v>0</v>
      </c>
      <c r="DS121" s="19">
        <f>DR121*13.5</f>
        <v>0</v>
      </c>
      <c r="DT121" s="19">
        <f>COUNTIF(F121:AI121, "22")</f>
        <v>0</v>
      </c>
      <c r="DU121" s="19">
        <f>DT121*14</f>
        <v>0</v>
      </c>
      <c r="DV121" s="19">
        <f>COUNTIF(F121:AI121, "22.5")</f>
        <v>0</v>
      </c>
      <c r="DW121" s="19">
        <f>DV121*14.5</f>
        <v>0</v>
      </c>
      <c r="DX121" s="19">
        <f>COUNTIF(F121:AI121, "23")</f>
        <v>0</v>
      </c>
      <c r="DY121" s="19">
        <f>DX121*15</f>
        <v>0</v>
      </c>
      <c r="DZ121" s="19">
        <f>COUNTIF(F121:AI121, "23.5")</f>
        <v>0</v>
      </c>
      <c r="EA121" s="19">
        <f>DZ121*15.5</f>
        <v>0</v>
      </c>
      <c r="EB121" s="19">
        <f>COUNTIF(F121:AI121, "24")</f>
        <v>0</v>
      </c>
      <c r="EC121" s="19">
        <f>EB121*16</f>
        <v>0</v>
      </c>
      <c r="ED121" s="150" t="s">
        <v>302</v>
      </c>
    </row>
    <row r="122" spans="1:134" s="78" customFormat="1" ht="18" customHeight="1" x14ac:dyDescent="0.25">
      <c r="A122" s="27">
        <v>119</v>
      </c>
      <c r="B122" s="145" t="s">
        <v>515</v>
      </c>
      <c r="C122" s="146" t="s">
        <v>428</v>
      </c>
      <c r="D122" s="133" t="s">
        <v>61</v>
      </c>
      <c r="E122" s="18">
        <v>45610</v>
      </c>
      <c r="F122" s="19" t="s">
        <v>418</v>
      </c>
      <c r="G122" s="19" t="s">
        <v>418</v>
      </c>
      <c r="H122" s="19" t="s">
        <v>418</v>
      </c>
      <c r="I122" s="19" t="s">
        <v>418</v>
      </c>
      <c r="J122" s="19" t="s">
        <v>418</v>
      </c>
      <c r="K122" s="19" t="s">
        <v>418</v>
      </c>
      <c r="L122" s="19" t="s">
        <v>418</v>
      </c>
      <c r="M122" s="19" t="s">
        <v>418</v>
      </c>
      <c r="N122" s="19" t="s">
        <v>418</v>
      </c>
      <c r="O122" s="19" t="s">
        <v>418</v>
      </c>
      <c r="P122" s="19" t="s">
        <v>418</v>
      </c>
      <c r="Q122" s="19" t="s">
        <v>418</v>
      </c>
      <c r="R122" s="19" t="s">
        <v>418</v>
      </c>
      <c r="S122" s="19" t="s">
        <v>418</v>
      </c>
      <c r="T122" s="19" t="s">
        <v>418</v>
      </c>
      <c r="U122" s="19" t="s">
        <v>418</v>
      </c>
      <c r="V122" s="19" t="s">
        <v>418</v>
      </c>
      <c r="W122" s="19" t="s">
        <v>418</v>
      </c>
      <c r="X122" s="19" t="s">
        <v>418</v>
      </c>
      <c r="Y122" s="19" t="s">
        <v>418</v>
      </c>
      <c r="Z122" s="19" t="s">
        <v>418</v>
      </c>
      <c r="AA122" s="19" t="s">
        <v>418</v>
      </c>
      <c r="AB122" s="19" t="s">
        <v>418</v>
      </c>
      <c r="AC122" s="19" t="s">
        <v>418</v>
      </c>
      <c r="AD122" s="19" t="s">
        <v>418</v>
      </c>
      <c r="AE122" s="19" t="s">
        <v>418</v>
      </c>
      <c r="AF122" s="19" t="s">
        <v>418</v>
      </c>
      <c r="AG122" s="19" t="s">
        <v>418</v>
      </c>
      <c r="AH122" s="19" t="s">
        <v>418</v>
      </c>
      <c r="AI122" s="19" t="s">
        <v>418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/>
      <c r="AQ122" s="19"/>
      <c r="AR122" s="19"/>
      <c r="AS122" s="19">
        <v>0</v>
      </c>
      <c r="AT122" s="19">
        <f>SUM(BS122+BU122+BW122+BY122+CA122+CC122+CE122+CG122+CI122+CK122+CM122+CO122+CQ122+CS122+CU122+CW122+CY122+DA122+DC122+DE122+DG122+DI122+DK122+DM122+DO122+DQ122+DS122+DU122+DW122+DY122+EA122+EC122)</f>
        <v>0</v>
      </c>
      <c r="AU122" s="19">
        <f>SUM(AJ122:AN122)</f>
        <v>0</v>
      </c>
      <c r="AV122" s="19">
        <f>SUM(AO122:AS122)</f>
        <v>0</v>
      </c>
      <c r="AW122" s="16">
        <f>COUNTIF(F122:AI122,"8")+COUNTIF(F122:AI122,"8.5")+COUNTIF(F122:AI122,"9")+COUNTIF(F122:AI122,"9.5")+COUNTIF(F122:AI122,"10")+COUNTIF(F122:AI122,"10.5")+COUNTIF(F122:AI122,"11")+COUNTIF(F122:AI122,"11.5")+COUNTIF(F122:AI122,"12")+COUNTIF(F122:AI122,"12.5")+COUNTIF(F122:AI122,"13")+COUNTIF(F122:AI122,"13.5")+COUNTIF(F122:AI122,"14")+COUNTIF(F122:AI122,"14.5")+COUNTIF(F122:AI122,"15")+COUNTIF(F122:AI122,"15.5")+COUNTIF(F122:AI122,"16")+COUNTIF(F122:AI122,"16.5")+COUNTIF(F122:AI122,"17")+COUNTIF(F122:AI122,"17.5")+COUNTIF(F122:AI122,"18")+COUNTIF(F122:AI122,"18.5")+COUNTIF(F122:AI122,"19")+COUNTIF(F122:AI122,"19.5")+COUNTIF(F122:AI122,"20")+COUNTIF(F122:AI122,"20.5")+COUNTIF(F122:AI122,"21")+COUNTIF(F122:AI122,"21.5")+COUNTIF(F122:AI122,"22")+COUNTIF(F122:AI122,"22.5")+COUNTIF(F122:AI122,"23")+COUNTIF(F122:AI122,"23.5")+COUNTIF(F122:AI122,"24")+COUNTIF(F122:AI122,"S")+COUNTIF(F122:AI122,"PH")+COUNTIF(F122:AI122,"ML")+COUNTIF(F122:AI122,"OD")</f>
        <v>0</v>
      </c>
      <c r="AX122" s="16">
        <f>COUNTIF(F122:AI122,"A")</f>
        <v>0</v>
      </c>
      <c r="AY122" s="16">
        <f>COUNTIF(F122:AI122,"ID")</f>
        <v>0</v>
      </c>
      <c r="AZ122" s="21">
        <v>900</v>
      </c>
      <c r="BA122" s="21">
        <v>100</v>
      </c>
      <c r="BB122" s="21">
        <v>0</v>
      </c>
      <c r="BC122" s="19">
        <f>MROUND(AZ122/30*AW122, 1)</f>
        <v>0</v>
      </c>
      <c r="BD122" s="19">
        <f>MROUND(BA122/30*AW122, 1)</f>
        <v>0</v>
      </c>
      <c r="BE122" s="19">
        <f>MROUND((AZ122/30/8*1.25*AT122)+(AZ122/30/8*1.5*AU122)+(AZ122/30/8*1.5*AV122), 1)</f>
        <v>0</v>
      </c>
      <c r="BF122" s="19">
        <f>MROUND(BB122/30*AW122, 1)</f>
        <v>0</v>
      </c>
      <c r="BG122" s="19">
        <f>MROUND(AZ122/30*AY122, 1)</f>
        <v>0</v>
      </c>
      <c r="BH122" s="19">
        <f>MROUND(BA122/30*AY122, 1)</f>
        <v>0</v>
      </c>
      <c r="BI122" s="19">
        <v>0</v>
      </c>
      <c r="BJ122" s="19">
        <f>SUM(BC122:BI122)</f>
        <v>0</v>
      </c>
      <c r="BK122" s="19">
        <v>0</v>
      </c>
      <c r="BL122" s="19">
        <v>0</v>
      </c>
      <c r="BM122" s="19">
        <f>BK122+BL122</f>
        <v>0</v>
      </c>
      <c r="BN122" s="19">
        <f>BJ122-BM122</f>
        <v>0</v>
      </c>
      <c r="BO122" s="19">
        <v>0</v>
      </c>
      <c r="BP122" s="19">
        <v>0</v>
      </c>
      <c r="BQ122" s="22">
        <f>SUM(BN122:BO122)-BP122</f>
        <v>0</v>
      </c>
      <c r="BR122" s="82">
        <f>COUNTIF(F122:AI122, "8.5")</f>
        <v>0</v>
      </c>
      <c r="BS122" s="19">
        <f>BR122*0.5</f>
        <v>0</v>
      </c>
      <c r="BT122" s="19">
        <f>COUNTIF(F122:AI122, "9")</f>
        <v>0</v>
      </c>
      <c r="BU122" s="19">
        <f>BT122*1</f>
        <v>0</v>
      </c>
      <c r="BV122" s="19">
        <f>COUNTIF(F122:AI122, "9.5")</f>
        <v>0</v>
      </c>
      <c r="BW122" s="19">
        <f>BV122*1.5</f>
        <v>0</v>
      </c>
      <c r="BX122" s="19">
        <f>COUNTIF(F122:AI122, "10")</f>
        <v>0</v>
      </c>
      <c r="BY122" s="19">
        <f>BX122*2</f>
        <v>0</v>
      </c>
      <c r="BZ122" s="19">
        <f>COUNTIF(F122:AI122, "10.5")</f>
        <v>0</v>
      </c>
      <c r="CA122" s="19">
        <f>BZ122*2.5</f>
        <v>0</v>
      </c>
      <c r="CB122" s="19">
        <f>COUNTIF(F122:AI122, "11")</f>
        <v>0</v>
      </c>
      <c r="CC122" s="19">
        <f>CB122*3</f>
        <v>0</v>
      </c>
      <c r="CD122" s="19">
        <f>COUNTIF(F122:AI122, "11.5")</f>
        <v>0</v>
      </c>
      <c r="CE122" s="19">
        <f>CD122*3.5</f>
        <v>0</v>
      </c>
      <c r="CF122" s="19">
        <f>COUNTIF(F122:AI122, "12")</f>
        <v>0</v>
      </c>
      <c r="CG122" s="19">
        <f>CF122*4</f>
        <v>0</v>
      </c>
      <c r="CH122" s="19">
        <f>COUNTIF(F122:AI122, "12.5")</f>
        <v>0</v>
      </c>
      <c r="CI122" s="19">
        <f>CH122*4.5</f>
        <v>0</v>
      </c>
      <c r="CJ122" s="19">
        <f>COUNTIF(F122:AI122, "13")</f>
        <v>0</v>
      </c>
      <c r="CK122" s="19">
        <f>CJ122*5</f>
        <v>0</v>
      </c>
      <c r="CL122" s="19">
        <f>COUNTIF(F122:AI122, "13.5")</f>
        <v>0</v>
      </c>
      <c r="CM122" s="19">
        <f>CL122*5.5</f>
        <v>0</v>
      </c>
      <c r="CN122" s="19">
        <f>COUNTIF(F122:AI122, "14")</f>
        <v>0</v>
      </c>
      <c r="CO122" s="19">
        <f>CN122*6</f>
        <v>0</v>
      </c>
      <c r="CP122" s="19">
        <f>COUNTIF(F122:AI122, "14.5")</f>
        <v>0</v>
      </c>
      <c r="CQ122" s="19">
        <f>CP122*6.5</f>
        <v>0</v>
      </c>
      <c r="CR122" s="19">
        <f>COUNTIF(F122:AI122, "15")</f>
        <v>0</v>
      </c>
      <c r="CS122" s="19">
        <f>CR122*7</f>
        <v>0</v>
      </c>
      <c r="CT122" s="19">
        <f>COUNTIF(F122:AI122, "15.5")</f>
        <v>0</v>
      </c>
      <c r="CU122" s="19">
        <f>CT122*7.5</f>
        <v>0</v>
      </c>
      <c r="CV122" s="19">
        <f>COUNTIF(F122:AI122, "16")</f>
        <v>0</v>
      </c>
      <c r="CW122" s="19">
        <f>CV122*8</f>
        <v>0</v>
      </c>
      <c r="CX122" s="19">
        <f>COUNTIF(F122:AI122, "16.5")</f>
        <v>0</v>
      </c>
      <c r="CY122" s="19">
        <f>CX122*8.5</f>
        <v>0</v>
      </c>
      <c r="CZ122" s="19">
        <f>COUNTIF(F122:AI122, "17")</f>
        <v>0</v>
      </c>
      <c r="DA122" s="19">
        <f>CZ122*9</f>
        <v>0</v>
      </c>
      <c r="DB122" s="19">
        <f>COUNTIF(F122:AI122, "17.5")</f>
        <v>0</v>
      </c>
      <c r="DC122" s="19">
        <f>DB122*9.5</f>
        <v>0</v>
      </c>
      <c r="DD122" s="19">
        <f>COUNTIF(F122:AI122, "18")</f>
        <v>0</v>
      </c>
      <c r="DE122" s="19">
        <f>DD122*10</f>
        <v>0</v>
      </c>
      <c r="DF122" s="19">
        <f>COUNTIF(F122:AI122, "18.5")</f>
        <v>0</v>
      </c>
      <c r="DG122" s="19">
        <f>DF122*10.5</f>
        <v>0</v>
      </c>
      <c r="DH122" s="19">
        <f>COUNTIF(F122:AI122, "19")</f>
        <v>0</v>
      </c>
      <c r="DI122" s="19">
        <f>DH122*11</f>
        <v>0</v>
      </c>
      <c r="DJ122" s="19">
        <f>COUNTIF(F122:AI122, "19.5")</f>
        <v>0</v>
      </c>
      <c r="DK122" s="19">
        <f>DJ122*11.5</f>
        <v>0</v>
      </c>
      <c r="DL122" s="19">
        <f>COUNTIF(F122:AI122, "20")</f>
        <v>0</v>
      </c>
      <c r="DM122" s="19">
        <f>DL122*12</f>
        <v>0</v>
      </c>
      <c r="DN122" s="19">
        <f>COUNTIF(F122:AI122, "20.5")</f>
        <v>0</v>
      </c>
      <c r="DO122" s="19">
        <f>DN122*12.5</f>
        <v>0</v>
      </c>
      <c r="DP122" s="19">
        <f>COUNTIF(F122:AI122, "21")</f>
        <v>0</v>
      </c>
      <c r="DQ122" s="19">
        <f>DP122*13</f>
        <v>0</v>
      </c>
      <c r="DR122" s="19">
        <f>COUNTIF(F122:AI122, "21.5")</f>
        <v>0</v>
      </c>
      <c r="DS122" s="19">
        <f>DR122*13.5</f>
        <v>0</v>
      </c>
      <c r="DT122" s="19">
        <f>COUNTIF(F122:AI122, "22")</f>
        <v>0</v>
      </c>
      <c r="DU122" s="19">
        <f>DT122*14</f>
        <v>0</v>
      </c>
      <c r="DV122" s="19">
        <f>COUNTIF(F122:AI122, "22.5")</f>
        <v>0</v>
      </c>
      <c r="DW122" s="19">
        <f>DV122*14.5</f>
        <v>0</v>
      </c>
      <c r="DX122" s="19">
        <f>COUNTIF(F122:AI122, "23")</f>
        <v>0</v>
      </c>
      <c r="DY122" s="19">
        <f>DX122*15</f>
        <v>0</v>
      </c>
      <c r="DZ122" s="19">
        <f>COUNTIF(F122:AI122, "23.5")</f>
        <v>0</v>
      </c>
      <c r="EA122" s="19">
        <f>DZ122*15.5</f>
        <v>0</v>
      </c>
      <c r="EB122" s="19">
        <f>COUNTIF(F122:AI122, "24")</f>
        <v>0</v>
      </c>
      <c r="EC122" s="19">
        <f>EB122*16</f>
        <v>0</v>
      </c>
      <c r="ED122" s="150" t="s">
        <v>302</v>
      </c>
    </row>
    <row r="123" spans="1:134" s="78" customFormat="1" ht="18" customHeight="1" x14ac:dyDescent="0.25">
      <c r="A123" s="27">
        <v>120</v>
      </c>
      <c r="B123" s="145" t="s">
        <v>614</v>
      </c>
      <c r="C123" s="146" t="s">
        <v>566</v>
      </c>
      <c r="D123" s="133" t="s">
        <v>61</v>
      </c>
      <c r="E123" s="18">
        <v>45825</v>
      </c>
      <c r="F123" s="19">
        <v>8</v>
      </c>
      <c r="G123" s="19">
        <v>8</v>
      </c>
      <c r="H123" s="19">
        <v>8</v>
      </c>
      <c r="I123" s="19">
        <v>8</v>
      </c>
      <c r="J123" s="19" t="s">
        <v>603</v>
      </c>
      <c r="K123" s="19">
        <v>8</v>
      </c>
      <c r="L123" s="19" t="s">
        <v>418</v>
      </c>
      <c r="M123" s="19" t="s">
        <v>418</v>
      </c>
      <c r="N123" s="19" t="s">
        <v>418</v>
      </c>
      <c r="O123" s="19" t="s">
        <v>418</v>
      </c>
      <c r="P123" s="19" t="s">
        <v>418</v>
      </c>
      <c r="Q123" s="19" t="s">
        <v>418</v>
      </c>
      <c r="R123" s="19" t="s">
        <v>418</v>
      </c>
      <c r="S123" s="19" t="s">
        <v>418</v>
      </c>
      <c r="T123" s="19" t="s">
        <v>418</v>
      </c>
      <c r="U123" s="19" t="s">
        <v>418</v>
      </c>
      <c r="V123" s="19" t="s">
        <v>418</v>
      </c>
      <c r="W123" s="19" t="s">
        <v>418</v>
      </c>
      <c r="X123" s="19" t="s">
        <v>418</v>
      </c>
      <c r="Y123" s="19" t="s">
        <v>418</v>
      </c>
      <c r="Z123" s="19" t="s">
        <v>418</v>
      </c>
      <c r="AA123" s="19" t="s">
        <v>418</v>
      </c>
      <c r="AB123" s="19" t="s">
        <v>418</v>
      </c>
      <c r="AC123" s="19" t="s">
        <v>418</v>
      </c>
      <c r="AD123" s="19" t="s">
        <v>418</v>
      </c>
      <c r="AE123" s="19" t="s">
        <v>418</v>
      </c>
      <c r="AF123" s="19" t="s">
        <v>418</v>
      </c>
      <c r="AG123" s="19" t="s">
        <v>418</v>
      </c>
      <c r="AH123" s="19" t="s">
        <v>418</v>
      </c>
      <c r="AI123" s="19" t="s">
        <v>418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/>
      <c r="AQ123" s="19"/>
      <c r="AR123" s="19"/>
      <c r="AS123" s="19">
        <v>0</v>
      </c>
      <c r="AT123" s="19">
        <f>SUM(BS123+BU123+BW123+BY123+CA123+CC123+CE123+CG123+CI123+CK123+CM123+CO123+CQ123+CS123+CU123+CW123+CY123+DA123+DC123+DE123+DG123+DI123+DK123+DM123+DO123+DQ123+DS123+DU123+DW123+DY123+EA123+EC123)</f>
        <v>0</v>
      </c>
      <c r="AU123" s="19">
        <f>SUM(AJ123:AN123)</f>
        <v>0</v>
      </c>
      <c r="AV123" s="19">
        <f>SUM(AO123:AS123)</f>
        <v>0</v>
      </c>
      <c r="AW123" s="16">
        <f>COUNTIF(F123:AI123,"8")+COUNTIF(F123:AI123,"8.5")+COUNTIF(F123:AI123,"9")+COUNTIF(F123:AI123,"9.5")+COUNTIF(F123:AI123,"10")+COUNTIF(F123:AI123,"10.5")+COUNTIF(F123:AI123,"11")+COUNTIF(F123:AI123,"11.5")+COUNTIF(F123:AI123,"12")+COUNTIF(F123:AI123,"12.5")+COUNTIF(F123:AI123,"13")+COUNTIF(F123:AI123,"13.5")+COUNTIF(F123:AI123,"14")+COUNTIF(F123:AI123,"14.5")+COUNTIF(F123:AI123,"15")+COUNTIF(F123:AI123,"15.5")+COUNTIF(F123:AI123,"16")+COUNTIF(F123:AI123,"16.5")+COUNTIF(F123:AI123,"17")+COUNTIF(F123:AI123,"17.5")+COUNTIF(F123:AI123,"18")+COUNTIF(F123:AI123,"18.5")+COUNTIF(F123:AI123,"19")+COUNTIF(F123:AI123,"19.5")+COUNTIF(F123:AI123,"20")+COUNTIF(F123:AI123,"20.5")+COUNTIF(F123:AI123,"21")+COUNTIF(F123:AI123,"21.5")+COUNTIF(F123:AI123,"22")+COUNTIF(F123:AI123,"22.5")+COUNTIF(F123:AI123,"23")+COUNTIF(F123:AI123,"23.5")+COUNTIF(F123:AI123,"24")+COUNTIF(F123:AI123,"S")+COUNTIF(F123:AI123,"PH")+COUNTIF(F123:AI123,"ML")+COUNTIF(F123:AI123,"OD")</f>
        <v>6</v>
      </c>
      <c r="AX123" s="16">
        <f>COUNTIF(F123:AI123,"A")</f>
        <v>0</v>
      </c>
      <c r="AY123" s="16">
        <f>COUNTIF(F123:AI123,"ID")</f>
        <v>0</v>
      </c>
      <c r="AZ123" s="21">
        <v>1100</v>
      </c>
      <c r="BA123" s="21">
        <v>100</v>
      </c>
      <c r="BB123" s="21">
        <v>0</v>
      </c>
      <c r="BC123" s="19">
        <f>MROUND(AZ123/30*AW123, 1)</f>
        <v>220</v>
      </c>
      <c r="BD123" s="19">
        <f>MROUND(BA123/30*AW123, 1)</f>
        <v>20</v>
      </c>
      <c r="BE123" s="19">
        <f>MROUND((AZ123/30/8*1.25*AT123)+(AZ123/30/8*1.5*AU123)+(AZ123/30/8*1.5*AV123), 1)</f>
        <v>0</v>
      </c>
      <c r="BF123" s="19">
        <f>MROUND(BB123/30*AW123, 1)</f>
        <v>0</v>
      </c>
      <c r="BG123" s="19">
        <f>MROUND(AZ123/30*AY123, 1)</f>
        <v>0</v>
      </c>
      <c r="BH123" s="19">
        <f>MROUND(BA123/30*AY123, 1)</f>
        <v>0</v>
      </c>
      <c r="BI123" s="19">
        <v>0</v>
      </c>
      <c r="BJ123" s="19">
        <f>SUM(BC123:BI123)</f>
        <v>240</v>
      </c>
      <c r="BK123" s="19">
        <v>100</v>
      </c>
      <c r="BL123" s="19">
        <v>0</v>
      </c>
      <c r="BM123" s="19">
        <f>BK123+BL123</f>
        <v>100</v>
      </c>
      <c r="BN123" s="19">
        <f>BJ123-BM123</f>
        <v>140</v>
      </c>
      <c r="BO123" s="19">
        <v>0</v>
      </c>
      <c r="BP123" s="19">
        <v>0</v>
      </c>
      <c r="BQ123" s="22">
        <f>SUM(BN123:BO123)-BP123</f>
        <v>140</v>
      </c>
      <c r="BR123" s="82">
        <f>COUNTIF(F123:AI123, "8.5")</f>
        <v>0</v>
      </c>
      <c r="BS123" s="19">
        <f>BR123*0.5</f>
        <v>0</v>
      </c>
      <c r="BT123" s="19">
        <f>COUNTIF(F123:AI123, "9")</f>
        <v>0</v>
      </c>
      <c r="BU123" s="19">
        <f>BT123*1</f>
        <v>0</v>
      </c>
      <c r="BV123" s="19">
        <f>COUNTIF(F123:AI123, "9.5")</f>
        <v>0</v>
      </c>
      <c r="BW123" s="19">
        <f>BV123*1.5</f>
        <v>0</v>
      </c>
      <c r="BX123" s="19">
        <f>COUNTIF(F123:AI123, "10")</f>
        <v>0</v>
      </c>
      <c r="BY123" s="19">
        <f>BX123*2</f>
        <v>0</v>
      </c>
      <c r="BZ123" s="19">
        <f>COUNTIF(F123:AI123, "10.5")</f>
        <v>0</v>
      </c>
      <c r="CA123" s="19">
        <f>BZ123*2.5</f>
        <v>0</v>
      </c>
      <c r="CB123" s="19">
        <f>COUNTIF(F123:AI123, "11")</f>
        <v>0</v>
      </c>
      <c r="CC123" s="19">
        <f>CB123*3</f>
        <v>0</v>
      </c>
      <c r="CD123" s="19">
        <f>COUNTIF(F123:AI123, "11.5")</f>
        <v>0</v>
      </c>
      <c r="CE123" s="19">
        <f>CD123*3.5</f>
        <v>0</v>
      </c>
      <c r="CF123" s="19">
        <f>COUNTIF(F123:AI123, "12")</f>
        <v>0</v>
      </c>
      <c r="CG123" s="19">
        <f>CF123*4</f>
        <v>0</v>
      </c>
      <c r="CH123" s="19">
        <f>COUNTIF(F123:AI123, "12.5")</f>
        <v>0</v>
      </c>
      <c r="CI123" s="19">
        <f>CH123*4.5</f>
        <v>0</v>
      </c>
      <c r="CJ123" s="19">
        <f>COUNTIF(F123:AI123, "13")</f>
        <v>0</v>
      </c>
      <c r="CK123" s="19">
        <f>CJ123*5</f>
        <v>0</v>
      </c>
      <c r="CL123" s="19">
        <f>COUNTIF(F123:AI123, "13.5")</f>
        <v>0</v>
      </c>
      <c r="CM123" s="19">
        <f>CL123*5.5</f>
        <v>0</v>
      </c>
      <c r="CN123" s="19">
        <f>COUNTIF(F123:AI123, "14")</f>
        <v>0</v>
      </c>
      <c r="CO123" s="19">
        <f>CN123*6</f>
        <v>0</v>
      </c>
      <c r="CP123" s="19">
        <f>COUNTIF(F123:AI123, "14.5")</f>
        <v>0</v>
      </c>
      <c r="CQ123" s="19">
        <f>CP123*6.5</f>
        <v>0</v>
      </c>
      <c r="CR123" s="19">
        <f>COUNTIF(F123:AI123, "15")</f>
        <v>0</v>
      </c>
      <c r="CS123" s="19">
        <f>CR123*7</f>
        <v>0</v>
      </c>
      <c r="CT123" s="19">
        <f>COUNTIF(F123:AI123, "15.5")</f>
        <v>0</v>
      </c>
      <c r="CU123" s="19">
        <f>CT123*7.5</f>
        <v>0</v>
      </c>
      <c r="CV123" s="19">
        <f>COUNTIF(F123:AI123, "16")</f>
        <v>0</v>
      </c>
      <c r="CW123" s="19">
        <f>CV123*8</f>
        <v>0</v>
      </c>
      <c r="CX123" s="19">
        <f>COUNTIF(F123:AI123, "16.5")</f>
        <v>0</v>
      </c>
      <c r="CY123" s="19">
        <f>CX123*8.5</f>
        <v>0</v>
      </c>
      <c r="CZ123" s="19">
        <f>COUNTIF(F123:AI123, "17")</f>
        <v>0</v>
      </c>
      <c r="DA123" s="19">
        <f>CZ123*9</f>
        <v>0</v>
      </c>
      <c r="DB123" s="19">
        <f>COUNTIF(F123:AI123, "17.5")</f>
        <v>0</v>
      </c>
      <c r="DC123" s="19">
        <f>DB123*9.5</f>
        <v>0</v>
      </c>
      <c r="DD123" s="19">
        <f>COUNTIF(F123:AI123, "18")</f>
        <v>0</v>
      </c>
      <c r="DE123" s="19">
        <f>DD123*10</f>
        <v>0</v>
      </c>
      <c r="DF123" s="19">
        <f>COUNTIF(F123:AI123, "18.5")</f>
        <v>0</v>
      </c>
      <c r="DG123" s="19">
        <f>DF123*10.5</f>
        <v>0</v>
      </c>
      <c r="DH123" s="19">
        <f>COUNTIF(F123:AI123, "19")</f>
        <v>0</v>
      </c>
      <c r="DI123" s="19">
        <f>DH123*11</f>
        <v>0</v>
      </c>
      <c r="DJ123" s="19">
        <f>COUNTIF(F123:AI123, "19.5")</f>
        <v>0</v>
      </c>
      <c r="DK123" s="19">
        <f>DJ123*11.5</f>
        <v>0</v>
      </c>
      <c r="DL123" s="19">
        <f>COUNTIF(F123:AI123, "20")</f>
        <v>0</v>
      </c>
      <c r="DM123" s="19">
        <f>DL123*12</f>
        <v>0</v>
      </c>
      <c r="DN123" s="19">
        <f>COUNTIF(F123:AI123, "20.5")</f>
        <v>0</v>
      </c>
      <c r="DO123" s="19">
        <f>DN123*12.5</f>
        <v>0</v>
      </c>
      <c r="DP123" s="19">
        <f>COUNTIF(F123:AI123, "21")</f>
        <v>0</v>
      </c>
      <c r="DQ123" s="19">
        <f>DP123*13</f>
        <v>0</v>
      </c>
      <c r="DR123" s="19">
        <f>COUNTIF(F123:AI123, "21.5")</f>
        <v>0</v>
      </c>
      <c r="DS123" s="19">
        <f>DR123*13.5</f>
        <v>0</v>
      </c>
      <c r="DT123" s="19">
        <f>COUNTIF(F123:AI123, "22")</f>
        <v>0</v>
      </c>
      <c r="DU123" s="19">
        <f>DT123*14</f>
        <v>0</v>
      </c>
      <c r="DV123" s="19">
        <f>COUNTIF(F123:AI123, "22.5")</f>
        <v>0</v>
      </c>
      <c r="DW123" s="19">
        <f>DV123*14.5</f>
        <v>0</v>
      </c>
      <c r="DX123" s="19">
        <f>COUNTIF(F123:AI123, "23")</f>
        <v>0</v>
      </c>
      <c r="DY123" s="19">
        <f>DX123*15</f>
        <v>0</v>
      </c>
      <c r="DZ123" s="19">
        <f>COUNTIF(F123:AI123, "23.5")</f>
        <v>0</v>
      </c>
      <c r="EA123" s="19">
        <f>DZ123*15.5</f>
        <v>0</v>
      </c>
      <c r="EB123" s="19">
        <f>COUNTIF(F123:AI123, "24")</f>
        <v>0</v>
      </c>
      <c r="EC123" s="19">
        <f>EB123*16</f>
        <v>0</v>
      </c>
      <c r="ED123" s="150" t="s">
        <v>302</v>
      </c>
    </row>
    <row r="124" spans="1:134" s="78" customFormat="1" ht="18" customHeight="1" x14ac:dyDescent="0.25">
      <c r="A124" s="27">
        <v>121</v>
      </c>
      <c r="B124" s="125" t="s">
        <v>253</v>
      </c>
      <c r="C124" s="49" t="s">
        <v>248</v>
      </c>
      <c r="D124" s="29" t="s">
        <v>61</v>
      </c>
      <c r="E124" s="18">
        <v>45274</v>
      </c>
      <c r="F124" s="19" t="s">
        <v>417</v>
      </c>
      <c r="G124" s="19" t="s">
        <v>417</v>
      </c>
      <c r="H124" s="19" t="s">
        <v>417</v>
      </c>
      <c r="I124" s="19" t="s">
        <v>417</v>
      </c>
      <c r="J124" s="19" t="s">
        <v>417</v>
      </c>
      <c r="K124" s="19" t="s">
        <v>417</v>
      </c>
      <c r="L124" s="19" t="s">
        <v>417</v>
      </c>
      <c r="M124" s="19" t="s">
        <v>417</v>
      </c>
      <c r="N124" s="19" t="s">
        <v>417</v>
      </c>
      <c r="O124" s="19" t="s">
        <v>417</v>
      </c>
      <c r="P124" s="19" t="s">
        <v>417</v>
      </c>
      <c r="Q124" s="19" t="s">
        <v>417</v>
      </c>
      <c r="R124" s="19" t="s">
        <v>417</v>
      </c>
      <c r="S124" s="19" t="s">
        <v>417</v>
      </c>
      <c r="T124" s="19" t="s">
        <v>417</v>
      </c>
      <c r="U124" s="19" t="s">
        <v>417</v>
      </c>
      <c r="V124" s="19" t="s">
        <v>417</v>
      </c>
      <c r="W124" s="19" t="s">
        <v>417</v>
      </c>
      <c r="X124" s="19" t="s">
        <v>417</v>
      </c>
      <c r="Y124" s="19" t="s">
        <v>417</v>
      </c>
      <c r="Z124" s="19" t="s">
        <v>417</v>
      </c>
      <c r="AA124" s="19" t="s">
        <v>417</v>
      </c>
      <c r="AB124" s="19" t="s">
        <v>417</v>
      </c>
      <c r="AC124" s="19" t="s">
        <v>417</v>
      </c>
      <c r="AD124" s="19" t="s">
        <v>417</v>
      </c>
      <c r="AE124" s="19" t="s">
        <v>417</v>
      </c>
      <c r="AF124" s="19" t="s">
        <v>417</v>
      </c>
      <c r="AG124" s="19" t="s">
        <v>417</v>
      </c>
      <c r="AH124" s="19" t="s">
        <v>417</v>
      </c>
      <c r="AI124" s="19" t="s">
        <v>417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/>
      <c r="AQ124" s="19"/>
      <c r="AR124" s="19"/>
      <c r="AS124" s="19">
        <v>0</v>
      </c>
      <c r="AT124" s="19">
        <f t="shared" si="240"/>
        <v>0</v>
      </c>
      <c r="AU124" s="19">
        <f t="shared" si="241"/>
        <v>0</v>
      </c>
      <c r="AV124" s="19">
        <f t="shared" si="242"/>
        <v>0</v>
      </c>
      <c r="AW124" s="16">
        <f t="shared" si="243"/>
        <v>0</v>
      </c>
      <c r="AX124" s="16">
        <f t="shared" si="244"/>
        <v>0</v>
      </c>
      <c r="AY124" s="16">
        <f t="shared" si="245"/>
        <v>0</v>
      </c>
      <c r="AZ124" s="21">
        <v>1100</v>
      </c>
      <c r="BA124" s="21">
        <v>100</v>
      </c>
      <c r="BB124" s="21">
        <v>0</v>
      </c>
      <c r="BC124" s="19">
        <f t="shared" si="246"/>
        <v>0</v>
      </c>
      <c r="BD124" s="19">
        <f t="shared" si="247"/>
        <v>0</v>
      </c>
      <c r="BE124" s="19">
        <f t="shared" si="248"/>
        <v>0</v>
      </c>
      <c r="BF124" s="19">
        <f t="shared" si="249"/>
        <v>0</v>
      </c>
      <c r="BG124" s="19">
        <f t="shared" si="250"/>
        <v>0</v>
      </c>
      <c r="BH124" s="19">
        <f t="shared" si="251"/>
        <v>0</v>
      </c>
      <c r="BI124" s="19">
        <v>0</v>
      </c>
      <c r="BJ124" s="19">
        <f t="shared" si="252"/>
        <v>0</v>
      </c>
      <c r="BK124" s="19">
        <v>0</v>
      </c>
      <c r="BL124" s="19">
        <v>0</v>
      </c>
      <c r="BM124" s="19">
        <f t="shared" si="253"/>
        <v>0</v>
      </c>
      <c r="BN124" s="19">
        <f t="shared" si="254"/>
        <v>0</v>
      </c>
      <c r="BO124" s="19">
        <v>0</v>
      </c>
      <c r="BP124" s="19">
        <v>0</v>
      </c>
      <c r="BQ124" s="22">
        <f t="shared" si="255"/>
        <v>0</v>
      </c>
      <c r="BR124" s="82">
        <f t="shared" si="256"/>
        <v>0</v>
      </c>
      <c r="BS124" s="19">
        <f t="shared" si="257"/>
        <v>0</v>
      </c>
      <c r="BT124" s="19">
        <f t="shared" si="258"/>
        <v>0</v>
      </c>
      <c r="BU124" s="19">
        <f t="shared" si="259"/>
        <v>0</v>
      </c>
      <c r="BV124" s="19">
        <f t="shared" si="260"/>
        <v>0</v>
      </c>
      <c r="BW124" s="19">
        <f t="shared" si="261"/>
        <v>0</v>
      </c>
      <c r="BX124" s="19">
        <f t="shared" si="262"/>
        <v>0</v>
      </c>
      <c r="BY124" s="19">
        <f t="shared" si="263"/>
        <v>0</v>
      </c>
      <c r="BZ124" s="19">
        <f t="shared" si="264"/>
        <v>0</v>
      </c>
      <c r="CA124" s="19">
        <f t="shared" si="265"/>
        <v>0</v>
      </c>
      <c r="CB124" s="19">
        <f t="shared" si="266"/>
        <v>0</v>
      </c>
      <c r="CC124" s="19">
        <f t="shared" si="267"/>
        <v>0</v>
      </c>
      <c r="CD124" s="19">
        <f t="shared" si="268"/>
        <v>0</v>
      </c>
      <c r="CE124" s="19">
        <f t="shared" si="269"/>
        <v>0</v>
      </c>
      <c r="CF124" s="19">
        <f t="shared" si="270"/>
        <v>0</v>
      </c>
      <c r="CG124" s="19">
        <f t="shared" si="271"/>
        <v>0</v>
      </c>
      <c r="CH124" s="19">
        <f t="shared" si="272"/>
        <v>0</v>
      </c>
      <c r="CI124" s="19">
        <f t="shared" si="273"/>
        <v>0</v>
      </c>
      <c r="CJ124" s="19">
        <f t="shared" si="274"/>
        <v>0</v>
      </c>
      <c r="CK124" s="19">
        <f t="shared" si="275"/>
        <v>0</v>
      </c>
      <c r="CL124" s="19">
        <f t="shared" si="276"/>
        <v>0</v>
      </c>
      <c r="CM124" s="19">
        <f t="shared" si="277"/>
        <v>0</v>
      </c>
      <c r="CN124" s="19">
        <f t="shared" si="278"/>
        <v>0</v>
      </c>
      <c r="CO124" s="19">
        <f t="shared" si="279"/>
        <v>0</v>
      </c>
      <c r="CP124" s="19">
        <f t="shared" si="280"/>
        <v>0</v>
      </c>
      <c r="CQ124" s="19">
        <f t="shared" si="281"/>
        <v>0</v>
      </c>
      <c r="CR124" s="19">
        <f t="shared" si="282"/>
        <v>0</v>
      </c>
      <c r="CS124" s="19">
        <f t="shared" si="283"/>
        <v>0</v>
      </c>
      <c r="CT124" s="19">
        <f t="shared" si="284"/>
        <v>0</v>
      </c>
      <c r="CU124" s="19">
        <f t="shared" si="285"/>
        <v>0</v>
      </c>
      <c r="CV124" s="19">
        <f t="shared" si="286"/>
        <v>0</v>
      </c>
      <c r="CW124" s="19">
        <f t="shared" si="287"/>
        <v>0</v>
      </c>
      <c r="CX124" s="19">
        <f t="shared" si="288"/>
        <v>0</v>
      </c>
      <c r="CY124" s="19">
        <f t="shared" si="289"/>
        <v>0</v>
      </c>
      <c r="CZ124" s="19">
        <f t="shared" si="290"/>
        <v>0</v>
      </c>
      <c r="DA124" s="19">
        <f t="shared" si="291"/>
        <v>0</v>
      </c>
      <c r="DB124" s="19">
        <f t="shared" si="292"/>
        <v>0</v>
      </c>
      <c r="DC124" s="19">
        <f t="shared" si="293"/>
        <v>0</v>
      </c>
      <c r="DD124" s="19">
        <f t="shared" si="294"/>
        <v>0</v>
      </c>
      <c r="DE124" s="19">
        <f t="shared" si="295"/>
        <v>0</v>
      </c>
      <c r="DF124" s="19">
        <f t="shared" si="296"/>
        <v>0</v>
      </c>
      <c r="DG124" s="19">
        <f t="shared" si="297"/>
        <v>0</v>
      </c>
      <c r="DH124" s="19">
        <f t="shared" si="298"/>
        <v>0</v>
      </c>
      <c r="DI124" s="19">
        <f t="shared" si="299"/>
        <v>0</v>
      </c>
      <c r="DJ124" s="19">
        <f t="shared" si="300"/>
        <v>0</v>
      </c>
      <c r="DK124" s="19">
        <f t="shared" si="301"/>
        <v>0</v>
      </c>
      <c r="DL124" s="19">
        <f t="shared" si="302"/>
        <v>0</v>
      </c>
      <c r="DM124" s="19">
        <f t="shared" si="303"/>
        <v>0</v>
      </c>
      <c r="DN124" s="19">
        <f t="shared" si="304"/>
        <v>0</v>
      </c>
      <c r="DO124" s="19">
        <f t="shared" si="305"/>
        <v>0</v>
      </c>
      <c r="DP124" s="19">
        <f t="shared" si="306"/>
        <v>0</v>
      </c>
      <c r="DQ124" s="19">
        <f t="shared" si="307"/>
        <v>0</v>
      </c>
      <c r="DR124" s="19">
        <f t="shared" si="308"/>
        <v>0</v>
      </c>
      <c r="DS124" s="19">
        <f t="shared" si="309"/>
        <v>0</v>
      </c>
      <c r="DT124" s="19">
        <f t="shared" si="310"/>
        <v>0</v>
      </c>
      <c r="DU124" s="19">
        <f t="shared" si="311"/>
        <v>0</v>
      </c>
      <c r="DV124" s="19">
        <f t="shared" si="312"/>
        <v>0</v>
      </c>
      <c r="DW124" s="19">
        <f t="shared" si="313"/>
        <v>0</v>
      </c>
      <c r="DX124" s="19">
        <f t="shared" si="314"/>
        <v>0</v>
      </c>
      <c r="DY124" s="19">
        <f t="shared" si="315"/>
        <v>0</v>
      </c>
      <c r="DZ124" s="19">
        <f t="shared" si="316"/>
        <v>0</v>
      </c>
      <c r="EA124" s="19">
        <f t="shared" si="317"/>
        <v>0</v>
      </c>
      <c r="EB124" s="19">
        <f t="shared" si="318"/>
        <v>0</v>
      </c>
      <c r="EC124" s="19">
        <f t="shared" si="319"/>
        <v>0</v>
      </c>
      <c r="ED124" s="100" t="s">
        <v>172</v>
      </c>
    </row>
    <row r="125" spans="1:134" s="78" customFormat="1" ht="18" customHeight="1" x14ac:dyDescent="0.25">
      <c r="A125" s="27">
        <v>122</v>
      </c>
      <c r="B125" s="125" t="s">
        <v>383</v>
      </c>
      <c r="C125" s="49" t="s">
        <v>339</v>
      </c>
      <c r="D125" s="29" t="s">
        <v>61</v>
      </c>
      <c r="E125" s="18">
        <v>45497</v>
      </c>
      <c r="F125" s="19" t="s">
        <v>417</v>
      </c>
      <c r="G125" s="19" t="s">
        <v>417</v>
      </c>
      <c r="H125" s="19" t="s">
        <v>417</v>
      </c>
      <c r="I125" s="19" t="s">
        <v>417</v>
      </c>
      <c r="J125" s="19" t="s">
        <v>417</v>
      </c>
      <c r="K125" s="19" t="s">
        <v>417</v>
      </c>
      <c r="L125" s="19" t="s">
        <v>417</v>
      </c>
      <c r="M125" s="19" t="s">
        <v>417</v>
      </c>
      <c r="N125" s="19" t="s">
        <v>417</v>
      </c>
      <c r="O125" s="19" t="s">
        <v>417</v>
      </c>
      <c r="P125" s="19" t="s">
        <v>417</v>
      </c>
      <c r="Q125" s="19" t="s">
        <v>417</v>
      </c>
      <c r="R125" s="19" t="s">
        <v>417</v>
      </c>
      <c r="S125" s="19" t="s">
        <v>417</v>
      </c>
      <c r="T125" s="19" t="s">
        <v>417</v>
      </c>
      <c r="U125" s="19" t="s">
        <v>417</v>
      </c>
      <c r="V125" s="19" t="s">
        <v>417</v>
      </c>
      <c r="W125" s="19" t="s">
        <v>417</v>
      </c>
      <c r="X125" s="19" t="s">
        <v>417</v>
      </c>
      <c r="Y125" s="19" t="s">
        <v>417</v>
      </c>
      <c r="Z125" s="19" t="s">
        <v>417</v>
      </c>
      <c r="AA125" s="19" t="s">
        <v>417</v>
      </c>
      <c r="AB125" s="19" t="s">
        <v>417</v>
      </c>
      <c r="AC125" s="19" t="s">
        <v>417</v>
      </c>
      <c r="AD125" s="19" t="s">
        <v>417</v>
      </c>
      <c r="AE125" s="19" t="s">
        <v>417</v>
      </c>
      <c r="AF125" s="19" t="s">
        <v>417</v>
      </c>
      <c r="AG125" s="19" t="s">
        <v>417</v>
      </c>
      <c r="AH125" s="19" t="s">
        <v>417</v>
      </c>
      <c r="AI125" s="19" t="s">
        <v>417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/>
      <c r="AQ125" s="19"/>
      <c r="AR125" s="19"/>
      <c r="AS125" s="19">
        <v>0</v>
      </c>
      <c r="AT125" s="19">
        <f t="shared" si="240"/>
        <v>0</v>
      </c>
      <c r="AU125" s="19">
        <f t="shared" si="241"/>
        <v>0</v>
      </c>
      <c r="AV125" s="19">
        <f t="shared" si="242"/>
        <v>0</v>
      </c>
      <c r="AW125" s="16">
        <f t="shared" si="243"/>
        <v>0</v>
      </c>
      <c r="AX125" s="16">
        <f t="shared" si="244"/>
        <v>0</v>
      </c>
      <c r="AY125" s="16">
        <f t="shared" si="245"/>
        <v>0</v>
      </c>
      <c r="AZ125" s="21">
        <v>950</v>
      </c>
      <c r="BA125" s="21">
        <v>100</v>
      </c>
      <c r="BB125" s="21">
        <v>0</v>
      </c>
      <c r="BC125" s="19">
        <f t="shared" si="246"/>
        <v>0</v>
      </c>
      <c r="BD125" s="19">
        <f t="shared" si="247"/>
        <v>0</v>
      </c>
      <c r="BE125" s="19">
        <f t="shared" si="248"/>
        <v>0</v>
      </c>
      <c r="BF125" s="19">
        <f t="shared" si="249"/>
        <v>0</v>
      </c>
      <c r="BG125" s="19">
        <f t="shared" si="250"/>
        <v>0</v>
      </c>
      <c r="BH125" s="19">
        <f t="shared" si="251"/>
        <v>0</v>
      </c>
      <c r="BI125" s="19">
        <v>0</v>
      </c>
      <c r="BJ125" s="19">
        <f t="shared" si="252"/>
        <v>0</v>
      </c>
      <c r="BK125" s="19">
        <v>0</v>
      </c>
      <c r="BL125" s="19">
        <v>0</v>
      </c>
      <c r="BM125" s="19">
        <f t="shared" si="253"/>
        <v>0</v>
      </c>
      <c r="BN125" s="19">
        <f t="shared" si="254"/>
        <v>0</v>
      </c>
      <c r="BO125" s="19">
        <v>0</v>
      </c>
      <c r="BP125" s="19">
        <v>0</v>
      </c>
      <c r="BQ125" s="22">
        <f t="shared" si="255"/>
        <v>0</v>
      </c>
      <c r="BR125" s="82">
        <f t="shared" si="256"/>
        <v>0</v>
      </c>
      <c r="BS125" s="19">
        <f t="shared" si="257"/>
        <v>0</v>
      </c>
      <c r="BT125" s="19">
        <f t="shared" si="258"/>
        <v>0</v>
      </c>
      <c r="BU125" s="19">
        <f t="shared" si="259"/>
        <v>0</v>
      </c>
      <c r="BV125" s="19">
        <f t="shared" si="260"/>
        <v>0</v>
      </c>
      <c r="BW125" s="19">
        <f t="shared" si="261"/>
        <v>0</v>
      </c>
      <c r="BX125" s="19">
        <f t="shared" si="262"/>
        <v>0</v>
      </c>
      <c r="BY125" s="19">
        <f t="shared" si="263"/>
        <v>0</v>
      </c>
      <c r="BZ125" s="19">
        <f t="shared" si="264"/>
        <v>0</v>
      </c>
      <c r="CA125" s="19">
        <f t="shared" si="265"/>
        <v>0</v>
      </c>
      <c r="CB125" s="19">
        <f t="shared" si="266"/>
        <v>0</v>
      </c>
      <c r="CC125" s="19">
        <f t="shared" si="267"/>
        <v>0</v>
      </c>
      <c r="CD125" s="19">
        <f t="shared" si="268"/>
        <v>0</v>
      </c>
      <c r="CE125" s="19">
        <f t="shared" si="269"/>
        <v>0</v>
      </c>
      <c r="CF125" s="19">
        <f t="shared" si="270"/>
        <v>0</v>
      </c>
      <c r="CG125" s="19">
        <f t="shared" si="271"/>
        <v>0</v>
      </c>
      <c r="CH125" s="19">
        <f t="shared" si="272"/>
        <v>0</v>
      </c>
      <c r="CI125" s="19">
        <f t="shared" si="273"/>
        <v>0</v>
      </c>
      <c r="CJ125" s="19">
        <f t="shared" si="274"/>
        <v>0</v>
      </c>
      <c r="CK125" s="19">
        <f t="shared" si="275"/>
        <v>0</v>
      </c>
      <c r="CL125" s="19">
        <f t="shared" si="276"/>
        <v>0</v>
      </c>
      <c r="CM125" s="19">
        <f t="shared" si="277"/>
        <v>0</v>
      </c>
      <c r="CN125" s="19">
        <f t="shared" si="278"/>
        <v>0</v>
      </c>
      <c r="CO125" s="19">
        <f t="shared" si="279"/>
        <v>0</v>
      </c>
      <c r="CP125" s="19">
        <f t="shared" si="280"/>
        <v>0</v>
      </c>
      <c r="CQ125" s="19">
        <f t="shared" si="281"/>
        <v>0</v>
      </c>
      <c r="CR125" s="19">
        <f t="shared" si="282"/>
        <v>0</v>
      </c>
      <c r="CS125" s="19">
        <f t="shared" si="283"/>
        <v>0</v>
      </c>
      <c r="CT125" s="19">
        <f t="shared" si="284"/>
        <v>0</v>
      </c>
      <c r="CU125" s="19">
        <f t="shared" si="285"/>
        <v>0</v>
      </c>
      <c r="CV125" s="19">
        <f t="shared" si="286"/>
        <v>0</v>
      </c>
      <c r="CW125" s="19">
        <f t="shared" si="287"/>
        <v>0</v>
      </c>
      <c r="CX125" s="19">
        <f t="shared" si="288"/>
        <v>0</v>
      </c>
      <c r="CY125" s="19">
        <f t="shared" si="289"/>
        <v>0</v>
      </c>
      <c r="CZ125" s="19">
        <f t="shared" si="290"/>
        <v>0</v>
      </c>
      <c r="DA125" s="19">
        <f t="shared" si="291"/>
        <v>0</v>
      </c>
      <c r="DB125" s="19">
        <f t="shared" si="292"/>
        <v>0</v>
      </c>
      <c r="DC125" s="19">
        <f t="shared" si="293"/>
        <v>0</v>
      </c>
      <c r="DD125" s="19">
        <f t="shared" si="294"/>
        <v>0</v>
      </c>
      <c r="DE125" s="19">
        <f t="shared" si="295"/>
        <v>0</v>
      </c>
      <c r="DF125" s="19">
        <f t="shared" si="296"/>
        <v>0</v>
      </c>
      <c r="DG125" s="19">
        <f t="shared" si="297"/>
        <v>0</v>
      </c>
      <c r="DH125" s="19">
        <f t="shared" si="298"/>
        <v>0</v>
      </c>
      <c r="DI125" s="19">
        <f t="shared" si="299"/>
        <v>0</v>
      </c>
      <c r="DJ125" s="19">
        <f t="shared" si="300"/>
        <v>0</v>
      </c>
      <c r="DK125" s="19">
        <f t="shared" si="301"/>
        <v>0</v>
      </c>
      <c r="DL125" s="19">
        <f t="shared" si="302"/>
        <v>0</v>
      </c>
      <c r="DM125" s="19">
        <f t="shared" si="303"/>
        <v>0</v>
      </c>
      <c r="DN125" s="19">
        <f t="shared" si="304"/>
        <v>0</v>
      </c>
      <c r="DO125" s="19">
        <f t="shared" si="305"/>
        <v>0</v>
      </c>
      <c r="DP125" s="19">
        <f t="shared" si="306"/>
        <v>0</v>
      </c>
      <c r="DQ125" s="19">
        <f t="shared" si="307"/>
        <v>0</v>
      </c>
      <c r="DR125" s="19">
        <f t="shared" si="308"/>
        <v>0</v>
      </c>
      <c r="DS125" s="19">
        <f t="shared" si="309"/>
        <v>0</v>
      </c>
      <c r="DT125" s="19">
        <f t="shared" si="310"/>
        <v>0</v>
      </c>
      <c r="DU125" s="19">
        <f t="shared" si="311"/>
        <v>0</v>
      </c>
      <c r="DV125" s="19">
        <f t="shared" si="312"/>
        <v>0</v>
      </c>
      <c r="DW125" s="19">
        <f t="shared" si="313"/>
        <v>0</v>
      </c>
      <c r="DX125" s="19">
        <f t="shared" si="314"/>
        <v>0</v>
      </c>
      <c r="DY125" s="19">
        <f t="shared" si="315"/>
        <v>0</v>
      </c>
      <c r="DZ125" s="19">
        <f t="shared" si="316"/>
        <v>0</v>
      </c>
      <c r="EA125" s="19">
        <f t="shared" si="317"/>
        <v>0</v>
      </c>
      <c r="EB125" s="19">
        <f t="shared" si="318"/>
        <v>0</v>
      </c>
      <c r="EC125" s="19">
        <f t="shared" si="319"/>
        <v>0</v>
      </c>
      <c r="ED125" s="100" t="s">
        <v>172</v>
      </c>
    </row>
    <row r="126" spans="1:134" s="78" customFormat="1" ht="18" customHeight="1" x14ac:dyDescent="0.25">
      <c r="A126" s="27">
        <v>123</v>
      </c>
      <c r="B126" s="111" t="s">
        <v>543</v>
      </c>
      <c r="C126" s="75" t="s">
        <v>424</v>
      </c>
      <c r="D126" s="29" t="s">
        <v>61</v>
      </c>
      <c r="E126" s="18">
        <v>45593</v>
      </c>
      <c r="F126" s="19" t="s">
        <v>417</v>
      </c>
      <c r="G126" s="19" t="s">
        <v>417</v>
      </c>
      <c r="H126" s="19" t="s">
        <v>417</v>
      </c>
      <c r="I126" s="19" t="s">
        <v>417</v>
      </c>
      <c r="J126" s="19" t="s">
        <v>417</v>
      </c>
      <c r="K126" s="19" t="s">
        <v>417</v>
      </c>
      <c r="L126" s="19" t="s">
        <v>417</v>
      </c>
      <c r="M126" s="19" t="s">
        <v>417</v>
      </c>
      <c r="N126" s="19" t="s">
        <v>417</v>
      </c>
      <c r="O126" s="19" t="s">
        <v>417</v>
      </c>
      <c r="P126" s="19" t="s">
        <v>417</v>
      </c>
      <c r="Q126" s="19" t="s">
        <v>417</v>
      </c>
      <c r="R126" s="19" t="s">
        <v>417</v>
      </c>
      <c r="S126" s="19" t="s">
        <v>417</v>
      </c>
      <c r="T126" s="19" t="s">
        <v>417</v>
      </c>
      <c r="U126" s="19" t="s">
        <v>417</v>
      </c>
      <c r="V126" s="19" t="s">
        <v>417</v>
      </c>
      <c r="W126" s="19" t="s">
        <v>417</v>
      </c>
      <c r="X126" s="19" t="s">
        <v>417</v>
      </c>
      <c r="Y126" s="19" t="s">
        <v>417</v>
      </c>
      <c r="Z126" s="19" t="s">
        <v>417</v>
      </c>
      <c r="AA126" s="19" t="s">
        <v>417</v>
      </c>
      <c r="AB126" s="19" t="s">
        <v>417</v>
      </c>
      <c r="AC126" s="19" t="s">
        <v>417</v>
      </c>
      <c r="AD126" s="19" t="s">
        <v>417</v>
      </c>
      <c r="AE126" s="19" t="s">
        <v>417</v>
      </c>
      <c r="AF126" s="19" t="s">
        <v>417</v>
      </c>
      <c r="AG126" s="19" t="s">
        <v>417</v>
      </c>
      <c r="AH126" s="19" t="s">
        <v>417</v>
      </c>
      <c r="AI126" s="19" t="s">
        <v>417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/>
      <c r="AQ126" s="19"/>
      <c r="AR126" s="19"/>
      <c r="AS126" s="19">
        <v>0</v>
      </c>
      <c r="AT126" s="19">
        <f t="shared" si="240"/>
        <v>0</v>
      </c>
      <c r="AU126" s="19">
        <f t="shared" si="241"/>
        <v>0</v>
      </c>
      <c r="AV126" s="19">
        <f t="shared" si="242"/>
        <v>0</v>
      </c>
      <c r="AW126" s="16">
        <f t="shared" si="243"/>
        <v>0</v>
      </c>
      <c r="AX126" s="16">
        <f t="shared" si="244"/>
        <v>0</v>
      </c>
      <c r="AY126" s="16">
        <f t="shared" si="245"/>
        <v>0</v>
      </c>
      <c r="AZ126" s="21">
        <v>1000</v>
      </c>
      <c r="BA126" s="21">
        <v>100</v>
      </c>
      <c r="BB126" s="21">
        <v>0</v>
      </c>
      <c r="BC126" s="19">
        <f t="shared" si="246"/>
        <v>0</v>
      </c>
      <c r="BD126" s="19">
        <f t="shared" si="247"/>
        <v>0</v>
      </c>
      <c r="BE126" s="19">
        <f t="shared" si="248"/>
        <v>0</v>
      </c>
      <c r="BF126" s="19">
        <f t="shared" si="249"/>
        <v>0</v>
      </c>
      <c r="BG126" s="19">
        <f t="shared" si="250"/>
        <v>0</v>
      </c>
      <c r="BH126" s="19">
        <f t="shared" si="251"/>
        <v>0</v>
      </c>
      <c r="BI126" s="19">
        <v>0</v>
      </c>
      <c r="BJ126" s="19">
        <f t="shared" si="252"/>
        <v>0</v>
      </c>
      <c r="BK126" s="19">
        <v>0</v>
      </c>
      <c r="BL126" s="19">
        <v>0</v>
      </c>
      <c r="BM126" s="19">
        <f t="shared" si="253"/>
        <v>0</v>
      </c>
      <c r="BN126" s="19">
        <f t="shared" si="254"/>
        <v>0</v>
      </c>
      <c r="BO126" s="19">
        <v>0</v>
      </c>
      <c r="BP126" s="19">
        <v>0</v>
      </c>
      <c r="BQ126" s="22">
        <f t="shared" si="255"/>
        <v>0</v>
      </c>
      <c r="BR126" s="82">
        <f t="shared" si="256"/>
        <v>0</v>
      </c>
      <c r="BS126" s="19">
        <f t="shared" si="257"/>
        <v>0</v>
      </c>
      <c r="BT126" s="19">
        <f t="shared" si="258"/>
        <v>0</v>
      </c>
      <c r="BU126" s="19">
        <f t="shared" si="259"/>
        <v>0</v>
      </c>
      <c r="BV126" s="19">
        <f t="shared" si="260"/>
        <v>0</v>
      </c>
      <c r="BW126" s="19">
        <f t="shared" si="261"/>
        <v>0</v>
      </c>
      <c r="BX126" s="19">
        <f t="shared" si="262"/>
        <v>0</v>
      </c>
      <c r="BY126" s="19">
        <f t="shared" si="263"/>
        <v>0</v>
      </c>
      <c r="BZ126" s="19">
        <f t="shared" si="264"/>
        <v>0</v>
      </c>
      <c r="CA126" s="19">
        <f t="shared" si="265"/>
        <v>0</v>
      </c>
      <c r="CB126" s="19">
        <f t="shared" si="266"/>
        <v>0</v>
      </c>
      <c r="CC126" s="19">
        <f t="shared" si="267"/>
        <v>0</v>
      </c>
      <c r="CD126" s="19">
        <f t="shared" si="268"/>
        <v>0</v>
      </c>
      <c r="CE126" s="19">
        <f t="shared" si="269"/>
        <v>0</v>
      </c>
      <c r="CF126" s="19">
        <f t="shared" si="270"/>
        <v>0</v>
      </c>
      <c r="CG126" s="19">
        <f t="shared" si="271"/>
        <v>0</v>
      </c>
      <c r="CH126" s="19">
        <f t="shared" si="272"/>
        <v>0</v>
      </c>
      <c r="CI126" s="19">
        <f t="shared" si="273"/>
        <v>0</v>
      </c>
      <c r="CJ126" s="19">
        <f t="shared" si="274"/>
        <v>0</v>
      </c>
      <c r="CK126" s="19">
        <f t="shared" si="275"/>
        <v>0</v>
      </c>
      <c r="CL126" s="19">
        <f t="shared" si="276"/>
        <v>0</v>
      </c>
      <c r="CM126" s="19">
        <f t="shared" si="277"/>
        <v>0</v>
      </c>
      <c r="CN126" s="19">
        <f t="shared" si="278"/>
        <v>0</v>
      </c>
      <c r="CO126" s="19">
        <f t="shared" si="279"/>
        <v>0</v>
      </c>
      <c r="CP126" s="19">
        <f t="shared" si="280"/>
        <v>0</v>
      </c>
      <c r="CQ126" s="19">
        <f t="shared" si="281"/>
        <v>0</v>
      </c>
      <c r="CR126" s="19">
        <f t="shared" si="282"/>
        <v>0</v>
      </c>
      <c r="CS126" s="19">
        <f t="shared" si="283"/>
        <v>0</v>
      </c>
      <c r="CT126" s="19">
        <f t="shared" si="284"/>
        <v>0</v>
      </c>
      <c r="CU126" s="19">
        <f t="shared" si="285"/>
        <v>0</v>
      </c>
      <c r="CV126" s="19">
        <f t="shared" si="286"/>
        <v>0</v>
      </c>
      <c r="CW126" s="19">
        <f t="shared" si="287"/>
        <v>0</v>
      </c>
      <c r="CX126" s="19">
        <f t="shared" si="288"/>
        <v>0</v>
      </c>
      <c r="CY126" s="19">
        <f t="shared" si="289"/>
        <v>0</v>
      </c>
      <c r="CZ126" s="19">
        <f t="shared" si="290"/>
        <v>0</v>
      </c>
      <c r="DA126" s="19">
        <f t="shared" si="291"/>
        <v>0</v>
      </c>
      <c r="DB126" s="19">
        <f t="shared" si="292"/>
        <v>0</v>
      </c>
      <c r="DC126" s="19">
        <f t="shared" si="293"/>
        <v>0</v>
      </c>
      <c r="DD126" s="19">
        <f t="shared" si="294"/>
        <v>0</v>
      </c>
      <c r="DE126" s="19">
        <f t="shared" si="295"/>
        <v>0</v>
      </c>
      <c r="DF126" s="19">
        <f t="shared" si="296"/>
        <v>0</v>
      </c>
      <c r="DG126" s="19">
        <f t="shared" si="297"/>
        <v>0</v>
      </c>
      <c r="DH126" s="19">
        <f t="shared" si="298"/>
        <v>0</v>
      </c>
      <c r="DI126" s="19">
        <f t="shared" si="299"/>
        <v>0</v>
      </c>
      <c r="DJ126" s="19">
        <f t="shared" si="300"/>
        <v>0</v>
      </c>
      <c r="DK126" s="19">
        <f t="shared" si="301"/>
        <v>0</v>
      </c>
      <c r="DL126" s="19">
        <f t="shared" si="302"/>
        <v>0</v>
      </c>
      <c r="DM126" s="19">
        <f t="shared" si="303"/>
        <v>0</v>
      </c>
      <c r="DN126" s="19">
        <f t="shared" si="304"/>
        <v>0</v>
      </c>
      <c r="DO126" s="19">
        <f t="shared" si="305"/>
        <v>0</v>
      </c>
      <c r="DP126" s="19">
        <f t="shared" si="306"/>
        <v>0</v>
      </c>
      <c r="DQ126" s="19">
        <f t="shared" si="307"/>
        <v>0</v>
      </c>
      <c r="DR126" s="19">
        <f t="shared" si="308"/>
        <v>0</v>
      </c>
      <c r="DS126" s="19">
        <f t="shared" si="309"/>
        <v>0</v>
      </c>
      <c r="DT126" s="19">
        <f t="shared" si="310"/>
        <v>0</v>
      </c>
      <c r="DU126" s="19">
        <f t="shared" si="311"/>
        <v>0</v>
      </c>
      <c r="DV126" s="19">
        <f t="shared" si="312"/>
        <v>0</v>
      </c>
      <c r="DW126" s="19">
        <f t="shared" si="313"/>
        <v>0</v>
      </c>
      <c r="DX126" s="19">
        <f t="shared" si="314"/>
        <v>0</v>
      </c>
      <c r="DY126" s="19">
        <f t="shared" si="315"/>
        <v>0</v>
      </c>
      <c r="DZ126" s="19">
        <f t="shared" si="316"/>
        <v>0</v>
      </c>
      <c r="EA126" s="19">
        <f t="shared" si="317"/>
        <v>0</v>
      </c>
      <c r="EB126" s="19">
        <f t="shared" si="318"/>
        <v>0</v>
      </c>
      <c r="EC126" s="19">
        <f t="shared" si="319"/>
        <v>0</v>
      </c>
      <c r="ED126" s="100" t="s">
        <v>172</v>
      </c>
    </row>
    <row r="127" spans="1:134" s="78" customFormat="1" ht="18" customHeight="1" x14ac:dyDescent="0.25">
      <c r="A127" s="27">
        <v>124</v>
      </c>
      <c r="B127" s="111" t="s">
        <v>522</v>
      </c>
      <c r="C127" s="75" t="s">
        <v>485</v>
      </c>
      <c r="D127" s="29" t="s">
        <v>61</v>
      </c>
      <c r="E127" s="18">
        <v>45717</v>
      </c>
      <c r="F127" s="19" t="s">
        <v>417</v>
      </c>
      <c r="G127" s="19" t="s">
        <v>417</v>
      </c>
      <c r="H127" s="19" t="s">
        <v>417</v>
      </c>
      <c r="I127" s="19" t="s">
        <v>417</v>
      </c>
      <c r="J127" s="19" t="s">
        <v>417</v>
      </c>
      <c r="K127" s="19" t="s">
        <v>417</v>
      </c>
      <c r="L127" s="19" t="s">
        <v>417</v>
      </c>
      <c r="M127" s="19" t="s">
        <v>417</v>
      </c>
      <c r="N127" s="19" t="s">
        <v>417</v>
      </c>
      <c r="O127" s="19" t="s">
        <v>417</v>
      </c>
      <c r="P127" s="19" t="s">
        <v>417</v>
      </c>
      <c r="Q127" s="19" t="s">
        <v>417</v>
      </c>
      <c r="R127" s="19" t="s">
        <v>417</v>
      </c>
      <c r="S127" s="19" t="s">
        <v>417</v>
      </c>
      <c r="T127" s="19" t="s">
        <v>417</v>
      </c>
      <c r="U127" s="19" t="s">
        <v>417</v>
      </c>
      <c r="V127" s="19" t="s">
        <v>417</v>
      </c>
      <c r="W127" s="19" t="s">
        <v>417</v>
      </c>
      <c r="X127" s="19" t="s">
        <v>417</v>
      </c>
      <c r="Y127" s="19" t="s">
        <v>417</v>
      </c>
      <c r="Z127" s="19" t="s">
        <v>417</v>
      </c>
      <c r="AA127" s="19" t="s">
        <v>417</v>
      </c>
      <c r="AB127" s="19" t="s">
        <v>417</v>
      </c>
      <c r="AC127" s="19" t="s">
        <v>417</v>
      </c>
      <c r="AD127" s="19" t="s">
        <v>417</v>
      </c>
      <c r="AE127" s="19" t="s">
        <v>417</v>
      </c>
      <c r="AF127" s="19" t="s">
        <v>417</v>
      </c>
      <c r="AG127" s="19" t="s">
        <v>417</v>
      </c>
      <c r="AH127" s="19" t="s">
        <v>417</v>
      </c>
      <c r="AI127" s="19" t="s">
        <v>417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/>
      <c r="AQ127" s="19"/>
      <c r="AR127" s="19"/>
      <c r="AS127" s="19">
        <v>0</v>
      </c>
      <c r="AT127" s="19">
        <f t="shared" si="240"/>
        <v>0</v>
      </c>
      <c r="AU127" s="19">
        <f t="shared" si="241"/>
        <v>0</v>
      </c>
      <c r="AV127" s="19">
        <f t="shared" si="242"/>
        <v>0</v>
      </c>
      <c r="AW127" s="16">
        <f t="shared" si="243"/>
        <v>0</v>
      </c>
      <c r="AX127" s="16">
        <f t="shared" si="244"/>
        <v>0</v>
      </c>
      <c r="AY127" s="16">
        <f t="shared" si="245"/>
        <v>0</v>
      </c>
      <c r="AZ127" s="21">
        <v>1150</v>
      </c>
      <c r="BA127" s="21">
        <v>100</v>
      </c>
      <c r="BB127" s="21">
        <v>0</v>
      </c>
      <c r="BC127" s="19">
        <f t="shared" si="246"/>
        <v>0</v>
      </c>
      <c r="BD127" s="19">
        <f t="shared" si="247"/>
        <v>0</v>
      </c>
      <c r="BE127" s="19">
        <f t="shared" si="248"/>
        <v>0</v>
      </c>
      <c r="BF127" s="19">
        <f t="shared" si="249"/>
        <v>0</v>
      </c>
      <c r="BG127" s="19">
        <f t="shared" si="250"/>
        <v>0</v>
      </c>
      <c r="BH127" s="19">
        <f t="shared" si="251"/>
        <v>0</v>
      </c>
      <c r="BI127" s="19">
        <v>0</v>
      </c>
      <c r="BJ127" s="19">
        <f t="shared" si="252"/>
        <v>0</v>
      </c>
      <c r="BK127" s="19">
        <v>0</v>
      </c>
      <c r="BL127" s="19">
        <v>0</v>
      </c>
      <c r="BM127" s="19">
        <f t="shared" si="253"/>
        <v>0</v>
      </c>
      <c r="BN127" s="19">
        <f t="shared" si="254"/>
        <v>0</v>
      </c>
      <c r="BO127" s="19">
        <v>0</v>
      </c>
      <c r="BP127" s="19">
        <v>0</v>
      </c>
      <c r="BQ127" s="22">
        <f t="shared" si="255"/>
        <v>0</v>
      </c>
      <c r="BR127" s="82">
        <f t="shared" si="256"/>
        <v>0</v>
      </c>
      <c r="BS127" s="19">
        <f t="shared" si="257"/>
        <v>0</v>
      </c>
      <c r="BT127" s="19">
        <f t="shared" si="258"/>
        <v>0</v>
      </c>
      <c r="BU127" s="19">
        <f t="shared" si="259"/>
        <v>0</v>
      </c>
      <c r="BV127" s="19">
        <f t="shared" si="260"/>
        <v>0</v>
      </c>
      <c r="BW127" s="19">
        <f t="shared" si="261"/>
        <v>0</v>
      </c>
      <c r="BX127" s="19">
        <f t="shared" si="262"/>
        <v>0</v>
      </c>
      <c r="BY127" s="19">
        <f t="shared" si="263"/>
        <v>0</v>
      </c>
      <c r="BZ127" s="19">
        <f t="shared" si="264"/>
        <v>0</v>
      </c>
      <c r="CA127" s="19">
        <f t="shared" si="265"/>
        <v>0</v>
      </c>
      <c r="CB127" s="19">
        <f t="shared" si="266"/>
        <v>0</v>
      </c>
      <c r="CC127" s="19">
        <f t="shared" si="267"/>
        <v>0</v>
      </c>
      <c r="CD127" s="19">
        <f t="shared" si="268"/>
        <v>0</v>
      </c>
      <c r="CE127" s="19">
        <f t="shared" si="269"/>
        <v>0</v>
      </c>
      <c r="CF127" s="19">
        <f t="shared" si="270"/>
        <v>0</v>
      </c>
      <c r="CG127" s="19">
        <f t="shared" si="271"/>
        <v>0</v>
      </c>
      <c r="CH127" s="19">
        <f t="shared" si="272"/>
        <v>0</v>
      </c>
      <c r="CI127" s="19">
        <f t="shared" si="273"/>
        <v>0</v>
      </c>
      <c r="CJ127" s="19">
        <f t="shared" si="274"/>
        <v>0</v>
      </c>
      <c r="CK127" s="19">
        <f t="shared" si="275"/>
        <v>0</v>
      </c>
      <c r="CL127" s="19">
        <f t="shared" si="276"/>
        <v>0</v>
      </c>
      <c r="CM127" s="19">
        <f t="shared" si="277"/>
        <v>0</v>
      </c>
      <c r="CN127" s="19">
        <f t="shared" si="278"/>
        <v>0</v>
      </c>
      <c r="CO127" s="19">
        <f t="shared" si="279"/>
        <v>0</v>
      </c>
      <c r="CP127" s="19">
        <f t="shared" si="280"/>
        <v>0</v>
      </c>
      <c r="CQ127" s="19">
        <f t="shared" si="281"/>
        <v>0</v>
      </c>
      <c r="CR127" s="19">
        <f t="shared" si="282"/>
        <v>0</v>
      </c>
      <c r="CS127" s="19">
        <f t="shared" si="283"/>
        <v>0</v>
      </c>
      <c r="CT127" s="19">
        <f t="shared" si="284"/>
        <v>0</v>
      </c>
      <c r="CU127" s="19">
        <f t="shared" si="285"/>
        <v>0</v>
      </c>
      <c r="CV127" s="19">
        <f t="shared" si="286"/>
        <v>0</v>
      </c>
      <c r="CW127" s="19">
        <f t="shared" si="287"/>
        <v>0</v>
      </c>
      <c r="CX127" s="19">
        <f t="shared" si="288"/>
        <v>0</v>
      </c>
      <c r="CY127" s="19">
        <f t="shared" si="289"/>
        <v>0</v>
      </c>
      <c r="CZ127" s="19">
        <f t="shared" si="290"/>
        <v>0</v>
      </c>
      <c r="DA127" s="19">
        <f t="shared" si="291"/>
        <v>0</v>
      </c>
      <c r="DB127" s="19">
        <f t="shared" si="292"/>
        <v>0</v>
      </c>
      <c r="DC127" s="19">
        <f t="shared" si="293"/>
        <v>0</v>
      </c>
      <c r="DD127" s="19">
        <f t="shared" si="294"/>
        <v>0</v>
      </c>
      <c r="DE127" s="19">
        <f t="shared" si="295"/>
        <v>0</v>
      </c>
      <c r="DF127" s="19">
        <f t="shared" si="296"/>
        <v>0</v>
      </c>
      <c r="DG127" s="19">
        <f t="shared" si="297"/>
        <v>0</v>
      </c>
      <c r="DH127" s="19">
        <f t="shared" si="298"/>
        <v>0</v>
      </c>
      <c r="DI127" s="19">
        <f t="shared" si="299"/>
        <v>0</v>
      </c>
      <c r="DJ127" s="19">
        <f t="shared" si="300"/>
        <v>0</v>
      </c>
      <c r="DK127" s="19">
        <f t="shared" si="301"/>
        <v>0</v>
      </c>
      <c r="DL127" s="19">
        <f t="shared" si="302"/>
        <v>0</v>
      </c>
      <c r="DM127" s="19">
        <f t="shared" si="303"/>
        <v>0</v>
      </c>
      <c r="DN127" s="19">
        <f t="shared" si="304"/>
        <v>0</v>
      </c>
      <c r="DO127" s="19">
        <f t="shared" si="305"/>
        <v>0</v>
      </c>
      <c r="DP127" s="19">
        <f t="shared" si="306"/>
        <v>0</v>
      </c>
      <c r="DQ127" s="19">
        <f t="shared" si="307"/>
        <v>0</v>
      </c>
      <c r="DR127" s="19">
        <f t="shared" si="308"/>
        <v>0</v>
      </c>
      <c r="DS127" s="19">
        <f t="shared" si="309"/>
        <v>0</v>
      </c>
      <c r="DT127" s="19">
        <f t="shared" si="310"/>
        <v>0</v>
      </c>
      <c r="DU127" s="19">
        <f t="shared" si="311"/>
        <v>0</v>
      </c>
      <c r="DV127" s="19">
        <f t="shared" si="312"/>
        <v>0</v>
      </c>
      <c r="DW127" s="19">
        <f t="shared" si="313"/>
        <v>0</v>
      </c>
      <c r="DX127" s="19">
        <f t="shared" si="314"/>
        <v>0</v>
      </c>
      <c r="DY127" s="19">
        <f t="shared" si="315"/>
        <v>0</v>
      </c>
      <c r="DZ127" s="19">
        <f t="shared" si="316"/>
        <v>0</v>
      </c>
      <c r="EA127" s="19">
        <f t="shared" si="317"/>
        <v>0</v>
      </c>
      <c r="EB127" s="19">
        <f t="shared" si="318"/>
        <v>0</v>
      </c>
      <c r="EC127" s="19">
        <f t="shared" si="319"/>
        <v>0</v>
      </c>
      <c r="ED127" s="100" t="s">
        <v>172</v>
      </c>
    </row>
    <row r="128" spans="1:134" s="78" customFormat="1" ht="18" customHeight="1" x14ac:dyDescent="0.25">
      <c r="A128" s="27">
        <v>125</v>
      </c>
      <c r="B128" s="111" t="s">
        <v>633</v>
      </c>
      <c r="C128" s="75" t="s">
        <v>569</v>
      </c>
      <c r="D128" s="29" t="s">
        <v>61</v>
      </c>
      <c r="E128" s="18">
        <v>45833</v>
      </c>
      <c r="F128" s="19" t="s">
        <v>417</v>
      </c>
      <c r="G128" s="19" t="s">
        <v>417</v>
      </c>
      <c r="H128" s="19" t="s">
        <v>417</v>
      </c>
      <c r="I128" s="19" t="s">
        <v>417</v>
      </c>
      <c r="J128" s="19" t="s">
        <v>417</v>
      </c>
      <c r="K128" s="19" t="s">
        <v>417</v>
      </c>
      <c r="L128" s="19" t="s">
        <v>417</v>
      </c>
      <c r="M128" s="19" t="s">
        <v>417</v>
      </c>
      <c r="N128" s="19" t="s">
        <v>417</v>
      </c>
      <c r="O128" s="19" t="s">
        <v>417</v>
      </c>
      <c r="P128" s="19" t="s">
        <v>417</v>
      </c>
      <c r="Q128" s="19" t="s">
        <v>417</v>
      </c>
      <c r="R128" s="19" t="s">
        <v>417</v>
      </c>
      <c r="S128" s="19" t="s">
        <v>417</v>
      </c>
      <c r="T128" s="19" t="s">
        <v>417</v>
      </c>
      <c r="U128" s="19" t="s">
        <v>417</v>
      </c>
      <c r="V128" s="19" t="s">
        <v>417</v>
      </c>
      <c r="W128" s="19" t="s">
        <v>417</v>
      </c>
      <c r="X128" s="19" t="s">
        <v>417</v>
      </c>
      <c r="Y128" s="19" t="s">
        <v>417</v>
      </c>
      <c r="Z128" s="19" t="s">
        <v>417</v>
      </c>
      <c r="AA128" s="19" t="s">
        <v>417</v>
      </c>
      <c r="AB128" s="19" t="s">
        <v>417</v>
      </c>
      <c r="AC128" s="19" t="s">
        <v>417</v>
      </c>
      <c r="AD128" s="19" t="s">
        <v>417</v>
      </c>
      <c r="AE128" s="19" t="s">
        <v>417</v>
      </c>
      <c r="AF128" s="19" t="s">
        <v>417</v>
      </c>
      <c r="AG128" s="19" t="s">
        <v>417</v>
      </c>
      <c r="AH128" s="19" t="s">
        <v>417</v>
      </c>
      <c r="AI128" s="19" t="s">
        <v>417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/>
      <c r="AQ128" s="19"/>
      <c r="AR128" s="19"/>
      <c r="AS128" s="19">
        <v>0</v>
      </c>
      <c r="AT128" s="19">
        <f t="shared" si="240"/>
        <v>0</v>
      </c>
      <c r="AU128" s="19">
        <f t="shared" si="241"/>
        <v>0</v>
      </c>
      <c r="AV128" s="19">
        <f t="shared" si="242"/>
        <v>0</v>
      </c>
      <c r="AW128" s="16">
        <f t="shared" si="243"/>
        <v>0</v>
      </c>
      <c r="AX128" s="16">
        <f t="shared" si="244"/>
        <v>0</v>
      </c>
      <c r="AY128" s="16">
        <f t="shared" si="245"/>
        <v>0</v>
      </c>
      <c r="AZ128" s="21">
        <v>950</v>
      </c>
      <c r="BA128" s="21">
        <v>100</v>
      </c>
      <c r="BB128" s="21">
        <v>0</v>
      </c>
      <c r="BC128" s="19">
        <f t="shared" si="246"/>
        <v>0</v>
      </c>
      <c r="BD128" s="19">
        <f t="shared" si="247"/>
        <v>0</v>
      </c>
      <c r="BE128" s="19">
        <f t="shared" si="248"/>
        <v>0</v>
      </c>
      <c r="BF128" s="19">
        <f t="shared" si="249"/>
        <v>0</v>
      </c>
      <c r="BG128" s="19">
        <f t="shared" si="250"/>
        <v>0</v>
      </c>
      <c r="BH128" s="19">
        <f t="shared" si="251"/>
        <v>0</v>
      </c>
      <c r="BI128" s="19">
        <v>0</v>
      </c>
      <c r="BJ128" s="19">
        <f t="shared" si="252"/>
        <v>0</v>
      </c>
      <c r="BK128" s="19">
        <v>0</v>
      </c>
      <c r="BL128" s="19">
        <v>0</v>
      </c>
      <c r="BM128" s="19">
        <f t="shared" si="253"/>
        <v>0</v>
      </c>
      <c r="BN128" s="19">
        <f t="shared" si="254"/>
        <v>0</v>
      </c>
      <c r="BO128" s="19">
        <v>0</v>
      </c>
      <c r="BP128" s="19">
        <v>0</v>
      </c>
      <c r="BQ128" s="22">
        <f t="shared" si="255"/>
        <v>0</v>
      </c>
      <c r="BR128" s="82">
        <f t="shared" si="256"/>
        <v>0</v>
      </c>
      <c r="BS128" s="19">
        <f t="shared" si="257"/>
        <v>0</v>
      </c>
      <c r="BT128" s="19">
        <f t="shared" si="258"/>
        <v>0</v>
      </c>
      <c r="BU128" s="19">
        <f t="shared" si="259"/>
        <v>0</v>
      </c>
      <c r="BV128" s="19">
        <f t="shared" si="260"/>
        <v>0</v>
      </c>
      <c r="BW128" s="19">
        <f t="shared" si="261"/>
        <v>0</v>
      </c>
      <c r="BX128" s="19">
        <f t="shared" si="262"/>
        <v>0</v>
      </c>
      <c r="BY128" s="19">
        <f t="shared" si="263"/>
        <v>0</v>
      </c>
      <c r="BZ128" s="19">
        <f t="shared" si="264"/>
        <v>0</v>
      </c>
      <c r="CA128" s="19">
        <f t="shared" si="265"/>
        <v>0</v>
      </c>
      <c r="CB128" s="19">
        <f t="shared" si="266"/>
        <v>0</v>
      </c>
      <c r="CC128" s="19">
        <f t="shared" si="267"/>
        <v>0</v>
      </c>
      <c r="CD128" s="19">
        <f t="shared" si="268"/>
        <v>0</v>
      </c>
      <c r="CE128" s="19">
        <f t="shared" si="269"/>
        <v>0</v>
      </c>
      <c r="CF128" s="19">
        <f t="shared" si="270"/>
        <v>0</v>
      </c>
      <c r="CG128" s="19">
        <f t="shared" si="271"/>
        <v>0</v>
      </c>
      <c r="CH128" s="19">
        <f t="shared" si="272"/>
        <v>0</v>
      </c>
      <c r="CI128" s="19">
        <f t="shared" si="273"/>
        <v>0</v>
      </c>
      <c r="CJ128" s="19">
        <f t="shared" si="274"/>
        <v>0</v>
      </c>
      <c r="CK128" s="19">
        <f t="shared" si="275"/>
        <v>0</v>
      </c>
      <c r="CL128" s="19">
        <f t="shared" si="276"/>
        <v>0</v>
      </c>
      <c r="CM128" s="19">
        <f t="shared" si="277"/>
        <v>0</v>
      </c>
      <c r="CN128" s="19">
        <f t="shared" si="278"/>
        <v>0</v>
      </c>
      <c r="CO128" s="19">
        <f t="shared" si="279"/>
        <v>0</v>
      </c>
      <c r="CP128" s="19">
        <f t="shared" si="280"/>
        <v>0</v>
      </c>
      <c r="CQ128" s="19">
        <f t="shared" si="281"/>
        <v>0</v>
      </c>
      <c r="CR128" s="19">
        <f t="shared" si="282"/>
        <v>0</v>
      </c>
      <c r="CS128" s="19">
        <f t="shared" si="283"/>
        <v>0</v>
      </c>
      <c r="CT128" s="19">
        <f t="shared" si="284"/>
        <v>0</v>
      </c>
      <c r="CU128" s="19">
        <f t="shared" si="285"/>
        <v>0</v>
      </c>
      <c r="CV128" s="19">
        <f t="shared" si="286"/>
        <v>0</v>
      </c>
      <c r="CW128" s="19">
        <f t="shared" si="287"/>
        <v>0</v>
      </c>
      <c r="CX128" s="19">
        <f t="shared" si="288"/>
        <v>0</v>
      </c>
      <c r="CY128" s="19">
        <f t="shared" si="289"/>
        <v>0</v>
      </c>
      <c r="CZ128" s="19">
        <f t="shared" si="290"/>
        <v>0</v>
      </c>
      <c r="DA128" s="19">
        <f t="shared" si="291"/>
        <v>0</v>
      </c>
      <c r="DB128" s="19">
        <f t="shared" si="292"/>
        <v>0</v>
      </c>
      <c r="DC128" s="19">
        <f t="shared" si="293"/>
        <v>0</v>
      </c>
      <c r="DD128" s="19">
        <f t="shared" si="294"/>
        <v>0</v>
      </c>
      <c r="DE128" s="19">
        <f t="shared" si="295"/>
        <v>0</v>
      </c>
      <c r="DF128" s="19">
        <f t="shared" si="296"/>
        <v>0</v>
      </c>
      <c r="DG128" s="19">
        <f t="shared" si="297"/>
        <v>0</v>
      </c>
      <c r="DH128" s="19">
        <f t="shared" si="298"/>
        <v>0</v>
      </c>
      <c r="DI128" s="19">
        <f t="shared" si="299"/>
        <v>0</v>
      </c>
      <c r="DJ128" s="19">
        <f t="shared" si="300"/>
        <v>0</v>
      </c>
      <c r="DK128" s="19">
        <f t="shared" si="301"/>
        <v>0</v>
      </c>
      <c r="DL128" s="19">
        <f t="shared" si="302"/>
        <v>0</v>
      </c>
      <c r="DM128" s="19">
        <f t="shared" si="303"/>
        <v>0</v>
      </c>
      <c r="DN128" s="19">
        <f t="shared" si="304"/>
        <v>0</v>
      </c>
      <c r="DO128" s="19">
        <f t="shared" si="305"/>
        <v>0</v>
      </c>
      <c r="DP128" s="19">
        <f t="shared" si="306"/>
        <v>0</v>
      </c>
      <c r="DQ128" s="19">
        <f t="shared" si="307"/>
        <v>0</v>
      </c>
      <c r="DR128" s="19">
        <f t="shared" si="308"/>
        <v>0</v>
      </c>
      <c r="DS128" s="19">
        <f t="shared" si="309"/>
        <v>0</v>
      </c>
      <c r="DT128" s="19">
        <f t="shared" si="310"/>
        <v>0</v>
      </c>
      <c r="DU128" s="19">
        <f t="shared" si="311"/>
        <v>0</v>
      </c>
      <c r="DV128" s="19">
        <f t="shared" si="312"/>
        <v>0</v>
      </c>
      <c r="DW128" s="19">
        <f t="shared" si="313"/>
        <v>0</v>
      </c>
      <c r="DX128" s="19">
        <f t="shared" si="314"/>
        <v>0</v>
      </c>
      <c r="DY128" s="19">
        <f t="shared" si="315"/>
        <v>0</v>
      </c>
      <c r="DZ128" s="19">
        <f t="shared" si="316"/>
        <v>0</v>
      </c>
      <c r="EA128" s="19">
        <f t="shared" si="317"/>
        <v>0</v>
      </c>
      <c r="EB128" s="19">
        <f t="shared" si="318"/>
        <v>0</v>
      </c>
      <c r="EC128" s="19">
        <f t="shared" si="319"/>
        <v>0</v>
      </c>
      <c r="ED128" s="100" t="s">
        <v>172</v>
      </c>
    </row>
    <row r="129" spans="1:134" s="78" customFormat="1" ht="18" customHeight="1" x14ac:dyDescent="0.25">
      <c r="A129" s="27">
        <v>126</v>
      </c>
      <c r="B129" s="111" t="s">
        <v>634</v>
      </c>
      <c r="C129" s="75" t="s">
        <v>575</v>
      </c>
      <c r="D129" s="29" t="s">
        <v>61</v>
      </c>
      <c r="E129" s="18">
        <v>45836</v>
      </c>
      <c r="F129" s="19" t="s">
        <v>417</v>
      </c>
      <c r="G129" s="19" t="s">
        <v>417</v>
      </c>
      <c r="H129" s="19" t="s">
        <v>417</v>
      </c>
      <c r="I129" s="19" t="s">
        <v>417</v>
      </c>
      <c r="J129" s="19" t="s">
        <v>417</v>
      </c>
      <c r="K129" s="19" t="s">
        <v>417</v>
      </c>
      <c r="L129" s="19" t="s">
        <v>417</v>
      </c>
      <c r="M129" s="19" t="s">
        <v>417</v>
      </c>
      <c r="N129" s="19" t="s">
        <v>417</v>
      </c>
      <c r="O129" s="19" t="s">
        <v>417</v>
      </c>
      <c r="P129" s="19" t="s">
        <v>417</v>
      </c>
      <c r="Q129" s="19" t="s">
        <v>417</v>
      </c>
      <c r="R129" s="19" t="s">
        <v>417</v>
      </c>
      <c r="S129" s="19" t="s">
        <v>417</v>
      </c>
      <c r="T129" s="19" t="s">
        <v>417</v>
      </c>
      <c r="U129" s="19" t="s">
        <v>417</v>
      </c>
      <c r="V129" s="19" t="s">
        <v>417</v>
      </c>
      <c r="W129" s="19" t="s">
        <v>417</v>
      </c>
      <c r="X129" s="19" t="s">
        <v>417</v>
      </c>
      <c r="Y129" s="19" t="s">
        <v>417</v>
      </c>
      <c r="Z129" s="19" t="s">
        <v>417</v>
      </c>
      <c r="AA129" s="19" t="s">
        <v>417</v>
      </c>
      <c r="AB129" s="19" t="s">
        <v>417</v>
      </c>
      <c r="AC129" s="19" t="s">
        <v>417</v>
      </c>
      <c r="AD129" s="19" t="s">
        <v>417</v>
      </c>
      <c r="AE129" s="19" t="s">
        <v>417</v>
      </c>
      <c r="AF129" s="19" t="s">
        <v>417</v>
      </c>
      <c r="AG129" s="19" t="s">
        <v>417</v>
      </c>
      <c r="AH129" s="19" t="s">
        <v>417</v>
      </c>
      <c r="AI129" s="19" t="s">
        <v>417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/>
      <c r="AQ129" s="19"/>
      <c r="AR129" s="19"/>
      <c r="AS129" s="19">
        <v>0</v>
      </c>
      <c r="AT129" s="19">
        <f t="shared" si="240"/>
        <v>0</v>
      </c>
      <c r="AU129" s="19">
        <f t="shared" si="241"/>
        <v>0</v>
      </c>
      <c r="AV129" s="19">
        <f t="shared" si="242"/>
        <v>0</v>
      </c>
      <c r="AW129" s="16">
        <f t="shared" si="243"/>
        <v>0</v>
      </c>
      <c r="AX129" s="16">
        <f t="shared" si="244"/>
        <v>0</v>
      </c>
      <c r="AY129" s="16">
        <f t="shared" si="245"/>
        <v>0</v>
      </c>
      <c r="AZ129" s="21">
        <v>950</v>
      </c>
      <c r="BA129" s="21">
        <v>100</v>
      </c>
      <c r="BB129" s="21">
        <v>0</v>
      </c>
      <c r="BC129" s="19">
        <f t="shared" si="246"/>
        <v>0</v>
      </c>
      <c r="BD129" s="19">
        <f t="shared" si="247"/>
        <v>0</v>
      </c>
      <c r="BE129" s="19">
        <f t="shared" si="248"/>
        <v>0</v>
      </c>
      <c r="BF129" s="19">
        <f t="shared" si="249"/>
        <v>0</v>
      </c>
      <c r="BG129" s="19">
        <f t="shared" si="250"/>
        <v>0</v>
      </c>
      <c r="BH129" s="19">
        <f t="shared" si="251"/>
        <v>0</v>
      </c>
      <c r="BI129" s="19">
        <v>0</v>
      </c>
      <c r="BJ129" s="19">
        <f t="shared" si="252"/>
        <v>0</v>
      </c>
      <c r="BK129" s="19">
        <v>0</v>
      </c>
      <c r="BL129" s="19">
        <v>0</v>
      </c>
      <c r="BM129" s="19">
        <f t="shared" si="253"/>
        <v>0</v>
      </c>
      <c r="BN129" s="19">
        <f t="shared" si="254"/>
        <v>0</v>
      </c>
      <c r="BO129" s="19">
        <v>0</v>
      </c>
      <c r="BP129" s="19">
        <v>0</v>
      </c>
      <c r="BQ129" s="22">
        <f t="shared" si="255"/>
        <v>0</v>
      </c>
      <c r="BR129" s="82">
        <f t="shared" si="256"/>
        <v>0</v>
      </c>
      <c r="BS129" s="19">
        <f t="shared" si="257"/>
        <v>0</v>
      </c>
      <c r="BT129" s="19">
        <f t="shared" si="258"/>
        <v>0</v>
      </c>
      <c r="BU129" s="19">
        <f t="shared" si="259"/>
        <v>0</v>
      </c>
      <c r="BV129" s="19">
        <f t="shared" si="260"/>
        <v>0</v>
      </c>
      <c r="BW129" s="19">
        <f t="shared" si="261"/>
        <v>0</v>
      </c>
      <c r="BX129" s="19">
        <f t="shared" si="262"/>
        <v>0</v>
      </c>
      <c r="BY129" s="19">
        <f t="shared" si="263"/>
        <v>0</v>
      </c>
      <c r="BZ129" s="19">
        <f t="shared" si="264"/>
        <v>0</v>
      </c>
      <c r="CA129" s="19">
        <f t="shared" si="265"/>
        <v>0</v>
      </c>
      <c r="CB129" s="19">
        <f t="shared" si="266"/>
        <v>0</v>
      </c>
      <c r="CC129" s="19">
        <f t="shared" si="267"/>
        <v>0</v>
      </c>
      <c r="CD129" s="19">
        <f t="shared" si="268"/>
        <v>0</v>
      </c>
      <c r="CE129" s="19">
        <f t="shared" si="269"/>
        <v>0</v>
      </c>
      <c r="CF129" s="19">
        <f t="shared" si="270"/>
        <v>0</v>
      </c>
      <c r="CG129" s="19">
        <f t="shared" si="271"/>
        <v>0</v>
      </c>
      <c r="CH129" s="19">
        <f t="shared" si="272"/>
        <v>0</v>
      </c>
      <c r="CI129" s="19">
        <f t="shared" si="273"/>
        <v>0</v>
      </c>
      <c r="CJ129" s="19">
        <f t="shared" si="274"/>
        <v>0</v>
      </c>
      <c r="CK129" s="19">
        <f t="shared" si="275"/>
        <v>0</v>
      </c>
      <c r="CL129" s="19">
        <f t="shared" si="276"/>
        <v>0</v>
      </c>
      <c r="CM129" s="19">
        <f t="shared" si="277"/>
        <v>0</v>
      </c>
      <c r="CN129" s="19">
        <f t="shared" si="278"/>
        <v>0</v>
      </c>
      <c r="CO129" s="19">
        <f t="shared" si="279"/>
        <v>0</v>
      </c>
      <c r="CP129" s="19">
        <f t="shared" si="280"/>
        <v>0</v>
      </c>
      <c r="CQ129" s="19">
        <f t="shared" si="281"/>
        <v>0</v>
      </c>
      <c r="CR129" s="19">
        <f t="shared" si="282"/>
        <v>0</v>
      </c>
      <c r="CS129" s="19">
        <f t="shared" si="283"/>
        <v>0</v>
      </c>
      <c r="CT129" s="19">
        <f t="shared" si="284"/>
        <v>0</v>
      </c>
      <c r="CU129" s="19">
        <f t="shared" si="285"/>
        <v>0</v>
      </c>
      <c r="CV129" s="19">
        <f t="shared" si="286"/>
        <v>0</v>
      </c>
      <c r="CW129" s="19">
        <f t="shared" si="287"/>
        <v>0</v>
      </c>
      <c r="CX129" s="19">
        <f t="shared" si="288"/>
        <v>0</v>
      </c>
      <c r="CY129" s="19">
        <f t="shared" si="289"/>
        <v>0</v>
      </c>
      <c r="CZ129" s="19">
        <f t="shared" si="290"/>
        <v>0</v>
      </c>
      <c r="DA129" s="19">
        <f t="shared" si="291"/>
        <v>0</v>
      </c>
      <c r="DB129" s="19">
        <f t="shared" si="292"/>
        <v>0</v>
      </c>
      <c r="DC129" s="19">
        <f t="shared" si="293"/>
        <v>0</v>
      </c>
      <c r="DD129" s="19">
        <f t="shared" si="294"/>
        <v>0</v>
      </c>
      <c r="DE129" s="19">
        <f t="shared" si="295"/>
        <v>0</v>
      </c>
      <c r="DF129" s="19">
        <f t="shared" si="296"/>
        <v>0</v>
      </c>
      <c r="DG129" s="19">
        <f t="shared" si="297"/>
        <v>0</v>
      </c>
      <c r="DH129" s="19">
        <f t="shared" si="298"/>
        <v>0</v>
      </c>
      <c r="DI129" s="19">
        <f t="shared" si="299"/>
        <v>0</v>
      </c>
      <c r="DJ129" s="19">
        <f t="shared" si="300"/>
        <v>0</v>
      </c>
      <c r="DK129" s="19">
        <f t="shared" si="301"/>
        <v>0</v>
      </c>
      <c r="DL129" s="19">
        <f t="shared" si="302"/>
        <v>0</v>
      </c>
      <c r="DM129" s="19">
        <f t="shared" si="303"/>
        <v>0</v>
      </c>
      <c r="DN129" s="19">
        <f t="shared" si="304"/>
        <v>0</v>
      </c>
      <c r="DO129" s="19">
        <f t="shared" si="305"/>
        <v>0</v>
      </c>
      <c r="DP129" s="19">
        <f t="shared" si="306"/>
        <v>0</v>
      </c>
      <c r="DQ129" s="19">
        <f t="shared" si="307"/>
        <v>0</v>
      </c>
      <c r="DR129" s="19">
        <f t="shared" si="308"/>
        <v>0</v>
      </c>
      <c r="DS129" s="19">
        <f t="shared" si="309"/>
        <v>0</v>
      </c>
      <c r="DT129" s="19">
        <f t="shared" si="310"/>
        <v>0</v>
      </c>
      <c r="DU129" s="19">
        <f t="shared" si="311"/>
        <v>0</v>
      </c>
      <c r="DV129" s="19">
        <f t="shared" si="312"/>
        <v>0</v>
      </c>
      <c r="DW129" s="19">
        <f t="shared" si="313"/>
        <v>0</v>
      </c>
      <c r="DX129" s="19">
        <f t="shared" si="314"/>
        <v>0</v>
      </c>
      <c r="DY129" s="19">
        <f t="shared" si="315"/>
        <v>0</v>
      </c>
      <c r="DZ129" s="19">
        <f t="shared" si="316"/>
        <v>0</v>
      </c>
      <c r="EA129" s="19">
        <f t="shared" si="317"/>
        <v>0</v>
      </c>
      <c r="EB129" s="19">
        <f t="shared" si="318"/>
        <v>0</v>
      </c>
      <c r="EC129" s="19">
        <f t="shared" si="319"/>
        <v>0</v>
      </c>
      <c r="ED129" s="100" t="s">
        <v>172</v>
      </c>
    </row>
    <row r="130" spans="1:134" s="78" customFormat="1" ht="18" customHeight="1" thickBot="1" x14ac:dyDescent="0.3">
      <c r="A130" s="39"/>
      <c r="B130" s="40"/>
      <c r="C130" s="76"/>
      <c r="D130" s="41"/>
      <c r="E130" s="43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1"/>
      <c r="AX130" s="41"/>
      <c r="AY130" s="41"/>
      <c r="AZ130" s="77"/>
      <c r="BA130" s="77"/>
      <c r="BB130" s="77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72"/>
      <c r="BR130" s="82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</row>
    <row r="131" spans="1:134" s="78" customFormat="1" ht="18" customHeight="1" thickBot="1" x14ac:dyDescent="0.3">
      <c r="A131" s="30"/>
      <c r="B131" s="31"/>
      <c r="C131" s="31"/>
      <c r="D131" s="31"/>
      <c r="E131" s="31"/>
      <c r="F131" s="33">
        <f t="shared" ref="F131:AK131" si="320">SUM(F4:F130)</f>
        <v>1069</v>
      </c>
      <c r="G131" s="33">
        <f t="shared" si="320"/>
        <v>1107</v>
      </c>
      <c r="H131" s="33">
        <f t="shared" si="320"/>
        <v>1143</v>
      </c>
      <c r="I131" s="33">
        <f t="shared" si="320"/>
        <v>1156.5</v>
      </c>
      <c r="J131" s="33">
        <f t="shared" si="320"/>
        <v>0</v>
      </c>
      <c r="K131" s="33">
        <f t="shared" si="320"/>
        <v>1141</v>
      </c>
      <c r="L131" s="33">
        <f t="shared" si="320"/>
        <v>0</v>
      </c>
      <c r="M131" s="33">
        <f t="shared" si="320"/>
        <v>1093</v>
      </c>
      <c r="N131" s="33">
        <f t="shared" si="320"/>
        <v>1130</v>
      </c>
      <c r="O131" s="33">
        <f t="shared" si="320"/>
        <v>1134.5</v>
      </c>
      <c r="P131" s="33">
        <f t="shared" si="320"/>
        <v>1117.5</v>
      </c>
      <c r="Q131" s="33">
        <f t="shared" si="320"/>
        <v>1135.5</v>
      </c>
      <c r="R131" s="33">
        <f t="shared" si="320"/>
        <v>1114</v>
      </c>
      <c r="S131" s="33">
        <f t="shared" si="320"/>
        <v>0</v>
      </c>
      <c r="T131" s="33">
        <f t="shared" si="320"/>
        <v>1130</v>
      </c>
      <c r="U131" s="33">
        <f t="shared" si="320"/>
        <v>1127</v>
      </c>
      <c r="V131" s="33">
        <f t="shared" si="320"/>
        <v>1090.5</v>
      </c>
      <c r="W131" s="33">
        <f t="shared" si="320"/>
        <v>1126</v>
      </c>
      <c r="X131" s="33">
        <f t="shared" si="320"/>
        <v>1143</v>
      </c>
      <c r="Y131" s="33">
        <f t="shared" si="320"/>
        <v>1093</v>
      </c>
      <c r="Z131" s="33">
        <f t="shared" si="320"/>
        <v>0</v>
      </c>
      <c r="AA131" s="33">
        <f t="shared" si="320"/>
        <v>1034.5</v>
      </c>
      <c r="AB131" s="33">
        <f t="shared" si="320"/>
        <v>1093.5</v>
      </c>
      <c r="AC131" s="33">
        <f t="shared" si="320"/>
        <v>1104</v>
      </c>
      <c r="AD131" s="33">
        <f t="shared" si="320"/>
        <v>1074.5</v>
      </c>
      <c r="AE131" s="33">
        <f t="shared" si="320"/>
        <v>1135.5</v>
      </c>
      <c r="AF131" s="33">
        <f t="shared" si="320"/>
        <v>1115.5</v>
      </c>
      <c r="AG131" s="33">
        <f t="shared" si="320"/>
        <v>0</v>
      </c>
      <c r="AH131" s="33">
        <f t="shared" si="320"/>
        <v>1100.5</v>
      </c>
      <c r="AI131" s="33">
        <f t="shared" si="320"/>
        <v>1110.5</v>
      </c>
      <c r="AJ131" s="33">
        <f t="shared" si="320"/>
        <v>251</v>
      </c>
      <c r="AK131" s="33">
        <f t="shared" si="320"/>
        <v>349</v>
      </c>
      <c r="AL131" s="33">
        <f t="shared" ref="AL131:BQ131" si="321">SUM(AL4:AL130)</f>
        <v>224</v>
      </c>
      <c r="AM131" s="33">
        <f t="shared" si="321"/>
        <v>494</v>
      </c>
      <c r="AN131" s="33">
        <f t="shared" si="321"/>
        <v>0</v>
      </c>
      <c r="AO131" s="33">
        <f t="shared" si="321"/>
        <v>829</v>
      </c>
      <c r="AP131" s="33">
        <f t="shared" si="321"/>
        <v>0</v>
      </c>
      <c r="AQ131" s="33">
        <f t="shared" si="321"/>
        <v>0</v>
      </c>
      <c r="AR131" s="33">
        <f t="shared" si="321"/>
        <v>0</v>
      </c>
      <c r="AS131" s="33">
        <f t="shared" si="321"/>
        <v>0</v>
      </c>
      <c r="AT131" s="33">
        <f t="shared" si="321"/>
        <v>6531</v>
      </c>
      <c r="AU131" s="33">
        <f t="shared" si="321"/>
        <v>1318</v>
      </c>
      <c r="AV131" s="33">
        <f t="shared" si="321"/>
        <v>829</v>
      </c>
      <c r="AW131" s="33">
        <f t="shared" si="321"/>
        <v>3163</v>
      </c>
      <c r="AX131" s="33">
        <f t="shared" si="321"/>
        <v>164</v>
      </c>
      <c r="AY131" s="33">
        <f t="shared" si="321"/>
        <v>0</v>
      </c>
      <c r="AZ131" s="33">
        <f t="shared" si="321"/>
        <v>130950</v>
      </c>
      <c r="BA131" s="33">
        <f t="shared" si="321"/>
        <v>14300</v>
      </c>
      <c r="BB131" s="33">
        <f t="shared" si="321"/>
        <v>2200</v>
      </c>
      <c r="BC131" s="33">
        <f t="shared" si="321"/>
        <v>109390</v>
      </c>
      <c r="BD131" s="33">
        <f t="shared" si="321"/>
        <v>11686</v>
      </c>
      <c r="BE131" s="33">
        <f t="shared" si="321"/>
        <v>49201</v>
      </c>
      <c r="BF131" s="33">
        <f t="shared" si="321"/>
        <v>1860</v>
      </c>
      <c r="BG131" s="33">
        <f t="shared" si="321"/>
        <v>0</v>
      </c>
      <c r="BH131" s="33">
        <f t="shared" si="321"/>
        <v>0</v>
      </c>
      <c r="BI131" s="33">
        <f t="shared" si="321"/>
        <v>6650</v>
      </c>
      <c r="BJ131" s="33">
        <f t="shared" si="321"/>
        <v>178787</v>
      </c>
      <c r="BK131" s="33">
        <f t="shared" si="321"/>
        <v>2300</v>
      </c>
      <c r="BL131" s="33">
        <f t="shared" si="321"/>
        <v>200</v>
      </c>
      <c r="BM131" s="33">
        <f t="shared" si="321"/>
        <v>2500</v>
      </c>
      <c r="BN131" s="33">
        <f t="shared" si="321"/>
        <v>176287</v>
      </c>
      <c r="BO131" s="33">
        <f t="shared" si="321"/>
        <v>181</v>
      </c>
      <c r="BP131" s="33">
        <f t="shared" si="321"/>
        <v>0</v>
      </c>
      <c r="BQ131" s="34">
        <f t="shared" si="321"/>
        <v>176468</v>
      </c>
      <c r="BR131" s="82"/>
      <c r="BS131" s="19"/>
      <c r="BT131" s="19"/>
      <c r="BU131" s="19"/>
      <c r="BV131" s="19"/>
      <c r="BW131" s="19"/>
      <c r="BX131" s="19"/>
      <c r="BY131" s="19"/>
      <c r="BZ131" s="19">
        <f>COUNTIF(F131:AI131, "10.5")</f>
        <v>0</v>
      </c>
      <c r="CA131" s="19">
        <f t="shared" ref="CA131" si="322">BZ131*2.5</f>
        <v>0</v>
      </c>
      <c r="CB131" s="19">
        <f>COUNTIF(F131:AI131, "11")</f>
        <v>0</v>
      </c>
      <c r="CC131" s="19">
        <f t="shared" ref="CC131" si="323">CB131*3</f>
        <v>0</v>
      </c>
      <c r="CD131" s="19">
        <f>COUNTIF(F131:AI131, "11.5")</f>
        <v>0</v>
      </c>
      <c r="CE131" s="19">
        <f t="shared" ref="CE131" si="324">CD131*3.5</f>
        <v>0</v>
      </c>
      <c r="CF131" s="19">
        <f>COUNTIF(F131:AI131, "12")</f>
        <v>0</v>
      </c>
      <c r="CG131" s="19">
        <f t="shared" ref="CG131" si="325">CF131*4</f>
        <v>0</v>
      </c>
      <c r="CH131" s="19">
        <f>COUNTIF(F131:AI131, "12.5")</f>
        <v>0</v>
      </c>
      <c r="CI131" s="19">
        <f t="shared" ref="CI131" si="326">CH131*4.5</f>
        <v>0</v>
      </c>
      <c r="CJ131" s="19">
        <f>COUNTIF(F131:AI131, "13")</f>
        <v>0</v>
      </c>
      <c r="CK131" s="19">
        <f t="shared" ref="CK131" si="327">CJ131*5</f>
        <v>0</v>
      </c>
      <c r="CL131" s="19">
        <f>COUNTIF(F131:AI131, "13.5")</f>
        <v>0</v>
      </c>
      <c r="CM131" s="19">
        <f t="shared" ref="CM131" si="328">CL131*5.5</f>
        <v>0</v>
      </c>
      <c r="CN131" s="19">
        <f>COUNTIF(F131:AI131, "14")</f>
        <v>0</v>
      </c>
      <c r="CO131" s="19">
        <f t="shared" ref="CO131" si="329">CN131*6</f>
        <v>0</v>
      </c>
      <c r="CP131" s="19">
        <f>COUNTIF(F131:AI131, "14.5")</f>
        <v>0</v>
      </c>
      <c r="CQ131" s="19">
        <f t="shared" ref="CQ131" si="330">CP131*6.5</f>
        <v>0</v>
      </c>
      <c r="CR131" s="19">
        <f>COUNTIF(F131:AI131, "15")</f>
        <v>0</v>
      </c>
      <c r="CS131" s="19">
        <f t="shared" ref="CS131" si="331">CR131*7</f>
        <v>0</v>
      </c>
      <c r="CT131" s="19">
        <f>COUNTIF(F131:AI131, "15.5")</f>
        <v>0</v>
      </c>
      <c r="CU131" s="19">
        <f t="shared" ref="CU131" si="332">CT131*7.5</f>
        <v>0</v>
      </c>
      <c r="CV131" s="19">
        <f>COUNTIF(F131:AI131, "16")</f>
        <v>0</v>
      </c>
      <c r="CW131" s="19">
        <f t="shared" ref="CW131" si="333">CV131*8</f>
        <v>0</v>
      </c>
      <c r="CX131" s="19">
        <f>COUNTIF(F131:AI131, "16.5")</f>
        <v>0</v>
      </c>
      <c r="CY131" s="19">
        <f t="shared" ref="CY131" si="334">CX131*8.5</f>
        <v>0</v>
      </c>
      <c r="CZ131" s="19">
        <f>COUNTIF(F131:AI131, "17")</f>
        <v>0</v>
      </c>
      <c r="DA131" s="19">
        <f t="shared" ref="DA131" si="335">CZ131*9</f>
        <v>0</v>
      </c>
      <c r="DB131" s="19">
        <f>COUNTIF(F131:AI131, "17.5")</f>
        <v>0</v>
      </c>
      <c r="DC131" s="19">
        <f t="shared" ref="DC131" si="336">DB131*9.5</f>
        <v>0</v>
      </c>
      <c r="DD131" s="19">
        <f>COUNTIF(F131:AI131, "18")</f>
        <v>0</v>
      </c>
      <c r="DE131" s="19">
        <f t="shared" ref="DE131" si="337">DD131*10</f>
        <v>0</v>
      </c>
      <c r="DF131" s="19">
        <f>COUNTIF(F131:AI131, "18.5")</f>
        <v>0</v>
      </c>
      <c r="DG131" s="19">
        <f t="shared" ref="DG131" si="338">DF131*10.5</f>
        <v>0</v>
      </c>
      <c r="DH131" s="19">
        <f>COUNTIF(F131:AI131, "19")</f>
        <v>0</v>
      </c>
      <c r="DI131" s="19">
        <f t="shared" ref="DI131" si="339">DH131*11</f>
        <v>0</v>
      </c>
      <c r="DJ131" s="19">
        <f>COUNTIF(F131:AI131, "19.5")</f>
        <v>0</v>
      </c>
      <c r="DK131" s="19">
        <f t="shared" ref="DK131" si="340">DJ131*11.5</f>
        <v>0</v>
      </c>
      <c r="DL131" s="19">
        <f>COUNTIF(F131:AI131, "20")</f>
        <v>0</v>
      </c>
      <c r="DM131" s="19">
        <f t="shared" ref="DM131" si="341">DL131*12</f>
        <v>0</v>
      </c>
      <c r="DN131" s="19">
        <f>COUNTIF(F131:AI131, "20.5")</f>
        <v>0</v>
      </c>
      <c r="DO131" s="19">
        <f t="shared" ref="DO131" si="342">DN131*12.5</f>
        <v>0</v>
      </c>
      <c r="DP131" s="19">
        <f>COUNTIF(F131:AI131, "21")</f>
        <v>0</v>
      </c>
      <c r="DQ131" s="19">
        <f t="shared" ref="DQ131" si="343">DP131*13</f>
        <v>0</v>
      </c>
      <c r="DR131" s="19">
        <f>COUNTIF(F131:AI131, "21.5")</f>
        <v>0</v>
      </c>
      <c r="DS131" s="19">
        <f t="shared" ref="DS131" si="344">DR131*13.5</f>
        <v>0</v>
      </c>
      <c r="DT131" s="19">
        <f>COUNTIF(F131:AI131, "22")</f>
        <v>0</v>
      </c>
      <c r="DU131" s="19">
        <f t="shared" ref="DU131" si="345">DT131*14</f>
        <v>0</v>
      </c>
      <c r="DV131" s="19">
        <f>COUNTIF(F131:AI131, "22.5")</f>
        <v>0</v>
      </c>
      <c r="DW131" s="19">
        <f t="shared" ref="DW131" si="346">DV131*14.5</f>
        <v>0</v>
      </c>
      <c r="DX131" s="19">
        <f>COUNTIF(F131:AI131, "23")</f>
        <v>0</v>
      </c>
      <c r="DY131" s="19">
        <f t="shared" ref="DY131" si="347">DX131*15</f>
        <v>0</v>
      </c>
      <c r="DZ131" s="19">
        <f>COUNTIF(F131:AI131, "23.5")</f>
        <v>0</v>
      </c>
      <c r="EA131" s="19">
        <f t="shared" ref="EA131" si="348">DZ131*15.5</f>
        <v>0</v>
      </c>
      <c r="EB131" s="19">
        <f>COUNTIF(F131:AI131, "24")</f>
        <v>0</v>
      </c>
      <c r="EC131" s="19">
        <f t="shared" ref="EC131" si="349">EB131*16</f>
        <v>0</v>
      </c>
    </row>
    <row r="133" spans="1:134" x14ac:dyDescent="0.2"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</row>
    <row r="134" spans="1:134" x14ac:dyDescent="0.2">
      <c r="K134" s="79"/>
      <c r="R134" s="79"/>
      <c r="S134" s="79"/>
      <c r="T134" s="79"/>
      <c r="U134" s="79"/>
      <c r="AC134" s="79"/>
      <c r="AD134" s="79"/>
      <c r="AE134" s="79"/>
      <c r="AF134" s="79"/>
      <c r="AG134" s="79"/>
      <c r="AH134" s="79"/>
      <c r="AI134" s="79"/>
    </row>
    <row r="135" spans="1:134" ht="12.75" x14ac:dyDescent="0.2">
      <c r="B135" s="98" t="s">
        <v>148</v>
      </c>
      <c r="C135" s="55" t="s">
        <v>419</v>
      </c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</row>
    <row r="136" spans="1:134" ht="12.75" x14ac:dyDescent="0.2">
      <c r="B136" s="98" t="s">
        <v>427</v>
      </c>
      <c r="C136" s="55" t="s">
        <v>171</v>
      </c>
    </row>
    <row r="137" spans="1:134" ht="12.75" x14ac:dyDescent="0.2">
      <c r="B137" s="92" t="s">
        <v>418</v>
      </c>
      <c r="C137" s="55" t="s">
        <v>302</v>
      </c>
    </row>
    <row r="138" spans="1:134" ht="12.75" x14ac:dyDescent="0.2">
      <c r="B138" s="93" t="s">
        <v>417</v>
      </c>
      <c r="C138" s="55" t="s">
        <v>172</v>
      </c>
    </row>
    <row r="139" spans="1:134" ht="12.75" x14ac:dyDescent="0.2">
      <c r="B139" s="94"/>
      <c r="C139" s="55" t="s">
        <v>373</v>
      </c>
    </row>
    <row r="140" spans="1:134" ht="13.5" x14ac:dyDescent="0.25">
      <c r="B140" s="96"/>
      <c r="C140" s="55" t="s">
        <v>374</v>
      </c>
    </row>
    <row r="141" spans="1:134" ht="12.75" x14ac:dyDescent="0.2">
      <c r="B141" s="101"/>
      <c r="C141" s="55" t="s">
        <v>460</v>
      </c>
    </row>
    <row r="142" spans="1:134" ht="12.75" x14ac:dyDescent="0.2">
      <c r="B142" s="105" t="s">
        <v>473</v>
      </c>
      <c r="C142" s="55" t="s">
        <v>474</v>
      </c>
    </row>
    <row r="143" spans="1:134" x14ac:dyDescent="0.2">
      <c r="C143" s="85"/>
    </row>
    <row r="144" spans="1:134" x14ac:dyDescent="0.2">
      <c r="C144" s="85"/>
    </row>
    <row r="145" spans="2:3" x14ac:dyDescent="0.2">
      <c r="C145" s="85"/>
    </row>
    <row r="146" spans="2:3" x14ac:dyDescent="0.2">
      <c r="C146" s="132"/>
    </row>
    <row r="147" spans="2:3" x14ac:dyDescent="0.2">
      <c r="C147" s="138"/>
    </row>
    <row r="148" spans="2:3" x14ac:dyDescent="0.2">
      <c r="C148" s="138"/>
    </row>
    <row r="149" spans="2:3" x14ac:dyDescent="0.2">
      <c r="C149" s="138"/>
    </row>
    <row r="150" spans="2:3" x14ac:dyDescent="0.2">
      <c r="C150" s="138"/>
    </row>
    <row r="151" spans="2:3" x14ac:dyDescent="0.2">
      <c r="C151" s="138"/>
    </row>
    <row r="152" spans="2:3" x14ac:dyDescent="0.2">
      <c r="C152" s="138"/>
    </row>
    <row r="153" spans="2:3" x14ac:dyDescent="0.2">
      <c r="C153" s="138"/>
    </row>
    <row r="154" spans="2:3" ht="13.5" x14ac:dyDescent="0.25">
      <c r="B154" s="113"/>
      <c r="C154" s="138"/>
    </row>
    <row r="155" spans="2:3" ht="13.5" x14ac:dyDescent="0.25">
      <c r="B155" s="113"/>
      <c r="C155" s="138"/>
    </row>
    <row r="156" spans="2:3" ht="13.5" x14ac:dyDescent="0.25">
      <c r="B156" s="113"/>
      <c r="C156" s="138"/>
    </row>
    <row r="157" spans="2:3" ht="13.5" x14ac:dyDescent="0.25">
      <c r="B157" s="113"/>
      <c r="C157" s="138"/>
    </row>
    <row r="158" spans="2:3" ht="13.5" x14ac:dyDescent="0.25">
      <c r="B158" s="113"/>
      <c r="C158" s="138"/>
    </row>
    <row r="159" spans="2:3" ht="13.5" x14ac:dyDescent="0.25">
      <c r="B159" s="113"/>
      <c r="C159" s="138"/>
    </row>
    <row r="160" spans="2:3" x14ac:dyDescent="0.2">
      <c r="C160" s="138"/>
    </row>
    <row r="161" spans="3:3" x14ac:dyDescent="0.2">
      <c r="C161" s="138"/>
    </row>
    <row r="162" spans="3:3" x14ac:dyDescent="0.2">
      <c r="C162" s="138"/>
    </row>
    <row r="163" spans="3:3" x14ac:dyDescent="0.2">
      <c r="C163" s="138"/>
    </row>
    <row r="164" spans="3:3" x14ac:dyDescent="0.2">
      <c r="C164" s="138"/>
    </row>
    <row r="165" spans="3:3" x14ac:dyDescent="0.2">
      <c r="C165" s="138"/>
    </row>
    <row r="166" spans="3:3" x14ac:dyDescent="0.2">
      <c r="C166" s="138"/>
    </row>
    <row r="167" spans="3:3" x14ac:dyDescent="0.2">
      <c r="C167" s="138"/>
    </row>
    <row r="168" spans="3:3" x14ac:dyDescent="0.2">
      <c r="C168" s="138"/>
    </row>
    <row r="169" spans="3:3" x14ac:dyDescent="0.2">
      <c r="C169" s="138"/>
    </row>
    <row r="170" spans="3:3" x14ac:dyDescent="0.2">
      <c r="C170" s="138"/>
    </row>
    <row r="171" spans="3:3" x14ac:dyDescent="0.2">
      <c r="C171" s="138"/>
    </row>
    <row r="172" spans="3:3" x14ac:dyDescent="0.2">
      <c r="C172" s="138"/>
    </row>
    <row r="173" spans="3:3" x14ac:dyDescent="0.2">
      <c r="C173" s="138"/>
    </row>
    <row r="174" spans="3:3" x14ac:dyDescent="0.2">
      <c r="C174" s="138"/>
    </row>
    <row r="175" spans="3:3" x14ac:dyDescent="0.2">
      <c r="C175" s="138"/>
    </row>
    <row r="176" spans="3:3" x14ac:dyDescent="0.2">
      <c r="C176" s="138"/>
    </row>
    <row r="177" spans="3:3" x14ac:dyDescent="0.2">
      <c r="C177" s="138"/>
    </row>
    <row r="178" spans="3:3" x14ac:dyDescent="0.2">
      <c r="C178" s="138"/>
    </row>
    <row r="179" spans="3:3" x14ac:dyDescent="0.2">
      <c r="C179" s="138"/>
    </row>
    <row r="180" spans="3:3" x14ac:dyDescent="0.2">
      <c r="C180" s="138"/>
    </row>
    <row r="181" spans="3:3" x14ac:dyDescent="0.2">
      <c r="C181" s="138"/>
    </row>
    <row r="182" spans="3:3" x14ac:dyDescent="0.2">
      <c r="C182" s="138"/>
    </row>
    <row r="183" spans="3:3" x14ac:dyDescent="0.2">
      <c r="C183" s="138"/>
    </row>
    <row r="184" spans="3:3" x14ac:dyDescent="0.2">
      <c r="C184" s="138"/>
    </row>
    <row r="185" spans="3:3" x14ac:dyDescent="0.2">
      <c r="C185" s="138"/>
    </row>
    <row r="186" spans="3:3" x14ac:dyDescent="0.2">
      <c r="C186" s="138"/>
    </row>
    <row r="187" spans="3:3" x14ac:dyDescent="0.2">
      <c r="C187" s="138"/>
    </row>
    <row r="188" spans="3:3" x14ac:dyDescent="0.2">
      <c r="C188" s="138"/>
    </row>
    <row r="189" spans="3:3" x14ac:dyDescent="0.2">
      <c r="C189" s="138"/>
    </row>
    <row r="190" spans="3:3" x14ac:dyDescent="0.2">
      <c r="C190" s="138"/>
    </row>
    <row r="191" spans="3:3" x14ac:dyDescent="0.2">
      <c r="C191" s="138"/>
    </row>
    <row r="192" spans="3:3" x14ac:dyDescent="0.2">
      <c r="C192" s="138"/>
    </row>
    <row r="193" spans="3:3" x14ac:dyDescent="0.2">
      <c r="C193" s="138"/>
    </row>
    <row r="194" spans="3:3" x14ac:dyDescent="0.2">
      <c r="C194" s="138"/>
    </row>
    <row r="195" spans="3:3" x14ac:dyDescent="0.2">
      <c r="C195" s="138"/>
    </row>
    <row r="196" spans="3:3" x14ac:dyDescent="0.2">
      <c r="C196" s="138"/>
    </row>
    <row r="197" spans="3:3" x14ac:dyDescent="0.2">
      <c r="C197" s="138"/>
    </row>
    <row r="198" spans="3:3" x14ac:dyDescent="0.2">
      <c r="C198" s="138"/>
    </row>
    <row r="199" spans="3:3" x14ac:dyDescent="0.2">
      <c r="C199" s="138"/>
    </row>
    <row r="200" spans="3:3" x14ac:dyDescent="0.2">
      <c r="C200" s="138"/>
    </row>
    <row r="201" spans="3:3" x14ac:dyDescent="0.2">
      <c r="C201" s="138"/>
    </row>
    <row r="202" spans="3:3" x14ac:dyDescent="0.2">
      <c r="C202" s="138"/>
    </row>
    <row r="203" spans="3:3" x14ac:dyDescent="0.2">
      <c r="C203" s="138"/>
    </row>
    <row r="204" spans="3:3" x14ac:dyDescent="0.2">
      <c r="C204" s="138"/>
    </row>
    <row r="205" spans="3:3" x14ac:dyDescent="0.2">
      <c r="C205" s="138"/>
    </row>
    <row r="206" spans="3:3" x14ac:dyDescent="0.2">
      <c r="C206" s="138"/>
    </row>
    <row r="207" spans="3:3" x14ac:dyDescent="0.2">
      <c r="C207" s="138"/>
    </row>
    <row r="208" spans="3:3" x14ac:dyDescent="0.2">
      <c r="C208" s="138"/>
    </row>
    <row r="209" spans="3:3" x14ac:dyDescent="0.2">
      <c r="C209" s="138"/>
    </row>
    <row r="210" spans="3:3" x14ac:dyDescent="0.2">
      <c r="C210" s="138"/>
    </row>
    <row r="211" spans="3:3" x14ac:dyDescent="0.2">
      <c r="C211" s="138"/>
    </row>
    <row r="212" spans="3:3" x14ac:dyDescent="0.2">
      <c r="C212" s="138"/>
    </row>
    <row r="213" spans="3:3" x14ac:dyDescent="0.2">
      <c r="C213" s="138"/>
    </row>
    <row r="214" spans="3:3" x14ac:dyDescent="0.2">
      <c r="C214" s="138"/>
    </row>
    <row r="215" spans="3:3" x14ac:dyDescent="0.2">
      <c r="C215" s="138"/>
    </row>
    <row r="216" spans="3:3" x14ac:dyDescent="0.2">
      <c r="C216" s="138"/>
    </row>
    <row r="217" spans="3:3" x14ac:dyDescent="0.2">
      <c r="C217" s="138"/>
    </row>
    <row r="218" spans="3:3" x14ac:dyDescent="0.2">
      <c r="C218" s="138"/>
    </row>
    <row r="219" spans="3:3" x14ac:dyDescent="0.2">
      <c r="C219" s="138"/>
    </row>
    <row r="220" spans="3:3" x14ac:dyDescent="0.2">
      <c r="C220" s="138"/>
    </row>
    <row r="221" spans="3:3" x14ac:dyDescent="0.2">
      <c r="C221" s="138"/>
    </row>
    <row r="222" spans="3:3" x14ac:dyDescent="0.2">
      <c r="C222" s="138"/>
    </row>
    <row r="223" spans="3:3" x14ac:dyDescent="0.2">
      <c r="C223" s="138"/>
    </row>
    <row r="224" spans="3:3" x14ac:dyDescent="0.2">
      <c r="C224" s="138"/>
    </row>
    <row r="225" spans="3:3" x14ac:dyDescent="0.2">
      <c r="C225" s="138"/>
    </row>
    <row r="226" spans="3:3" x14ac:dyDescent="0.2">
      <c r="C226" s="138"/>
    </row>
    <row r="227" spans="3:3" x14ac:dyDescent="0.2">
      <c r="C227" s="138"/>
    </row>
    <row r="228" spans="3:3" x14ac:dyDescent="0.2">
      <c r="C228" s="138"/>
    </row>
    <row r="229" spans="3:3" x14ac:dyDescent="0.2">
      <c r="C229" s="138"/>
    </row>
    <row r="230" spans="3:3" x14ac:dyDescent="0.2">
      <c r="C230" s="138"/>
    </row>
    <row r="231" spans="3:3" x14ac:dyDescent="0.2">
      <c r="C231" s="138"/>
    </row>
    <row r="232" spans="3:3" x14ac:dyDescent="0.2">
      <c r="C232" s="138"/>
    </row>
    <row r="233" spans="3:3" x14ac:dyDescent="0.2">
      <c r="C233" s="138"/>
    </row>
    <row r="234" spans="3:3" x14ac:dyDescent="0.2">
      <c r="C234" s="138"/>
    </row>
    <row r="235" spans="3:3" x14ac:dyDescent="0.2">
      <c r="C235" s="138"/>
    </row>
    <row r="236" spans="3:3" x14ac:dyDescent="0.2">
      <c r="C236" s="138"/>
    </row>
    <row r="237" spans="3:3" x14ac:dyDescent="0.2">
      <c r="C237" s="138"/>
    </row>
    <row r="238" spans="3:3" x14ac:dyDescent="0.2">
      <c r="C238" s="138"/>
    </row>
    <row r="239" spans="3:3" x14ac:dyDescent="0.2">
      <c r="C239" s="138"/>
    </row>
    <row r="240" spans="3:3" x14ac:dyDescent="0.2">
      <c r="C240" s="138"/>
    </row>
    <row r="241" spans="3:3" x14ac:dyDescent="0.2">
      <c r="C241" s="138"/>
    </row>
    <row r="242" spans="3:3" x14ac:dyDescent="0.2">
      <c r="C242" s="138"/>
    </row>
    <row r="243" spans="3:3" x14ac:dyDescent="0.2">
      <c r="C243" s="138"/>
    </row>
    <row r="244" spans="3:3" x14ac:dyDescent="0.2">
      <c r="C244" s="138"/>
    </row>
    <row r="245" spans="3:3" x14ac:dyDescent="0.2">
      <c r="C245" s="138"/>
    </row>
    <row r="246" spans="3:3" x14ac:dyDescent="0.2">
      <c r="C246" s="138"/>
    </row>
    <row r="247" spans="3:3" x14ac:dyDescent="0.2">
      <c r="C247" s="138"/>
    </row>
    <row r="248" spans="3:3" x14ac:dyDescent="0.2">
      <c r="C248" s="138"/>
    </row>
    <row r="249" spans="3:3" x14ac:dyDescent="0.2">
      <c r="C249" s="138"/>
    </row>
    <row r="250" spans="3:3" x14ac:dyDescent="0.2">
      <c r="C250" s="138"/>
    </row>
    <row r="251" spans="3:3" x14ac:dyDescent="0.2">
      <c r="C251" s="138"/>
    </row>
    <row r="252" spans="3:3" x14ac:dyDescent="0.2">
      <c r="C252" s="138"/>
    </row>
    <row r="253" spans="3:3" x14ac:dyDescent="0.2">
      <c r="C253" s="138"/>
    </row>
    <row r="254" spans="3:3" x14ac:dyDescent="0.2">
      <c r="C254" s="138"/>
    </row>
    <row r="255" spans="3:3" x14ac:dyDescent="0.2">
      <c r="C255" s="138"/>
    </row>
    <row r="256" spans="3:3" x14ac:dyDescent="0.2">
      <c r="C256" s="138"/>
    </row>
    <row r="257" spans="3:3" x14ac:dyDescent="0.2">
      <c r="C257" s="138"/>
    </row>
    <row r="258" spans="3:3" x14ac:dyDescent="0.2">
      <c r="C258" s="138"/>
    </row>
    <row r="259" spans="3:3" x14ac:dyDescent="0.2">
      <c r="C259" s="138"/>
    </row>
    <row r="260" spans="3:3" x14ac:dyDescent="0.2">
      <c r="C260" s="138"/>
    </row>
    <row r="261" spans="3:3" x14ac:dyDescent="0.2">
      <c r="C261" s="138"/>
    </row>
    <row r="262" spans="3:3" x14ac:dyDescent="0.2">
      <c r="C262" s="138"/>
    </row>
    <row r="263" spans="3:3" x14ac:dyDescent="0.2">
      <c r="C263" s="138"/>
    </row>
    <row r="264" spans="3:3" x14ac:dyDescent="0.2">
      <c r="C264" s="138"/>
    </row>
    <row r="265" spans="3:3" x14ac:dyDescent="0.2">
      <c r="C265" s="138"/>
    </row>
    <row r="266" spans="3:3" x14ac:dyDescent="0.2">
      <c r="C266" s="137"/>
    </row>
  </sheetData>
  <mergeCells count="41">
    <mergeCell ref="AM2:AM3"/>
    <mergeCell ref="A1:AY1"/>
    <mergeCell ref="AZ1:BQ1"/>
    <mergeCell ref="A2:A3"/>
    <mergeCell ref="B2:B3"/>
    <mergeCell ref="C2:C3"/>
    <mergeCell ref="D2:D3"/>
    <mergeCell ref="E2:E3"/>
    <mergeCell ref="AJ2:AJ3"/>
    <mergeCell ref="AK2:AK3"/>
    <mergeCell ref="AL2:AL3"/>
    <mergeCell ref="AX2:AX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J2:BJ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Q2:BQ3"/>
    <mergeCell ref="BK2:BK3"/>
    <mergeCell ref="BL2:BL3"/>
    <mergeCell ref="BM2:BM3"/>
    <mergeCell ref="BN2:BN3"/>
    <mergeCell ref="BO2:BO3"/>
    <mergeCell ref="BP2:BP3"/>
  </mergeCells>
  <conditionalFormatting sqref="B1:B1048576">
    <cfRule type="duplicateValues" dxfId="2768" priority="1206"/>
    <cfRule type="duplicateValues" dxfId="2767" priority="829"/>
  </conditionalFormatting>
  <conditionalFormatting sqref="B12">
    <cfRule type="duplicateValues" dxfId="2766" priority="2597"/>
    <cfRule type="duplicateValues" dxfId="2765" priority="2604"/>
    <cfRule type="duplicateValues" dxfId="2764" priority="2605"/>
    <cfRule type="duplicateValues" dxfId="2763" priority="2606"/>
    <cfRule type="duplicateValues" dxfId="2762" priority="2603"/>
  </conditionalFormatting>
  <conditionalFormatting sqref="B14">
    <cfRule type="duplicateValues" dxfId="2761" priority="2577"/>
    <cfRule type="duplicateValues" dxfId="2760" priority="2579"/>
    <cfRule type="duplicateValues" dxfId="2759" priority="2578"/>
    <cfRule type="duplicateValues" dxfId="2758" priority="2576"/>
    <cfRule type="duplicateValues" dxfId="2757" priority="2645"/>
    <cfRule type="duplicateValues" dxfId="2756" priority="2575"/>
    <cfRule type="duplicateValues" dxfId="2755" priority="2566"/>
    <cfRule type="duplicateValues" dxfId="2754" priority="2565"/>
  </conditionalFormatting>
  <conditionalFormatting sqref="B16">
    <cfRule type="duplicateValues" dxfId="2753" priority="2340"/>
    <cfRule type="duplicateValues" dxfId="2752" priority="2341"/>
    <cfRule type="duplicateValues" dxfId="2751" priority="2345"/>
    <cfRule type="duplicateValues" dxfId="2750" priority="2337"/>
    <cfRule type="duplicateValues" dxfId="2749" priority="2338"/>
    <cfRule type="duplicateValues" dxfId="2748" priority="2339"/>
    <cfRule type="duplicateValues" dxfId="2747" priority="2336"/>
    <cfRule type="duplicateValues" dxfId="2746" priority="2342"/>
  </conditionalFormatting>
  <conditionalFormatting sqref="B17">
    <cfRule type="duplicateValues" dxfId="2745" priority="2655"/>
    <cfRule type="duplicateValues" dxfId="2744" priority="2653"/>
    <cfRule type="duplicateValues" dxfId="2743" priority="2654"/>
  </conditionalFormatting>
  <conditionalFormatting sqref="B18">
    <cfRule type="duplicateValues" dxfId="2742" priority="2259"/>
    <cfRule type="duplicateValues" dxfId="2741" priority="2255"/>
    <cfRule type="duplicateValues" dxfId="2740" priority="2258"/>
    <cfRule type="duplicateValues" dxfId="2739" priority="2260"/>
    <cfRule type="duplicateValues" dxfId="2738" priority="2261"/>
    <cfRule type="duplicateValues" dxfId="2737" priority="2264"/>
    <cfRule type="duplicateValues" dxfId="2736" priority="2263"/>
    <cfRule type="duplicateValues" dxfId="2735" priority="2256"/>
    <cfRule type="duplicateValues" dxfId="2734" priority="2257"/>
    <cfRule type="duplicateValues" dxfId="2733" priority="2265"/>
  </conditionalFormatting>
  <conditionalFormatting sqref="B19">
    <cfRule type="duplicateValues" dxfId="2732" priority="2197"/>
    <cfRule type="duplicateValues" dxfId="2731" priority="2195"/>
    <cfRule type="duplicateValues" dxfId="2730" priority="2194"/>
    <cfRule type="duplicateValues" dxfId="2729" priority="2190"/>
    <cfRule type="duplicateValues" dxfId="2728" priority="2193"/>
    <cfRule type="duplicateValues" dxfId="2727" priority="2189"/>
    <cfRule type="duplicateValues" dxfId="2726" priority="2198"/>
    <cfRule type="duplicateValues" dxfId="2725" priority="2199"/>
    <cfRule type="duplicateValues" dxfId="2724" priority="2191"/>
    <cfRule type="duplicateValues" dxfId="2723" priority="2192"/>
  </conditionalFormatting>
  <conditionalFormatting sqref="B20">
    <cfRule type="duplicateValues" dxfId="2722" priority="2158"/>
    <cfRule type="duplicateValues" dxfId="2721" priority="2164"/>
    <cfRule type="duplicateValues" dxfId="2720" priority="2157"/>
    <cfRule type="duplicateValues" dxfId="2719" priority="2166"/>
    <cfRule type="duplicateValues" dxfId="2718" priority="2165"/>
    <cfRule type="duplicateValues" dxfId="2717" priority="2156"/>
    <cfRule type="duplicateValues" dxfId="2716" priority="2159"/>
    <cfRule type="duplicateValues" dxfId="2715" priority="2162"/>
    <cfRule type="duplicateValues" dxfId="2714" priority="2160"/>
    <cfRule type="duplicateValues" dxfId="2713" priority="2161"/>
  </conditionalFormatting>
  <conditionalFormatting sqref="B21">
    <cfRule type="duplicateValues" dxfId="2712" priority="2175"/>
    <cfRule type="duplicateValues" dxfId="2711" priority="2177"/>
    <cfRule type="duplicateValues" dxfId="2710" priority="2176"/>
    <cfRule type="duplicateValues" dxfId="2709" priority="2173"/>
    <cfRule type="duplicateValues" dxfId="2708" priority="2172"/>
    <cfRule type="duplicateValues" dxfId="2707" priority="2171"/>
    <cfRule type="duplicateValues" dxfId="2706" priority="2170"/>
    <cfRule type="duplicateValues" dxfId="2705" priority="2169"/>
    <cfRule type="duplicateValues" dxfId="2704" priority="2168"/>
    <cfRule type="duplicateValues" dxfId="2703" priority="2167"/>
  </conditionalFormatting>
  <conditionalFormatting sqref="B22">
    <cfRule type="duplicateValues" dxfId="2702" priority="2225"/>
    <cfRule type="duplicateValues" dxfId="2701" priority="2230"/>
    <cfRule type="duplicateValues" dxfId="2700" priority="2232"/>
    <cfRule type="duplicateValues" dxfId="2699" priority="2222"/>
    <cfRule type="duplicateValues" dxfId="2698" priority="2231"/>
    <cfRule type="duplicateValues" dxfId="2697" priority="2227"/>
    <cfRule type="duplicateValues" dxfId="2696" priority="2226"/>
    <cfRule type="duplicateValues" dxfId="2695" priority="2224"/>
    <cfRule type="duplicateValues" dxfId="2694" priority="2223"/>
    <cfRule type="duplicateValues" dxfId="2693" priority="2228"/>
  </conditionalFormatting>
  <conditionalFormatting sqref="B24">
    <cfRule type="duplicateValues" dxfId="2692" priority="115"/>
    <cfRule type="duplicateValues" dxfId="2691" priority="117"/>
    <cfRule type="duplicateValues" dxfId="2690" priority="116"/>
    <cfRule type="duplicateValues" dxfId="2689" priority="114"/>
    <cfRule type="duplicateValues" dxfId="2688" priority="113"/>
  </conditionalFormatting>
  <conditionalFormatting sqref="B25">
    <cfRule type="duplicateValues" dxfId="2687" priority="2124"/>
    <cfRule type="duplicateValues" dxfId="2686" priority="2123"/>
    <cfRule type="duplicateValues" dxfId="2685" priority="2133"/>
    <cfRule type="duplicateValues" dxfId="2684" priority="2132"/>
    <cfRule type="duplicateValues" dxfId="2683" priority="2131"/>
    <cfRule type="duplicateValues" dxfId="2682" priority="2129"/>
    <cfRule type="duplicateValues" dxfId="2681" priority="2128"/>
    <cfRule type="duplicateValues" dxfId="2680" priority="2127"/>
    <cfRule type="duplicateValues" dxfId="2679" priority="2126"/>
    <cfRule type="duplicateValues" dxfId="2678" priority="2125"/>
  </conditionalFormatting>
  <conditionalFormatting sqref="B26">
    <cfRule type="duplicateValues" dxfId="2677" priority="2144"/>
    <cfRule type="duplicateValues" dxfId="2676" priority="2134"/>
    <cfRule type="duplicateValues" dxfId="2675" priority="2135"/>
    <cfRule type="duplicateValues" dxfId="2674" priority="2136"/>
    <cfRule type="duplicateValues" dxfId="2673" priority="2137"/>
    <cfRule type="duplicateValues" dxfId="2672" priority="2142"/>
    <cfRule type="duplicateValues" dxfId="2671" priority="2140"/>
    <cfRule type="duplicateValues" dxfId="2670" priority="2139"/>
    <cfRule type="duplicateValues" dxfId="2669" priority="2143"/>
    <cfRule type="duplicateValues" dxfId="2668" priority="2138"/>
  </conditionalFormatting>
  <conditionalFormatting sqref="B28">
    <cfRule type="duplicateValues" dxfId="2667" priority="2112"/>
    <cfRule type="duplicateValues" dxfId="2666" priority="2113"/>
    <cfRule type="duplicateValues" dxfId="2665" priority="2116"/>
    <cfRule type="duplicateValues" dxfId="2664" priority="2117"/>
    <cfRule type="duplicateValues" dxfId="2663" priority="2111"/>
    <cfRule type="duplicateValues" dxfId="2662" priority="2107"/>
    <cfRule type="duplicateValues" dxfId="2661" priority="2108"/>
    <cfRule type="duplicateValues" dxfId="2660" priority="2109"/>
    <cfRule type="duplicateValues" dxfId="2659" priority="2110"/>
    <cfRule type="duplicateValues" dxfId="2658" priority="2115"/>
  </conditionalFormatting>
  <conditionalFormatting sqref="B32">
    <cfRule type="duplicateValues" dxfId="2657" priority="2642"/>
  </conditionalFormatting>
  <conditionalFormatting sqref="B36">
    <cfRule type="duplicateValues" dxfId="2656" priority="2212"/>
    <cfRule type="duplicateValues" dxfId="2655" priority="2213"/>
    <cfRule type="duplicateValues" dxfId="2654" priority="2214"/>
    <cfRule type="duplicateValues" dxfId="2653" priority="2220"/>
    <cfRule type="duplicateValues" dxfId="2652" priority="2219"/>
    <cfRule type="duplicateValues" dxfId="2651" priority="2217"/>
    <cfRule type="duplicateValues" dxfId="2650" priority="2221"/>
    <cfRule type="duplicateValues" dxfId="2649" priority="2215"/>
    <cfRule type="duplicateValues" dxfId="2648" priority="2216"/>
    <cfRule type="duplicateValues" dxfId="2647" priority="2211"/>
  </conditionalFormatting>
  <conditionalFormatting sqref="B67">
    <cfRule type="duplicateValues" dxfId="2646" priority="2646"/>
    <cfRule type="duplicateValues" dxfId="2645" priority="2643"/>
  </conditionalFormatting>
  <conditionalFormatting sqref="B73">
    <cfRule type="duplicateValues" dxfId="2644" priority="2245"/>
    <cfRule type="duplicateValues" dxfId="2643" priority="2252"/>
    <cfRule type="duplicateValues" dxfId="2642" priority="2250"/>
    <cfRule type="duplicateValues" dxfId="2641" priority="2249"/>
    <cfRule type="duplicateValues" dxfId="2640" priority="2248"/>
    <cfRule type="duplicateValues" dxfId="2639" priority="2247"/>
    <cfRule type="duplicateValues" dxfId="2638" priority="2246"/>
    <cfRule type="duplicateValues" dxfId="2637" priority="2254"/>
    <cfRule type="duplicateValues" dxfId="2636" priority="2253"/>
    <cfRule type="duplicateValues" dxfId="2635" priority="2244"/>
  </conditionalFormatting>
  <conditionalFormatting sqref="B76">
    <cfRule type="duplicateValues" dxfId="2634" priority="2621"/>
    <cfRule type="duplicateValues" dxfId="2633" priority="2624"/>
    <cfRule type="duplicateValues" dxfId="2632" priority="2622"/>
    <cfRule type="duplicateValues" dxfId="2631" priority="2623"/>
  </conditionalFormatting>
  <conditionalFormatting sqref="B79">
    <cfRule type="duplicateValues" dxfId="2630" priority="809"/>
    <cfRule type="duplicateValues" dxfId="2629" priority="811"/>
    <cfRule type="duplicateValues" dxfId="2628" priority="812"/>
    <cfRule type="duplicateValues" dxfId="2627" priority="817"/>
    <cfRule type="duplicateValues" dxfId="2626" priority="813"/>
    <cfRule type="duplicateValues" dxfId="2625" priority="814"/>
    <cfRule type="duplicateValues" dxfId="2624" priority="815"/>
    <cfRule type="duplicateValues" dxfId="2623" priority="816"/>
    <cfRule type="duplicateValues" dxfId="2622" priority="810"/>
    <cfRule type="duplicateValues" dxfId="2621" priority="818"/>
  </conditionalFormatting>
  <conditionalFormatting sqref="B80:B81">
    <cfRule type="duplicateValues" dxfId="2620" priority="825"/>
  </conditionalFormatting>
  <conditionalFormatting sqref="B82">
    <cfRule type="duplicateValues" dxfId="2619" priority="804"/>
    <cfRule type="duplicateValues" dxfId="2618" priority="802"/>
    <cfRule type="duplicateValues" dxfId="2617" priority="803"/>
    <cfRule type="duplicateValues" dxfId="2616" priority="805"/>
  </conditionalFormatting>
  <conditionalFormatting sqref="B83">
    <cfRule type="duplicateValues" dxfId="2615" priority="821"/>
    <cfRule type="duplicateValues" dxfId="2614" priority="820"/>
    <cfRule type="duplicateValues" dxfId="2613" priority="788"/>
    <cfRule type="duplicateValues" dxfId="2612" priority="786"/>
    <cfRule type="duplicateValues" dxfId="2611" priority="785"/>
    <cfRule type="duplicateValues" dxfId="2610" priority="789"/>
    <cfRule type="duplicateValues" dxfId="2609" priority="790"/>
    <cfRule type="duplicateValues" dxfId="2608" priority="791"/>
  </conditionalFormatting>
  <conditionalFormatting sqref="B86">
    <cfRule type="duplicateValues" dxfId="2607" priority="466"/>
    <cfRule type="duplicateValues" dxfId="2606" priority="473"/>
    <cfRule type="duplicateValues" dxfId="2605" priority="472"/>
    <cfRule type="duplicateValues" dxfId="2604" priority="471"/>
    <cfRule type="duplicateValues" dxfId="2603" priority="468"/>
    <cfRule type="duplicateValues" dxfId="2602" priority="467"/>
    <cfRule type="duplicateValues" dxfId="2601" priority="465"/>
    <cfRule type="duplicateValues" dxfId="2600" priority="470"/>
    <cfRule type="duplicateValues" dxfId="2599" priority="474"/>
    <cfRule type="duplicateValues" dxfId="2598" priority="469"/>
  </conditionalFormatting>
  <conditionalFormatting sqref="B87:B88 B84:B85">
    <cfRule type="duplicateValues" dxfId="2597" priority="74057"/>
  </conditionalFormatting>
  <conditionalFormatting sqref="B87:B88">
    <cfRule type="duplicateValues" dxfId="2596" priority="537"/>
  </conditionalFormatting>
  <conditionalFormatting sqref="B89">
    <cfRule type="duplicateValues" dxfId="2595" priority="516"/>
    <cfRule type="duplicateValues" dxfId="2594" priority="515"/>
    <cfRule type="duplicateValues" dxfId="2593" priority="517"/>
    <cfRule type="duplicateValues" dxfId="2592" priority="514"/>
  </conditionalFormatting>
  <conditionalFormatting sqref="B90">
    <cfRule type="duplicateValues" dxfId="2591" priority="532"/>
    <cfRule type="duplicateValues" dxfId="2590" priority="533"/>
    <cfRule type="duplicateValues" dxfId="2589" priority="497"/>
    <cfRule type="duplicateValues" dxfId="2588" priority="503"/>
    <cfRule type="duplicateValues" dxfId="2587" priority="501"/>
    <cfRule type="duplicateValues" dxfId="2586" priority="500"/>
    <cfRule type="duplicateValues" dxfId="2585" priority="498"/>
    <cfRule type="duplicateValues" dxfId="2584" priority="502"/>
  </conditionalFormatting>
  <conditionalFormatting sqref="B93">
    <cfRule type="duplicateValues" dxfId="2583" priority="107"/>
    <cfRule type="duplicateValues" dxfId="2582" priority="111"/>
    <cfRule type="duplicateValues" dxfId="2581" priority="110"/>
    <cfRule type="duplicateValues" dxfId="2580" priority="109"/>
    <cfRule type="duplicateValues" dxfId="2579" priority="108"/>
    <cfRule type="duplicateValues" dxfId="2578" priority="106"/>
    <cfRule type="duplicateValues" dxfId="2577" priority="105"/>
    <cfRule type="duplicateValues" dxfId="2576" priority="104"/>
    <cfRule type="duplicateValues" dxfId="2575" priority="112"/>
  </conditionalFormatting>
  <conditionalFormatting sqref="B96">
    <cfRule type="duplicateValues" dxfId="2574" priority="2588"/>
    <cfRule type="duplicateValues" dxfId="2573" priority="2589"/>
    <cfRule type="duplicateValues" dxfId="2572" priority="2595"/>
    <cfRule type="duplicateValues" dxfId="2571" priority="2594"/>
    <cfRule type="duplicateValues" dxfId="2570" priority="2593"/>
    <cfRule type="duplicateValues" dxfId="2569" priority="2592"/>
  </conditionalFormatting>
  <conditionalFormatting sqref="B98">
    <cfRule type="duplicateValues" dxfId="2568" priority="92"/>
    <cfRule type="duplicateValues" dxfId="2567" priority="93"/>
    <cfRule type="duplicateValues" dxfId="2566" priority="94"/>
    <cfRule type="duplicateValues" dxfId="2565" priority="95"/>
    <cfRule type="duplicateValues" dxfId="2564" priority="96"/>
    <cfRule type="duplicateValues" dxfId="2563" priority="97"/>
    <cfRule type="duplicateValues" dxfId="2562" priority="98"/>
    <cfRule type="duplicateValues" dxfId="2561" priority="102"/>
    <cfRule type="duplicateValues" dxfId="2560" priority="100"/>
    <cfRule type="duplicateValues" dxfId="2559" priority="99"/>
    <cfRule type="duplicateValues" dxfId="2558" priority="101"/>
  </conditionalFormatting>
  <conditionalFormatting sqref="B99">
    <cfRule type="duplicateValues" dxfId="2557" priority="83"/>
    <cfRule type="duplicateValues" dxfId="2556" priority="85"/>
    <cfRule type="duplicateValues" dxfId="2555" priority="86"/>
    <cfRule type="duplicateValues" dxfId="2554" priority="87"/>
    <cfRule type="duplicateValues" dxfId="2553" priority="84"/>
    <cfRule type="duplicateValues" dxfId="2552" priority="81"/>
    <cfRule type="duplicateValues" dxfId="2551" priority="82"/>
  </conditionalFormatting>
  <conditionalFormatting sqref="B101">
    <cfRule type="duplicateValues" dxfId="2550" priority="2580"/>
    <cfRule type="duplicateValues" dxfId="2549" priority="2581"/>
    <cfRule type="duplicateValues" dxfId="2548" priority="2582"/>
    <cfRule type="duplicateValues" dxfId="2547" priority="2583"/>
    <cfRule type="duplicateValues" dxfId="2546" priority="2584"/>
    <cfRule type="duplicateValues" dxfId="2545" priority="2585"/>
    <cfRule type="duplicateValues" dxfId="2544" priority="2586"/>
  </conditionalFormatting>
  <conditionalFormatting sqref="B104">
    <cfRule type="duplicateValues" dxfId="2543" priority="158"/>
    <cfRule type="duplicateValues" dxfId="2542" priority="155"/>
    <cfRule type="duplicateValues" dxfId="2541" priority="156"/>
    <cfRule type="duplicateValues" dxfId="2540" priority="157"/>
    <cfRule type="duplicateValues" dxfId="2539" priority="160"/>
    <cfRule type="duplicateValues" dxfId="2538" priority="159"/>
    <cfRule type="duplicateValues" dxfId="2537" priority="154"/>
  </conditionalFormatting>
  <conditionalFormatting sqref="B105">
    <cfRule type="duplicateValues" dxfId="2536" priority="48"/>
    <cfRule type="duplicateValues" dxfId="2535" priority="46"/>
    <cfRule type="duplicateValues" dxfId="2534" priority="47"/>
    <cfRule type="duplicateValues" dxfId="2533" priority="50"/>
    <cfRule type="duplicateValues" dxfId="2532" priority="51"/>
    <cfRule type="duplicateValues" dxfId="2531" priority="49"/>
    <cfRule type="duplicateValues" dxfId="2530" priority="45"/>
  </conditionalFormatting>
  <conditionalFormatting sqref="B106">
    <cfRule type="duplicateValues" dxfId="2529" priority="2486"/>
    <cfRule type="duplicateValues" dxfId="2528" priority="2487"/>
    <cfRule type="duplicateValues" dxfId="2527" priority="2488"/>
    <cfRule type="duplicateValues" dxfId="2526" priority="2489"/>
    <cfRule type="duplicateValues" dxfId="2525" priority="2484"/>
    <cfRule type="duplicateValues" dxfId="2524" priority="2485"/>
  </conditionalFormatting>
  <conditionalFormatting sqref="B107 B12">
    <cfRule type="duplicateValues" dxfId="2523" priority="2596"/>
  </conditionalFormatting>
  <conditionalFormatting sqref="B107 B96 B12">
    <cfRule type="duplicateValues" dxfId="2522" priority="57883"/>
  </conditionalFormatting>
  <conditionalFormatting sqref="B107 B101 B96 B12">
    <cfRule type="duplicateValues" dxfId="2521" priority="68537"/>
  </conditionalFormatting>
  <conditionalFormatting sqref="B107">
    <cfRule type="duplicateValues" dxfId="2520" priority="2611"/>
    <cfRule type="duplicateValues" dxfId="2519" priority="2608"/>
    <cfRule type="duplicateValues" dxfId="2518" priority="2610"/>
    <cfRule type="duplicateValues" dxfId="2517" priority="2607"/>
    <cfRule type="duplicateValues" dxfId="2516" priority="2609"/>
  </conditionalFormatting>
  <conditionalFormatting sqref="B108">
    <cfRule type="duplicateValues" dxfId="2515" priority="3"/>
    <cfRule type="duplicateValues" dxfId="2514" priority="2"/>
    <cfRule type="duplicateValues" dxfId="2513" priority="8"/>
    <cfRule type="duplicateValues" dxfId="2512" priority="7"/>
    <cfRule type="duplicateValues" dxfId="2511" priority="6"/>
    <cfRule type="duplicateValues" dxfId="2510" priority="5"/>
    <cfRule type="duplicateValues" dxfId="2509" priority="4"/>
  </conditionalFormatting>
  <conditionalFormatting sqref="B109">
    <cfRule type="duplicateValues" dxfId="2508" priority="80668"/>
    <cfRule type="duplicateValues" dxfId="2507" priority="80666"/>
    <cfRule type="duplicateValues" dxfId="2506" priority="80667"/>
    <cfRule type="duplicateValues" dxfId="2505" priority="80669"/>
    <cfRule type="duplicateValues" dxfId="2504" priority="80670"/>
    <cfRule type="duplicateValues" dxfId="2503" priority="80671"/>
    <cfRule type="duplicateValues" dxfId="2502" priority="80672"/>
  </conditionalFormatting>
  <conditionalFormatting sqref="B112 B87:B88 B84:B85">
    <cfRule type="duplicateValues" dxfId="2501" priority="74055"/>
  </conditionalFormatting>
  <conditionalFormatting sqref="B112 B87:B89 B84:B85">
    <cfRule type="duplicateValues" dxfId="2500" priority="74059"/>
  </conditionalFormatting>
  <conditionalFormatting sqref="B112 B87:B90 B84:B85">
    <cfRule type="duplicateValues" dxfId="2499" priority="74061"/>
  </conditionalFormatting>
  <conditionalFormatting sqref="B112">
    <cfRule type="duplicateValues" dxfId="2498" priority="519"/>
    <cfRule type="duplicateValues" dxfId="2497" priority="518"/>
  </conditionalFormatting>
  <conditionalFormatting sqref="B116 B16:B17">
    <cfRule type="duplicateValues" dxfId="2496" priority="2650"/>
    <cfRule type="duplicateValues" dxfId="2495" priority="2649"/>
    <cfRule type="duplicateValues" dxfId="2494" priority="2651"/>
    <cfRule type="duplicateValues" dxfId="2493" priority="2652"/>
  </conditionalFormatting>
  <conditionalFormatting sqref="B116 B17">
    <cfRule type="duplicateValues" dxfId="2492" priority="2656"/>
    <cfRule type="duplicateValues" dxfId="2491" priority="2657"/>
  </conditionalFormatting>
  <conditionalFormatting sqref="B116">
    <cfRule type="duplicateValues" dxfId="2490" priority="2344"/>
  </conditionalFormatting>
  <conditionalFormatting sqref="B117">
    <cfRule type="duplicateValues" dxfId="2489" priority="2209"/>
    <cfRule type="duplicateValues" dxfId="2488" priority="2210"/>
    <cfRule type="duplicateValues" dxfId="2487" priority="2201"/>
    <cfRule type="duplicateValues" dxfId="2486" priority="2203"/>
    <cfRule type="duplicateValues" dxfId="2485" priority="2200"/>
    <cfRule type="duplicateValues" dxfId="2484" priority="2202"/>
    <cfRule type="duplicateValues" dxfId="2483" priority="2204"/>
    <cfRule type="duplicateValues" dxfId="2482" priority="2205"/>
    <cfRule type="duplicateValues" dxfId="2481" priority="2206"/>
    <cfRule type="duplicateValues" dxfId="2480" priority="2208"/>
  </conditionalFormatting>
  <conditionalFormatting sqref="B119 B106 B100 B77 B123 B91:B92">
    <cfRule type="duplicateValues" dxfId="2479" priority="83796"/>
  </conditionalFormatting>
  <conditionalFormatting sqref="B119">
    <cfRule type="duplicateValues" dxfId="2478" priority="2478"/>
    <cfRule type="duplicateValues" dxfId="2477" priority="2477"/>
    <cfRule type="duplicateValues" dxfId="2476" priority="2476"/>
    <cfRule type="duplicateValues" dxfId="2475" priority="2481"/>
    <cfRule type="duplicateValues" dxfId="2474" priority="2479"/>
    <cfRule type="duplicateValues" dxfId="2473" priority="2483"/>
    <cfRule type="duplicateValues" dxfId="2472" priority="2482"/>
    <cfRule type="duplicateValues" dxfId="2471" priority="2480"/>
  </conditionalFormatting>
  <conditionalFormatting sqref="B123 B100 B77 B91:B92">
    <cfRule type="duplicateValues" dxfId="2470" priority="2659"/>
    <cfRule type="duplicateValues" dxfId="2469" priority="2660"/>
    <cfRule type="duplicateValues" dxfId="2468" priority="2662"/>
    <cfRule type="duplicateValues" dxfId="2467" priority="2661"/>
    <cfRule type="duplicateValues" dxfId="2466" priority="2663"/>
    <cfRule type="duplicateValues" dxfId="2465" priority="2664"/>
  </conditionalFormatting>
  <conditionalFormatting sqref="B124">
    <cfRule type="duplicateValues" dxfId="2464" priority="120"/>
    <cfRule type="duplicateValues" dxfId="2463" priority="121"/>
    <cfRule type="duplicateValues" dxfId="2462" priority="123"/>
    <cfRule type="duplicateValues" dxfId="2461" priority="122"/>
    <cfRule type="duplicateValues" dxfId="2460" priority="119"/>
  </conditionalFormatting>
  <conditionalFormatting sqref="B125:B126 B120:B122 B110 B103 B128 B37:B66">
    <cfRule type="duplicateValues" dxfId="2459" priority="81582"/>
    <cfRule type="duplicateValues" dxfId="2458" priority="81589"/>
    <cfRule type="duplicateValues" dxfId="2457" priority="81588"/>
    <cfRule type="duplicateValues" dxfId="2456" priority="81590"/>
    <cfRule type="duplicateValues" dxfId="2455" priority="81587"/>
    <cfRule type="duplicateValues" dxfId="2454" priority="81586"/>
    <cfRule type="duplicateValues" dxfId="2453" priority="81585"/>
    <cfRule type="duplicateValues" dxfId="2452" priority="81584"/>
    <cfRule type="duplicateValues" dxfId="2451" priority="81583"/>
    <cfRule type="duplicateValues" dxfId="2450" priority="81581"/>
  </conditionalFormatting>
  <conditionalFormatting sqref="B127 B111 B97 B80:B81 B78">
    <cfRule type="duplicateValues" dxfId="2449" priority="822"/>
    <cfRule type="duplicateValues" dxfId="2448" priority="823"/>
    <cfRule type="duplicateValues" dxfId="2447" priority="824"/>
  </conditionalFormatting>
  <conditionalFormatting sqref="B127 B111 B97 B80:B82 B78">
    <cfRule type="duplicateValues" dxfId="2446" priority="826"/>
  </conditionalFormatting>
  <conditionalFormatting sqref="B127 B111 B97 B80:B83 B78">
    <cfRule type="duplicateValues" dxfId="2445" priority="827"/>
  </conditionalFormatting>
  <conditionalFormatting sqref="B135:B136 F4:AI83 AA85:AI106 F90:AH104 F105:AI129 F84:AH87 AI84:AI91 F88:Q89 Z88:AH89 S88:X89 F103:AI103">
    <cfRule type="containsText" dxfId="2444" priority="1871" operator="containsText" text="ML">
      <formula>NOT(ISERROR(SEARCH("ML",B4)))</formula>
    </cfRule>
  </conditionalFormatting>
  <conditionalFormatting sqref="B135:B136 F4:AI87 H85:H91 Z85:Z91 F88:Q89 S88:X89 Z88:AI89 AF89:AF91 F90:AI129">
    <cfRule type="containsText" dxfId="2443" priority="1875" operator="containsText" text="ID">
      <formula>NOT(ISERROR(SEARCH("ID",B4)))</formula>
    </cfRule>
  </conditionalFormatting>
  <conditionalFormatting sqref="B136">
    <cfRule type="containsText" dxfId="2442" priority="1877" operator="containsText" text="A">
      <formula>NOT(ISERROR(SEARCH("A",B136)))</formula>
    </cfRule>
    <cfRule type="containsText" dxfId="2441" priority="1870" operator="containsText" text="ABS">
      <formula>NOT(ISERROR(SEARCH("ABS",B136)))</formula>
    </cfRule>
    <cfRule type="containsText" dxfId="2440" priority="1873" operator="containsText" text="OT">
      <formula>NOT(ISERROR(SEARCH("OT",B136)))</formula>
    </cfRule>
    <cfRule type="containsBlanks" dxfId="2439" priority="1872">
      <formula>LEN(TRIM(B136))=0</formula>
    </cfRule>
    <cfRule type="containsText" dxfId="2438" priority="1874" operator="containsText" text="S">
      <formula>NOT(ISERROR(SEARCH("S",B136)))</formula>
    </cfRule>
    <cfRule type="containsText" dxfId="2437" priority="1876" operator="containsText" text="PH">
      <formula>NOT(ISERROR(SEARCH("PH",B136)))</formula>
    </cfRule>
  </conditionalFormatting>
  <conditionalFormatting sqref="B137:B139">
    <cfRule type="duplicateValues" dxfId="2436" priority="1989"/>
    <cfRule type="duplicateValues" dxfId="2435" priority="1990"/>
    <cfRule type="duplicateValues" dxfId="2434" priority="1991"/>
    <cfRule type="duplicateValues" dxfId="2433" priority="1992"/>
    <cfRule type="duplicateValues" dxfId="2432" priority="1993"/>
    <cfRule type="duplicateValues" dxfId="2431" priority="1994"/>
    <cfRule type="duplicateValues" dxfId="2430" priority="1995"/>
    <cfRule type="duplicateValues" dxfId="2429" priority="2000"/>
    <cfRule type="duplicateValues" dxfId="2428" priority="2001"/>
    <cfRule type="duplicateValues" dxfId="2427" priority="1999"/>
    <cfRule type="duplicateValues" dxfId="2426" priority="1998"/>
    <cfRule type="duplicateValues" dxfId="2425" priority="2002"/>
    <cfRule type="duplicateValues" dxfId="2424" priority="2003"/>
    <cfRule type="duplicateValues" dxfId="2423" priority="1997"/>
    <cfRule type="duplicateValues" dxfId="2422" priority="1996"/>
  </conditionalFormatting>
  <conditionalFormatting sqref="B137:B140">
    <cfRule type="duplicateValues" dxfId="2421" priority="1981"/>
  </conditionalFormatting>
  <conditionalFormatting sqref="B139">
    <cfRule type="duplicateValues" dxfId="2420" priority="1982"/>
    <cfRule type="duplicateValues" dxfId="2419" priority="1983"/>
    <cfRule type="duplicateValues" dxfId="2418" priority="1984"/>
    <cfRule type="duplicateValues" dxfId="2417" priority="1985"/>
    <cfRule type="duplicateValues" dxfId="2416" priority="1986"/>
    <cfRule type="duplicateValues" dxfId="2415" priority="1987"/>
    <cfRule type="duplicateValues" dxfId="2414" priority="1988"/>
  </conditionalFormatting>
  <conditionalFormatting sqref="B140">
    <cfRule type="duplicateValues" dxfId="2413" priority="2016"/>
    <cfRule type="duplicateValues" dxfId="2412" priority="2007"/>
    <cfRule type="duplicateValues" dxfId="2411" priority="2015"/>
    <cfRule type="duplicateValues" dxfId="2410" priority="2014"/>
    <cfRule type="duplicateValues" dxfId="2409" priority="2013"/>
    <cfRule type="duplicateValues" dxfId="2408" priority="2009"/>
    <cfRule type="duplicateValues" dxfId="2407" priority="2010"/>
    <cfRule type="duplicateValues" dxfId="2406" priority="2012"/>
    <cfRule type="duplicateValues" dxfId="2405" priority="2011"/>
    <cfRule type="duplicateValues" dxfId="2404" priority="2019"/>
    <cfRule type="duplicateValues" dxfId="2403" priority="2004"/>
    <cfRule type="duplicateValues" dxfId="2402" priority="2018"/>
    <cfRule type="duplicateValues" dxfId="2401" priority="2005"/>
    <cfRule type="duplicateValues" dxfId="2400" priority="2008"/>
    <cfRule type="duplicateValues" dxfId="2399" priority="2006"/>
    <cfRule type="duplicateValues" dxfId="2398" priority="2017"/>
  </conditionalFormatting>
  <conditionalFormatting sqref="B141">
    <cfRule type="duplicateValues" dxfId="2397" priority="62480"/>
  </conditionalFormatting>
  <conditionalFormatting sqref="B142">
    <cfRule type="containsText" dxfId="2396" priority="1588" operator="containsText" text="ID">
      <formula>NOT(ISERROR(SEARCH("ID",B142)))</formula>
    </cfRule>
    <cfRule type="containsText" dxfId="2395" priority="1589" operator="containsText" text="S">
      <formula>NOT(ISERROR(SEARCH("S",B142)))</formula>
    </cfRule>
    <cfRule type="containsText" dxfId="2394" priority="1590" operator="containsText" text="S">
      <formula>NOT(ISERROR(SEARCH("S",B142)))</formula>
    </cfRule>
    <cfRule type="containsText" dxfId="2393" priority="1591" operator="containsText" text="PH">
      <formula>NOT(ISERROR(SEARCH("PH",B142)))</formula>
    </cfRule>
    <cfRule type="containsText" dxfId="2392" priority="1592" operator="containsText" text="A">
      <formula>NOT(ISERROR(SEARCH("A",B142)))</formula>
    </cfRule>
    <cfRule type="containsText" dxfId="2391" priority="1594" operator="containsText" text="PH">
      <formula>NOT(ISERROR(SEARCH("PH",B142)))</formula>
    </cfRule>
    <cfRule type="containsText" dxfId="2390" priority="1595" operator="containsText" text="A">
      <formula>NOT(ISERROR(SEARCH("A",B142)))</formula>
    </cfRule>
    <cfRule type="containsBlanks" dxfId="2389" priority="1596">
      <formula>LEN(TRIM(B142))=0</formula>
    </cfRule>
    <cfRule type="containsText" dxfId="2388" priority="1597" operator="containsText" text="ID">
      <formula>NOT(ISERROR(SEARCH("ID",B142)))</formula>
    </cfRule>
    <cfRule type="containsText" dxfId="2387" priority="1598" operator="containsText" text="ML">
      <formula>NOT(ISERROR(SEARCH("ML",B142)))</formula>
    </cfRule>
    <cfRule type="containsText" dxfId="2386" priority="1599" operator="containsText" text="S">
      <formula>NOT(ISERROR(SEARCH("S",B142)))</formula>
    </cfRule>
    <cfRule type="containsText" dxfId="2385" priority="1600" operator="containsText" text="CL">
      <formula>NOT(ISERROR(SEARCH("CL",B142)))</formula>
    </cfRule>
    <cfRule type="containsText" dxfId="2384" priority="1601" operator="containsText" text="EL">
      <formula>NOT(ISERROR(SEARCH("EL",B142)))</formula>
    </cfRule>
    <cfRule type="containsText" dxfId="2383" priority="1602" operator="containsText" text="ID">
      <formula>NOT(ISERROR(SEARCH("ID",B142)))</formula>
    </cfRule>
    <cfRule type="containsText" dxfId="2382" priority="1604" operator="containsText" text="S">
      <formula>NOT(ISERROR(SEARCH("S",B142)))</formula>
    </cfRule>
    <cfRule type="containsText" dxfId="2381" priority="1605" operator="containsText" text="S">
      <formula>NOT(ISERROR(SEARCH("S",B142)))</formula>
    </cfRule>
    <cfRule type="containsText" dxfId="2380" priority="1606" operator="containsText" text="PH">
      <formula>NOT(ISERROR(SEARCH("PH",B142)))</formula>
    </cfRule>
    <cfRule type="containsText" dxfId="2379" priority="1607" operator="containsText" text="A">
      <formula>NOT(ISERROR(SEARCH("A",B142)))</formula>
    </cfRule>
    <cfRule type="containsBlanks" dxfId="2378" priority="1608">
      <formula>LEN(TRIM(B142))=0</formula>
    </cfRule>
    <cfRule type="containsText" dxfId="2377" priority="1609" operator="containsText" text="ID">
      <formula>NOT(ISERROR(SEARCH("ID",B142)))</formula>
    </cfRule>
    <cfRule type="containsText" dxfId="2376" priority="1610" operator="containsText" text="S">
      <formula>NOT(ISERROR(SEARCH("S",B142)))</formula>
    </cfRule>
    <cfRule type="containsText" dxfId="2375" priority="1611" operator="containsText" text="ML">
      <formula>NOT(ISERROR(SEARCH("ML",B142)))</formula>
    </cfRule>
    <cfRule type="containsText" dxfId="2374" priority="1612" operator="containsText" text="ID">
      <formula>NOT(ISERROR(SEARCH("ID",B142)))</formula>
    </cfRule>
    <cfRule type="containsText" dxfId="2373" priority="1613" operator="containsText" text="S">
      <formula>NOT(ISERROR(SEARCH("S",B142)))</formula>
    </cfRule>
    <cfRule type="containsText" dxfId="2372" priority="1614" operator="containsText" text="S">
      <formula>NOT(ISERROR(SEARCH("S",B142)))</formula>
    </cfRule>
    <cfRule type="containsText" dxfId="2371" priority="1615" operator="containsText" text="PH">
      <formula>NOT(ISERROR(SEARCH("PH",B142)))</formula>
    </cfRule>
    <cfRule type="containsText" dxfId="2370" priority="1616" operator="containsText" text="A">
      <formula>NOT(ISERROR(SEARCH("A",B142)))</formula>
    </cfRule>
    <cfRule type="containsBlanks" dxfId="2369" priority="1617">
      <formula>LEN(TRIM(B142))=0</formula>
    </cfRule>
    <cfRule type="containsText" dxfId="2368" priority="1618" operator="containsText" text="ID">
      <formula>NOT(ISERROR(SEARCH("ID",B142)))</formula>
    </cfRule>
    <cfRule type="containsText" dxfId="2367" priority="1619" operator="containsText" text="S">
      <formula>NOT(ISERROR(SEARCH("S",B142)))</formula>
    </cfRule>
    <cfRule type="containsText" dxfId="2366" priority="1620" operator="containsText" text="S">
      <formula>NOT(ISERROR(SEARCH("S",B142)))</formula>
    </cfRule>
    <cfRule type="containsText" dxfId="2365" priority="1621" operator="containsText" text="PH">
      <formula>NOT(ISERROR(SEARCH("PH",B142)))</formula>
    </cfRule>
    <cfRule type="containsText" dxfId="2364" priority="1622" operator="containsText" text="A">
      <formula>NOT(ISERROR(SEARCH("A",B142)))</formula>
    </cfRule>
    <cfRule type="containsBlanks" dxfId="2363" priority="1623">
      <formula>LEN(TRIM(B142))=0</formula>
    </cfRule>
    <cfRule type="containsText" dxfId="2362" priority="1624" operator="containsText" text="PH">
      <formula>NOT(ISERROR(SEARCH("PH",B142)))</formula>
    </cfRule>
    <cfRule type="containsText" dxfId="2361" priority="1625" operator="containsText" text="A">
      <formula>NOT(ISERROR(SEARCH("A",B142)))</formula>
    </cfRule>
    <cfRule type="containsBlanks" dxfId="2360" priority="1626">
      <formula>LEN(TRIM(B142))=0</formula>
    </cfRule>
    <cfRule type="containsText" dxfId="2359" priority="1627" operator="containsText" text="S">
      <formula>NOT(ISERROR(SEARCH("S",B142)))</formula>
    </cfRule>
    <cfRule type="containsText" dxfId="2358" priority="1628" operator="containsText" text="S">
      <formula>NOT(ISERROR(SEARCH("S",B142)))</formula>
    </cfRule>
    <cfRule type="containsText" dxfId="2357" priority="1629" operator="containsText" text="PH">
      <formula>NOT(ISERROR(SEARCH("PH",B142)))</formula>
    </cfRule>
    <cfRule type="containsText" dxfId="2356" priority="1630" operator="containsText" text="A">
      <formula>NOT(ISERROR(SEARCH("A",B142)))</formula>
    </cfRule>
    <cfRule type="containsText" dxfId="2355" priority="1574" operator="containsText" text="v">
      <formula>NOT(ISERROR(SEARCH("v",B142)))</formula>
    </cfRule>
    <cfRule type="containsText" dxfId="2354" priority="1575" operator="containsText" text="S">
      <formula>NOT(ISERROR(SEARCH("S",B142)))</formula>
    </cfRule>
    <cfRule type="containsText" dxfId="2353" priority="1603" operator="containsText" text="ID">
      <formula>NOT(ISERROR(SEARCH("ID",B142)))</formula>
    </cfRule>
    <cfRule type="containsText" dxfId="2352" priority="1576" operator="containsText" text="ID">
      <formula>NOT(ISERROR(SEARCH("ID",B142)))</formula>
    </cfRule>
    <cfRule type="containsText" dxfId="2351" priority="1577" operator="containsText" text="ML">
      <formula>NOT(ISERROR(SEARCH("ML",B142)))</formula>
    </cfRule>
    <cfRule type="containsText" dxfId="2350" priority="1578" operator="containsText" text="ID">
      <formula>NOT(ISERROR(SEARCH("ID",B142)))</formula>
    </cfRule>
    <cfRule type="containsBlanks" dxfId="2349" priority="1631">
      <formula>LEN(TRIM(B142))=0</formula>
    </cfRule>
    <cfRule type="containsText" dxfId="2348" priority="1633" operator="containsText" text="ID">
      <formula>NOT(ISERROR(SEARCH("ID",B142)))</formula>
    </cfRule>
    <cfRule type="containsText" dxfId="2347" priority="1634" operator="containsText" text="ID">
      <formula>NOT(ISERROR(SEARCH("ID",B142)))</formula>
    </cfRule>
    <cfRule type="containsText" dxfId="2346" priority="1635" operator="containsText" text="ID">
      <formula>NOT(ISERROR(SEARCH("ID",B142)))</formula>
    </cfRule>
    <cfRule type="containsText" dxfId="2345" priority="1636" operator="containsText" text="S">
      <formula>NOT(ISERROR(SEARCH("S",B142)))</formula>
    </cfRule>
    <cfRule type="containsText" dxfId="2344" priority="1637" operator="containsText" text="S">
      <formula>NOT(ISERROR(SEARCH("S",B142)))</formula>
    </cfRule>
    <cfRule type="containsText" dxfId="2343" priority="1638" operator="containsText" text="PH">
      <formula>NOT(ISERROR(SEARCH("PH",B142)))</formula>
    </cfRule>
    <cfRule type="containsText" dxfId="2342" priority="1639" operator="containsText" text="A">
      <formula>NOT(ISERROR(SEARCH("A",B142)))</formula>
    </cfRule>
    <cfRule type="containsBlanks" dxfId="2341" priority="1640">
      <formula>LEN(TRIM(B142))=0</formula>
    </cfRule>
    <cfRule type="containsText" dxfId="2340" priority="1641" operator="containsText" text="S">
      <formula>NOT(ISERROR(SEARCH("S",B142)))</formula>
    </cfRule>
    <cfRule type="containsText" dxfId="2339" priority="1642" operator="containsText" text="ML">
      <formula>NOT(ISERROR(SEARCH("ML",B142)))</formula>
    </cfRule>
    <cfRule type="containsText" dxfId="2338" priority="1643" operator="containsText" text="ID">
      <formula>NOT(ISERROR(SEARCH("ID",B142)))</formula>
    </cfRule>
    <cfRule type="containsText" dxfId="2337" priority="1644" operator="containsText" text="PH">
      <formula>NOT(ISERROR(SEARCH("PH",B142)))</formula>
    </cfRule>
    <cfRule type="containsText" dxfId="2336" priority="1645" operator="containsText" text="S">
      <formula>NOT(ISERROR(SEARCH("S",B142)))</formula>
    </cfRule>
    <cfRule type="containsText" dxfId="2335" priority="1646" operator="containsText" text="ML">
      <formula>NOT(ISERROR(SEARCH("ML",B142)))</formula>
    </cfRule>
    <cfRule type="containsBlanks" dxfId="2334" priority="1593">
      <formula>LEN(TRIM(B142))=0</formula>
    </cfRule>
    <cfRule type="containsText" dxfId="2333" priority="1632" operator="containsText" text="ML">
      <formula>NOT(ISERROR(SEARCH("ML",B142)))</formula>
    </cfRule>
    <cfRule type="containsText" dxfId="2332" priority="1662" operator="containsText" text="ID">
      <formula>NOT(ISERROR(SEARCH("ID",B142)))</formula>
    </cfRule>
    <cfRule type="containsText" dxfId="2331" priority="1661" operator="containsText" text="ID">
      <formula>NOT(ISERROR(SEARCH("ID",B142)))</formula>
    </cfRule>
    <cfRule type="containsText" dxfId="2330" priority="1660" operator="containsText" text="ID">
      <formula>NOT(ISERROR(SEARCH("ID",B142)))</formula>
    </cfRule>
    <cfRule type="containsBlanks" dxfId="2329" priority="1659">
      <formula>LEN(TRIM(B142))=0</formula>
    </cfRule>
    <cfRule type="containsText" dxfId="2328" priority="1658" operator="containsText" text="A">
      <formula>NOT(ISERROR(SEARCH("A",B142)))</formula>
    </cfRule>
    <cfRule type="containsBlanks" dxfId="2327" priority="1657">
      <formula>LEN(TRIM(B142))=0</formula>
    </cfRule>
    <cfRule type="containsText" dxfId="2326" priority="1656" operator="containsText" text="A">
      <formula>NOT(ISERROR(SEARCH("A",B142)))</formula>
    </cfRule>
    <cfRule type="containsText" dxfId="2325" priority="1655" operator="containsText" text="PH">
      <formula>NOT(ISERROR(SEARCH("PH",B142)))</formula>
    </cfRule>
    <cfRule type="containsText" dxfId="2324" priority="1654" operator="containsText" text="ID">
      <formula>NOT(ISERROR(SEARCH("ID",B142)))</formula>
    </cfRule>
    <cfRule type="containsBlanks" dxfId="2323" priority="1653">
      <formula>LEN(TRIM(B142))=0</formula>
    </cfRule>
    <cfRule type="containsText" dxfId="2322" priority="1652" operator="containsText" text="A">
      <formula>NOT(ISERROR(SEARCH("A",B142)))</formula>
    </cfRule>
    <cfRule type="containsText" dxfId="2321" priority="1651" operator="containsText" text="PH">
      <formula>NOT(ISERROR(SEARCH("PH",B142)))</formula>
    </cfRule>
    <cfRule type="containsText" dxfId="2320" priority="1650" operator="containsText" text="S">
      <formula>NOT(ISERROR(SEARCH("S",B142)))</formula>
    </cfRule>
    <cfRule type="containsText" dxfId="2319" priority="1649" operator="containsText" text="S">
      <formula>NOT(ISERROR(SEARCH("S",B142)))</formula>
    </cfRule>
    <cfRule type="containsText" dxfId="2318" priority="1648" operator="containsText" text="ID">
      <formula>NOT(ISERROR(SEARCH("ID",B142)))</formula>
    </cfRule>
    <cfRule type="containsText" dxfId="2317" priority="1647" operator="containsText" text="ID">
      <formula>NOT(ISERROR(SEARCH("ID",B142)))</formula>
    </cfRule>
    <cfRule type="containsText" dxfId="2316" priority="1579" operator="containsText" text="ID">
      <formula>NOT(ISERROR(SEARCH("ID",B142)))</formula>
    </cfRule>
    <cfRule type="containsText" dxfId="2315" priority="1580" operator="containsText" text="S">
      <formula>NOT(ISERROR(SEARCH("S",B142)))</formula>
    </cfRule>
    <cfRule type="containsText" dxfId="2314" priority="1581" operator="containsText" text="S">
      <formula>NOT(ISERROR(SEARCH("S",B142)))</formula>
    </cfRule>
    <cfRule type="containsText" dxfId="2313" priority="1582" operator="containsText" text="PH">
      <formula>NOT(ISERROR(SEARCH("PH",B142)))</formula>
    </cfRule>
    <cfRule type="containsBlanks" dxfId="2312" priority="1584">
      <formula>LEN(TRIM(B142))=0</formula>
    </cfRule>
    <cfRule type="containsText" dxfId="2311" priority="1585" operator="containsText" text="S">
      <formula>NOT(ISERROR(SEARCH("S",B142)))</formula>
    </cfRule>
    <cfRule type="containsText" dxfId="2310" priority="1586" operator="containsText" text="ID">
      <formula>NOT(ISERROR(SEARCH("ID",B142)))</formula>
    </cfRule>
    <cfRule type="containsText" dxfId="2309" priority="1587" operator="containsText" text="ID">
      <formula>NOT(ISERROR(SEARCH("ID",B142)))</formula>
    </cfRule>
    <cfRule type="containsText" dxfId="2308" priority="1583" operator="containsText" text="A">
      <formula>NOT(ISERROR(SEARCH("A",B142)))</formula>
    </cfRule>
  </conditionalFormatting>
  <conditionalFormatting sqref="B154:B159">
    <cfRule type="duplicateValues" dxfId="2307" priority="87143"/>
    <cfRule type="duplicateValues" dxfId="2306" priority="87125"/>
    <cfRule type="duplicateValues" dxfId="2305" priority="87124"/>
    <cfRule type="duplicateValues" dxfId="2304" priority="87141"/>
    <cfRule type="duplicateValues" dxfId="2303" priority="87132"/>
    <cfRule type="duplicateValues" dxfId="2302" priority="87140"/>
    <cfRule type="duplicateValues" dxfId="2301" priority="87139"/>
    <cfRule type="duplicateValues" dxfId="2300" priority="87138"/>
    <cfRule type="duplicateValues" dxfId="2299" priority="87137"/>
    <cfRule type="duplicateValues" dxfId="2298" priority="87136"/>
    <cfRule type="duplicateValues" dxfId="2297" priority="87129"/>
    <cfRule type="duplicateValues" dxfId="2296" priority="87135"/>
    <cfRule type="duplicateValues" dxfId="2295" priority="87134"/>
    <cfRule type="duplicateValues" dxfId="2294" priority="87133"/>
    <cfRule type="duplicateValues" dxfId="2293" priority="87131"/>
    <cfRule type="duplicateValues" dxfId="2292" priority="87142"/>
    <cfRule type="duplicateValues" dxfId="2291" priority="87130"/>
    <cfRule type="duplicateValues" dxfId="2290" priority="87128"/>
    <cfRule type="duplicateValues" dxfId="2289" priority="87127"/>
    <cfRule type="duplicateValues" dxfId="2288" priority="87126"/>
  </conditionalFormatting>
  <conditionalFormatting sqref="B160:B1048576 B1:B153">
    <cfRule type="duplicateValues" dxfId="2287" priority="1314"/>
  </conditionalFormatting>
  <conditionalFormatting sqref="B160:B1048576 B141 B94:B97 B27 B143:B153 B23:B24 B29:B35 B99:B102 B129:B134 B67:B72 B74:B78 B80:B85 B87:B92 B127 B118:B119 B111:B115 B123:B124 B1:B15 B104:B109">
    <cfRule type="duplicateValues" dxfId="2286" priority="86948"/>
    <cfRule type="duplicateValues" dxfId="2285" priority="86947"/>
    <cfRule type="duplicateValues" dxfId="2284" priority="86949"/>
  </conditionalFormatting>
  <conditionalFormatting sqref="B160:B1048576 B141 B94:B97 B27 B143:B153 B23:B24 B29:B35 B99:B102 B129:B134 B67:B72 B74:B78 B80:B85 B87:B92 B127 B118:B119 B111:B116 B123:B124 B1:B17 B104:B109">
    <cfRule type="duplicateValues" dxfId="2283" priority="87013"/>
  </conditionalFormatting>
  <conditionalFormatting sqref="B160:B1048576 B141 B107 B118 B94:B96 B74:B76 B23 B27 B113:B115 B143:B153 B67:B72 B129:B134 B101:B102 B29:B35 B1:B15">
    <cfRule type="duplicateValues" dxfId="2282" priority="78064"/>
  </conditionalFormatting>
  <conditionalFormatting sqref="B160:B1048576 B141 B118 B94:B95 B74:B75 B23 B27 B129:B134 B102 B143:B153 B13 B113:B115 B67:B72 B15 B29:B35 B1:B11">
    <cfRule type="duplicateValues" dxfId="2281" priority="71361"/>
  </conditionalFormatting>
  <conditionalFormatting sqref="B160:B1048576 B141 B118 B94:B95 B74:B75 B23 B27 B129:B134 B102 B143:B153 B13 B113:B115 B68:B72 B15 B29:B35 B1:B11">
    <cfRule type="duplicateValues" dxfId="2280" priority="71381"/>
  </conditionalFormatting>
  <conditionalFormatting sqref="B160:B1048576 B141 B118 B94:B95 B74:B75 B113:B115 B23 B27 B129:B134 B102 B143:B153 B13 B29:B31 B68:B72 B15 B33:B35 B1:B11">
    <cfRule type="duplicateValues" dxfId="2279" priority="71339"/>
  </conditionalFormatting>
  <conditionalFormatting sqref="B160:B1048576 B141 B118 B94:B95 B74:B76 B23 B27 B129:B134 B102 B143:B153 B13 B113:B115 B67:B72 B15 B29:B35 B1:B11">
    <cfRule type="duplicateValues" dxfId="2278" priority="71402"/>
  </conditionalFormatting>
  <conditionalFormatting sqref="B160:B1048576 B141 B130:B134 B15 B143:B153">
    <cfRule type="duplicateValues" dxfId="2277" priority="2647"/>
  </conditionalFormatting>
  <conditionalFormatting sqref="B160:B1048576 B141 B143:B153 B1:B134">
    <cfRule type="duplicateValues" dxfId="2276" priority="2668"/>
    <cfRule type="duplicateValues" dxfId="2275" priority="2669"/>
    <cfRule type="duplicateValues" dxfId="2274" priority="2670"/>
    <cfRule type="duplicateValues" dxfId="2273" priority="2666"/>
    <cfRule type="duplicateValues" dxfId="2272" priority="2667"/>
  </conditionalFormatting>
  <conditionalFormatting sqref="B160:B1048576 B143:B153 B1:B141">
    <cfRule type="duplicateValues" dxfId="2271" priority="2672"/>
    <cfRule type="duplicateValues" dxfId="2270" priority="2673"/>
    <cfRule type="duplicateValues" dxfId="2269" priority="1664"/>
  </conditionalFormatting>
  <conditionalFormatting sqref="C18">
    <cfRule type="duplicateValues" dxfId="2268" priority="53083"/>
  </conditionalFormatting>
  <conditionalFormatting sqref="C19">
    <cfRule type="duplicateValues" dxfId="2267" priority="53090"/>
  </conditionalFormatting>
  <conditionalFormatting sqref="C20">
    <cfRule type="duplicateValues" dxfId="2266" priority="53092"/>
  </conditionalFormatting>
  <conditionalFormatting sqref="C21">
    <cfRule type="duplicateValues" dxfId="2265" priority="53093"/>
  </conditionalFormatting>
  <conditionalFormatting sqref="C22">
    <cfRule type="duplicateValues" dxfId="2264" priority="53094"/>
  </conditionalFormatting>
  <conditionalFormatting sqref="C24">
    <cfRule type="duplicateValues" dxfId="2263" priority="118"/>
  </conditionalFormatting>
  <conditionalFormatting sqref="C25">
    <cfRule type="duplicateValues" dxfId="2262" priority="53096"/>
  </conditionalFormatting>
  <conditionalFormatting sqref="C26">
    <cfRule type="duplicateValues" dxfId="2261" priority="53097"/>
  </conditionalFormatting>
  <conditionalFormatting sqref="C28">
    <cfRule type="duplicateValues" dxfId="2260" priority="53098"/>
  </conditionalFormatting>
  <conditionalFormatting sqref="C36">
    <cfRule type="duplicateValues" dxfId="2259" priority="53099"/>
  </conditionalFormatting>
  <conditionalFormatting sqref="C73">
    <cfRule type="duplicateValues" dxfId="2258" priority="53103"/>
  </conditionalFormatting>
  <conditionalFormatting sqref="C79">
    <cfRule type="duplicateValues" dxfId="2257" priority="819"/>
  </conditionalFormatting>
  <conditionalFormatting sqref="C86">
    <cfRule type="duplicateValues" dxfId="2256" priority="520"/>
  </conditionalFormatting>
  <conditionalFormatting sqref="C93">
    <cfRule type="duplicateValues" dxfId="2255" priority="103"/>
  </conditionalFormatting>
  <conditionalFormatting sqref="C98">
    <cfRule type="duplicateValues" dxfId="2254" priority="89"/>
  </conditionalFormatting>
  <conditionalFormatting sqref="C99">
    <cfRule type="duplicateValues" dxfId="2253" priority="88"/>
  </conditionalFormatting>
  <conditionalFormatting sqref="C104">
    <cfRule type="duplicateValues" dxfId="2252" priority="161"/>
  </conditionalFormatting>
  <conditionalFormatting sqref="C105">
    <cfRule type="duplicateValues" dxfId="2251" priority="52"/>
  </conditionalFormatting>
  <conditionalFormatting sqref="C108">
    <cfRule type="duplicateValues" dxfId="2250" priority="1"/>
  </conditionalFormatting>
  <conditionalFormatting sqref="C109">
    <cfRule type="duplicateValues" dxfId="2249" priority="80894"/>
  </conditionalFormatting>
  <conditionalFormatting sqref="C112 C87:C90 C84:C85">
    <cfRule type="duplicateValues" dxfId="2248" priority="74237"/>
  </conditionalFormatting>
  <conditionalFormatting sqref="C116 C16:C17">
    <cfRule type="duplicateValues" dxfId="2247" priority="53082"/>
  </conditionalFormatting>
  <conditionalFormatting sqref="C117">
    <cfRule type="duplicateValues" dxfId="2246" priority="53091"/>
  </conditionalFormatting>
  <conditionalFormatting sqref="C119 C106 C100 C77 C123 C91:C92">
    <cfRule type="duplicateValues" dxfId="2245" priority="83803"/>
  </conditionalFormatting>
  <conditionalFormatting sqref="C124">
    <cfRule type="duplicateValues" dxfId="2244" priority="124"/>
  </conditionalFormatting>
  <conditionalFormatting sqref="C125:C126 C120:C122 C110 C103 C128 C37:C66">
    <cfRule type="duplicateValues" dxfId="2243" priority="81885"/>
  </conditionalFormatting>
  <conditionalFormatting sqref="C127 C111 C97 C80:C83 C78">
    <cfRule type="duplicateValues" dxfId="2242" priority="828"/>
  </conditionalFormatting>
  <conditionalFormatting sqref="C129:C134 C118 C107 C94:C96 C101:C102 C74:C76 C23 C27 C113:C115 C67:C72 C29:C35 C143:C1048576 C1:C15">
    <cfRule type="duplicateValues" dxfId="2241" priority="78126"/>
  </conditionalFormatting>
  <conditionalFormatting sqref="F16 L27:S72 AE67 F70:J70 F71:AI77 H78:H83 L79:S86 AF82:AF83 AE84 H85:H91 K85:M91 T85:T91 Z85:Z91 AF89:AF91 F90:AI129">
    <cfRule type="containsText" dxfId="2240" priority="2413" operator="containsText" text="ID">
      <formula>NOT(ISERROR(SEARCH("ID",F16)))</formula>
    </cfRule>
  </conditionalFormatting>
  <conditionalFormatting sqref="F108:G108">
    <cfRule type="containsText" dxfId="2239" priority="2554" operator="containsText" text="ID">
      <formula>NOT(ISERROR(SEARCH("ID",F108)))</formula>
    </cfRule>
    <cfRule type="containsText" dxfId="2238" priority="2555" operator="containsText" text="ID">
      <formula>NOT(ISERROR(SEARCH("ID",F108)))</formula>
    </cfRule>
    <cfRule type="containsText" dxfId="2237" priority="2556" operator="containsText" text="S">
      <formula>NOT(ISERROR(SEARCH("S",F108)))</formula>
    </cfRule>
    <cfRule type="containsText" dxfId="2236" priority="2557" operator="containsText" text="S">
      <formula>NOT(ISERROR(SEARCH("S",F108)))</formula>
    </cfRule>
    <cfRule type="containsText" dxfId="2235" priority="2553" operator="containsText" text="ID">
      <formula>NOT(ISERROR(SEARCH("ID",F108)))</formula>
    </cfRule>
    <cfRule type="containsText" dxfId="2234" priority="2558" operator="containsText" text="PH">
      <formula>NOT(ISERROR(SEARCH("PH",F108)))</formula>
    </cfRule>
    <cfRule type="containsText" dxfId="2233" priority="2559" operator="containsText" text="A">
      <formula>NOT(ISERROR(SEARCH("A",F108)))</formula>
    </cfRule>
  </conditionalFormatting>
  <conditionalFormatting sqref="F69:H70 N69:N70 I70 F90:AI129 S9:AF12 AF26 K69:K70 U69:U70 AC69:AC70">
    <cfRule type="containsText" dxfId="2232" priority="2415" operator="containsText" text="S">
      <formula>NOT(ISERROR(SEARCH("S",F9)))</formula>
    </cfRule>
  </conditionalFormatting>
  <conditionalFormatting sqref="F99:J99">
    <cfRule type="containsText" dxfId="2231" priority="55" operator="containsText" text="ID">
      <formula>NOT(ISERROR(SEARCH("ID",F99)))</formula>
    </cfRule>
    <cfRule type="containsText" dxfId="2230" priority="56" operator="containsText" text="ID">
      <formula>NOT(ISERROR(SEARCH("ID",F99)))</formula>
    </cfRule>
    <cfRule type="containsText" dxfId="2229" priority="54" operator="containsText" text="ID">
      <formula>NOT(ISERROR(SEARCH("ID",F99)))</formula>
    </cfRule>
    <cfRule type="containsText" dxfId="2228" priority="53" operator="containsText" text="ML">
      <formula>NOT(ISERROR(SEARCH("ML",F99)))</formula>
    </cfRule>
  </conditionalFormatting>
  <conditionalFormatting sqref="F112:K112 F119:K122">
    <cfRule type="containsText" dxfId="2227" priority="21" operator="containsText" text="A">
      <formula>NOT(ISERROR(SEARCH("A",F112)))</formula>
    </cfRule>
    <cfRule type="containsText" dxfId="2226" priority="20" operator="containsText" text="PH">
      <formula>NOT(ISERROR(SEARCH("PH",F112)))</formula>
    </cfRule>
    <cfRule type="containsText" dxfId="2225" priority="26" operator="containsText" text="ID">
      <formula>NOT(ISERROR(SEARCH("ID",F112)))</formula>
    </cfRule>
    <cfRule type="containsText" dxfId="2224" priority="25" operator="containsText" text="ML">
      <formula>NOT(ISERROR(SEARCH("ML",F112)))</formula>
    </cfRule>
    <cfRule type="containsText" dxfId="2223" priority="24" operator="containsText" text="S">
      <formula>NOT(ISERROR(SEARCH("S",F112)))</formula>
    </cfRule>
    <cfRule type="containsText" dxfId="2222" priority="23" operator="containsText" text="ID">
      <formula>NOT(ISERROR(SEARCH("ID",F112)))</formula>
    </cfRule>
    <cfRule type="containsBlanks" dxfId="2221" priority="22">
      <formula>LEN(TRIM(F112))=0</formula>
    </cfRule>
  </conditionalFormatting>
  <conditionalFormatting sqref="F88:Q89 S88:X89 F4:AI87 F90:AI129 Z88:AI89">
    <cfRule type="containsText" dxfId="2220" priority="2105" operator="containsText" text="A">
      <formula>NOT(ISERROR(SEARCH("A",F4)))</formula>
    </cfRule>
    <cfRule type="containsText" dxfId="2219" priority="2348" operator="containsText" text="ID">
      <formula>NOT(ISERROR(SEARCH("ID",F4)))</formula>
    </cfRule>
  </conditionalFormatting>
  <conditionalFormatting sqref="F88:Q89 S88:X89 Z88:AI89 F4:AI87 F90:AI129">
    <cfRule type="containsText" dxfId="2218" priority="2456" operator="containsText" text="ML">
      <formula>NOT(ISERROR(SEARCH("ML",F4)))</formula>
    </cfRule>
    <cfRule type="containsText" dxfId="2217" priority="2517" operator="containsText" text="PH">
      <formula>NOT(ISERROR(SEARCH("PH",F4)))</formula>
    </cfRule>
  </conditionalFormatting>
  <conditionalFormatting sqref="F88:Q89 S88:X89 Z88:AI89">
    <cfRule type="containsText" dxfId="2216" priority="2455" operator="containsText" text="S">
      <formula>NOT(ISERROR(SEARCH("S",F88)))</formula>
    </cfRule>
    <cfRule type="containsText" dxfId="2215" priority="2516" operator="containsText" text="S">
      <formula>NOT(ISERROR(SEARCH("S",F88)))</formula>
    </cfRule>
    <cfRule type="containsText" dxfId="2214" priority="2414" operator="containsText" text="S">
      <formula>NOT(ISERROR(SEARCH("S",F88)))</formula>
    </cfRule>
    <cfRule type="containsText" dxfId="2213" priority="579" operator="containsText" text="S">
      <formula>NOT(ISERROR(SEARCH("S",F88)))</formula>
    </cfRule>
  </conditionalFormatting>
  <conditionalFormatting sqref="F88:Q89 S88:X89 AF5:AH5 AF12:AH12 F129:AB129 F5:AD5 F7:AB7 F9:AB12 F26:AB26 F64:AB64 F69:X72 AD26 AF26 AD64 AF64 F67:AB67 Y70:AB72 Z88:AB89">
    <cfRule type="containsText" dxfId="2212" priority="1671" operator="containsText" text="ML">
      <formula>NOT(ISERROR(SEARCH("ML",F5)))</formula>
    </cfRule>
  </conditionalFormatting>
  <conditionalFormatting sqref="F88:Q89 S88:X89">
    <cfRule type="containsText" dxfId="2211" priority="2381" operator="containsText" text="PH">
      <formula>NOT(ISERROR(SEARCH("PH",F88)))</formula>
    </cfRule>
    <cfRule type="containsText" dxfId="2210" priority="2515" operator="containsText" text="S">
      <formula>NOT(ISERROR(SEARCH("S",F88)))</formula>
    </cfRule>
    <cfRule type="containsText" dxfId="2209" priority="2343" operator="containsText" text="ML">
      <formula>NOT(ISERROR(SEARCH("ML",F88)))</formula>
    </cfRule>
    <cfRule type="containsText" dxfId="2208" priority="2627" operator="containsText" text="ID">
      <formula>NOT(ISERROR(SEARCH("ID",F88)))</formula>
    </cfRule>
  </conditionalFormatting>
  <conditionalFormatting sqref="F21:AB21 AD21 AF21:AH21 F24:AB24 AD24 AF24:AH24 J67:K67 AC80">
    <cfRule type="containsText" dxfId="2207" priority="792" operator="containsText" text="S">
      <formula>NOT(ISERROR(SEARCH("S",F21)))</formula>
    </cfRule>
  </conditionalFormatting>
  <conditionalFormatting sqref="F109:AB112 F119:AB123">
    <cfRule type="containsText" dxfId="2206" priority="58" operator="containsText" text="ID">
      <formula>NOT(ISERROR(SEARCH("ID",F109)))</formula>
    </cfRule>
    <cfRule type="containsText" dxfId="2205" priority="62" operator="containsText" text="A">
      <formula>NOT(ISERROR(SEARCH("A",F109)))</formula>
    </cfRule>
    <cfRule type="containsText" dxfId="2204" priority="61" operator="containsText" text="ID">
      <formula>NOT(ISERROR(SEARCH("ID",F109)))</formula>
    </cfRule>
    <cfRule type="containsText" dxfId="2203" priority="60" operator="containsText" text="ML">
      <formula>NOT(ISERROR(SEARCH("ML",F109)))</formula>
    </cfRule>
    <cfRule type="containsText" dxfId="2202" priority="59" operator="containsText" text="S">
      <formula>NOT(ISERROR(SEARCH("S",F109)))</formula>
    </cfRule>
    <cfRule type="containsBlanks" dxfId="2201" priority="57">
      <formula>LEN(TRIM(F109))=0</formula>
    </cfRule>
  </conditionalFormatting>
  <conditionalFormatting sqref="F5:AD5 AF5:AH5 F7:AB7 F9:AB12 AF12:AH12 F26:AB26 AD26 AF26 F64:AB64 AD64 AF64 F67:AB67 F69:X72 Y70:AB72 F88:Q89 S88:X89 Z88:AB89 F129:AB129">
    <cfRule type="containsText" dxfId="2200" priority="1673" operator="containsText" text="S">
      <formula>NOT(ISERROR(SEARCH("S",F5)))</formula>
    </cfRule>
  </conditionalFormatting>
  <conditionalFormatting sqref="F119:AD120 F55:AD55">
    <cfRule type="containsText" dxfId="2199" priority="2103" operator="containsText" text="S">
      <formula>NOT(ISERROR(SEARCH("S",F55)))</formula>
    </cfRule>
    <cfRule type="containsText" dxfId="2198" priority="2032" operator="containsText" text="ID">
      <formula>NOT(ISERROR(SEARCH("ID",F55)))</formula>
    </cfRule>
    <cfRule type="containsText" dxfId="2197" priority="2598" operator="containsText" text="S">
      <formula>NOT(ISERROR(SEARCH("S",F55)))</formula>
    </cfRule>
  </conditionalFormatting>
  <conditionalFormatting sqref="F4:AI87 F88:Q89 S88:X89 Z88:AI89 F90:AI129">
    <cfRule type="containsBlanks" dxfId="2196" priority="2361">
      <formula>LEN(TRIM(F4))=0</formula>
    </cfRule>
    <cfRule type="containsText" dxfId="2195" priority="2360" operator="containsText" text="A">
      <formula>NOT(ISERROR(SEARCH("A",F4)))</formula>
    </cfRule>
    <cfRule type="containsText" dxfId="2194" priority="2359" operator="containsText" text="PH">
      <formula>NOT(ISERROR(SEARCH("PH",F4)))</formula>
    </cfRule>
    <cfRule type="containsText" dxfId="2193" priority="2358" operator="containsText" text="S">
      <formula>NOT(ISERROR(SEARCH("S",F4)))</formula>
    </cfRule>
    <cfRule type="containsText" dxfId="2192" priority="2357" operator="containsText" text="S">
      <formula>NOT(ISERROR(SEARCH("S",F4)))</formula>
    </cfRule>
    <cfRule type="containsText" dxfId="2191" priority="2356" operator="containsText" text="ID">
      <formula>NOT(ISERROR(SEARCH("ID",F4)))</formula>
    </cfRule>
    <cfRule type="containsText" dxfId="2190" priority="2355" operator="containsText" text="ID">
      <formula>NOT(ISERROR(SEARCH("ID",F4)))</formula>
    </cfRule>
    <cfRule type="containsBlanks" dxfId="2189" priority="2353">
      <formula>LEN(TRIM(F4))=0</formula>
    </cfRule>
    <cfRule type="containsText" dxfId="2188" priority="2352" operator="containsText" text="A">
      <formula>NOT(ISERROR(SEARCH("A",F4)))</formula>
    </cfRule>
    <cfRule type="containsText" dxfId="2187" priority="2351" operator="containsText" text="PH">
      <formula>NOT(ISERROR(SEARCH("PH",F4)))</formula>
    </cfRule>
    <cfRule type="containsText" dxfId="2186" priority="2350" operator="containsText" text="S">
      <formula>NOT(ISERROR(SEARCH("S",F4)))</formula>
    </cfRule>
    <cfRule type="containsText" dxfId="2185" priority="2349" operator="containsText" text="S">
      <formula>NOT(ISERROR(SEARCH("S",F4)))</formula>
    </cfRule>
    <cfRule type="containsBlanks" dxfId="2184" priority="2106">
      <formula>LEN(TRIM(F4))=0</formula>
    </cfRule>
    <cfRule type="containsText" dxfId="2183" priority="2054" operator="containsText" text="EL">
      <formula>NOT(ISERROR(SEARCH("EL",F4)))</formula>
    </cfRule>
    <cfRule type="containsText" dxfId="2182" priority="2053" operator="containsText" text="CL">
      <formula>NOT(ISERROR(SEARCH("CL",F4)))</formula>
    </cfRule>
    <cfRule type="containsText" dxfId="2181" priority="2052" operator="containsText" text="S">
      <formula>NOT(ISERROR(SEARCH("S",F4)))</formula>
    </cfRule>
    <cfRule type="containsText" dxfId="2180" priority="2050" operator="containsText" text="ID">
      <formula>NOT(ISERROR(SEARCH("ID",F4)))</formula>
    </cfRule>
    <cfRule type="containsBlanks" dxfId="2179" priority="2049">
      <formula>LEN(TRIM(F4))=0</formula>
    </cfRule>
    <cfRule type="containsText" dxfId="2178" priority="2048" operator="containsText" text="A">
      <formula>NOT(ISERROR(SEARCH("A",F4)))</formula>
    </cfRule>
    <cfRule type="containsText" dxfId="2177" priority="2047" operator="containsText" text="PH">
      <formula>NOT(ISERROR(SEARCH("PH",F4)))</formula>
    </cfRule>
    <cfRule type="containsBlanks" dxfId="2176" priority="2046">
      <formula>LEN(TRIM(F4))=0</formula>
    </cfRule>
    <cfRule type="containsText" dxfId="2175" priority="2045" operator="containsText" text="A">
      <formula>NOT(ISERROR(SEARCH("A",F4)))</formula>
    </cfRule>
    <cfRule type="containsText" dxfId="2174" priority="2044" operator="containsText" text="PH">
      <formula>NOT(ISERROR(SEARCH("PH",F4)))</formula>
    </cfRule>
    <cfRule type="containsText" dxfId="2173" priority="2043" operator="containsText" text="S">
      <formula>NOT(ISERROR(SEARCH("S",F4)))</formula>
    </cfRule>
    <cfRule type="containsText" dxfId="2172" priority="2042" operator="containsText" text="S">
      <formula>NOT(ISERROR(SEARCH("S",F4)))</formula>
    </cfRule>
    <cfRule type="containsText" dxfId="2171" priority="2041" operator="containsText" text="ID">
      <formula>NOT(ISERROR(SEARCH("ID",F4)))</formula>
    </cfRule>
    <cfRule type="containsText" dxfId="2170" priority="2040" operator="containsText" text="ID">
      <formula>NOT(ISERROR(SEARCH("ID",F4)))</formula>
    </cfRule>
    <cfRule type="containsText" dxfId="2169" priority="2039" operator="containsText" text="ID">
      <formula>NOT(ISERROR(SEARCH("ID",F4)))</formula>
    </cfRule>
    <cfRule type="containsText" dxfId="2168" priority="2038" operator="containsText" text="S">
      <formula>NOT(ISERROR(SEARCH("S",F4)))</formula>
    </cfRule>
    <cfRule type="containsBlanks" dxfId="2167" priority="2037">
      <formula>LEN(TRIM(F4))=0</formula>
    </cfRule>
    <cfRule type="containsText" dxfId="2166" priority="2036" operator="containsText" text="A">
      <formula>NOT(ISERROR(SEARCH("A",F4)))</formula>
    </cfRule>
    <cfRule type="containsText" dxfId="2165" priority="2035" operator="containsText" text="PH">
      <formula>NOT(ISERROR(SEARCH("PH",F4)))</formula>
    </cfRule>
    <cfRule type="containsBlanks" dxfId="2164" priority="2519">
      <formula>LEN(TRIM(F4))=0</formula>
    </cfRule>
    <cfRule type="containsText" dxfId="2163" priority="2518" operator="containsText" text="A">
      <formula>NOT(ISERROR(SEARCH("A",F4)))</formula>
    </cfRule>
    <cfRule type="containsBlanks" dxfId="2162" priority="2471">
      <formula>LEN(TRIM(F4))=0</formula>
    </cfRule>
    <cfRule type="containsText" dxfId="2161" priority="2470" operator="containsText" text="A">
      <formula>NOT(ISERROR(SEARCH("A",F4)))</formula>
    </cfRule>
    <cfRule type="containsText" dxfId="2160" priority="2469" operator="containsText" text="PH">
      <formula>NOT(ISERROR(SEARCH("PH",F4)))</formula>
    </cfRule>
    <cfRule type="containsText" dxfId="2159" priority="2468" operator="containsText" text="S">
      <formula>NOT(ISERROR(SEARCH("S",F4)))</formula>
    </cfRule>
    <cfRule type="containsText" dxfId="2158" priority="2467" operator="containsText" text="S">
      <formula>NOT(ISERROR(SEARCH("S",F4)))</formula>
    </cfRule>
    <cfRule type="containsText" dxfId="2157" priority="2466" operator="containsText" text="ID">
      <formula>NOT(ISERROR(SEARCH("ID",F4)))</formula>
    </cfRule>
    <cfRule type="containsText" dxfId="2156" priority="2465" operator="containsText" text="ID">
      <formula>NOT(ISERROR(SEARCH("ID",F4)))</formula>
    </cfRule>
    <cfRule type="containsText" dxfId="2155" priority="2411" operator="containsText" text="ID">
      <formula>NOT(ISERROR(SEARCH("ID",F4)))</formula>
    </cfRule>
    <cfRule type="containsBlanks" dxfId="2154" priority="2409">
      <formula>LEN(TRIM(F4))=0</formula>
    </cfRule>
    <cfRule type="containsText" dxfId="2153" priority="2408" operator="containsText" text="A">
      <formula>NOT(ISERROR(SEARCH("A",F4)))</formula>
    </cfRule>
    <cfRule type="containsText" dxfId="2152" priority="2407" operator="containsText" text="PH">
      <formula>NOT(ISERROR(SEARCH("PH",F4)))</formula>
    </cfRule>
    <cfRule type="containsText" dxfId="2151" priority="2406" operator="containsText" text="S">
      <formula>NOT(ISERROR(SEARCH("S",F4)))</formula>
    </cfRule>
    <cfRule type="containsText" dxfId="2150" priority="2405" operator="containsText" text="S">
      <formula>NOT(ISERROR(SEARCH("S",F4)))</formula>
    </cfRule>
    <cfRule type="containsText" dxfId="2149" priority="2404" operator="containsText" text="ID">
      <formula>NOT(ISERROR(SEARCH("ID",F4)))</formula>
    </cfRule>
    <cfRule type="containsText" dxfId="2148" priority="2403" operator="containsText" text="ID">
      <formula>NOT(ISERROR(SEARCH("ID",F4)))</formula>
    </cfRule>
    <cfRule type="containsText" dxfId="2147" priority="2402" operator="containsText" text="ID">
      <formula>NOT(ISERROR(SEARCH("ID",F4)))</formula>
    </cfRule>
    <cfRule type="containsText" dxfId="2146" priority="2401" operator="containsText" text="ML">
      <formula>NOT(ISERROR(SEARCH("ML",F4)))</formula>
    </cfRule>
    <cfRule type="containsText" dxfId="2145" priority="2051" operator="containsText" text="ML">
      <formula>NOT(ISERROR(SEARCH("ML",F4)))</formula>
    </cfRule>
    <cfRule type="containsBlanks" dxfId="2144" priority="2392">
      <formula>LEN(TRIM(F4))=0</formula>
    </cfRule>
    <cfRule type="containsText" dxfId="2143" priority="2391" operator="containsText" text="A">
      <formula>NOT(ISERROR(SEARCH("A",F4)))</formula>
    </cfRule>
    <cfRule type="containsText" dxfId="2142" priority="2390" operator="containsText" text="PH">
      <formula>NOT(ISERROR(SEARCH("PH",F4)))</formula>
    </cfRule>
    <cfRule type="containsText" dxfId="2141" priority="2389" operator="containsText" text="S">
      <formula>NOT(ISERROR(SEARCH("S",F4)))</formula>
    </cfRule>
    <cfRule type="containsBlanks" dxfId="2140" priority="2383">
      <formula>LEN(TRIM(F4))=0</formula>
    </cfRule>
  </conditionalFormatting>
  <conditionalFormatting sqref="F4:AI87 F90:AI129 F88:Q89 S88:X89 Z88:AI89">
    <cfRule type="containsText" dxfId="2139" priority="1853" operator="containsText" text="ID">
      <formula>NOT(ISERROR(SEARCH("ID",F4)))</formula>
    </cfRule>
  </conditionalFormatting>
  <conditionalFormatting sqref="F4:AI87 F90:AI129 AF89:AF91 H85:H91 K85:M91 T85:T91 Z85:Z91">
    <cfRule type="containsText" dxfId="2138" priority="1858" operator="containsText" text="S">
      <formula>NOT(ISERROR(SEARCH("S",F4)))</formula>
    </cfRule>
  </conditionalFormatting>
  <conditionalFormatting sqref="F4:AI87 F110:AI112 F119:AI122 F93:AI99">
    <cfRule type="containsText" dxfId="2137" priority="504" operator="containsText" text="S">
      <formula>NOT(ISERROR(SEARCH("S",F4)))</formula>
    </cfRule>
  </conditionalFormatting>
  <conditionalFormatting sqref="F4:AI87 F119:AI122 F93:AI99 F110:AI112">
    <cfRule type="containsText" dxfId="2136" priority="766" operator="containsText" text="ID">
      <formula>NOT(ISERROR(SEARCH("ID",F4)))</formula>
    </cfRule>
  </conditionalFormatting>
  <conditionalFormatting sqref="F4:AI87 H85:H91 M84:O91 K85:M91 T85:T91 AF89:AF91">
    <cfRule type="containsText" dxfId="2135" priority="2599" operator="containsText" text="S">
      <formula>NOT(ISERROR(SEARCH("S",F4)))</formula>
    </cfRule>
  </conditionalFormatting>
  <conditionalFormatting sqref="F4:AI87 M84:O91 T85:T91 Z88:AI89 AF89:AF91 K85:M91">
    <cfRule type="containsText" dxfId="2134" priority="2368" operator="containsText" text="PH">
      <formula>NOT(ISERROR(SEARCH("PH",F4)))</formula>
    </cfRule>
  </conditionalFormatting>
  <conditionalFormatting sqref="F4:AI129">
    <cfRule type="containsText" dxfId="2133" priority="80" operator="containsText" text="s">
      <formula>NOT(ISERROR(SEARCH("s",F4)))</formula>
    </cfRule>
  </conditionalFormatting>
  <conditionalFormatting sqref="F7:AI7 F9:AI12 F26:AI26 F64:AI64 M84:O91 H85:H91 K85:M91 AF89:AF91 L4:S5 F5:AI5 H6 J6:AI6 M8:O17 J9:AI13 L14:S23 F21:AI21 F24:AI24 L25:S66 Z38 K41:M41 F58:AI58 F67:AI87 Z88:AI89">
    <cfRule type="containsBlanks" dxfId="2132" priority="1861">
      <formula>LEN(TRIM(F4))=0</formula>
    </cfRule>
  </conditionalFormatting>
  <conditionalFormatting sqref="F24:AI24 F5:AI7 F9:AI12 F21:AI21 F26:AI26 F4:N5 M4:O6 Z88:AI89 U4:U5 AC4:AC5 J4:J6 B135 J13:AI13 AE54 U57:AI57">
    <cfRule type="containsText" dxfId="2131" priority="1974" operator="containsText" text="ID">
      <formula>NOT(ISERROR(SEARCH("ID",B4)))</formula>
    </cfRule>
  </conditionalFormatting>
  <conditionalFormatting sqref="F90:AI129 F88:Q89 S88:X89 J7:W7 L8:S12 H9:H12 H26 H64">
    <cfRule type="containsBlanks" dxfId="2130" priority="2560">
      <formula>LEN(TRIM(F7))=0</formula>
    </cfRule>
  </conditionalFormatting>
  <conditionalFormatting sqref="F90:AI129 F88:Q89 S88:X89 K41:M41 F56:T57">
    <cfRule type="containsText" dxfId="2129" priority="1203" operator="containsText" text="ID">
      <formula>NOT(ISERROR(SEARCH("ID",F41)))</formula>
    </cfRule>
  </conditionalFormatting>
  <conditionalFormatting sqref="F90:AI129 F88:Q89 S88:X89 AH4:AH5 F13:G13 I13">
    <cfRule type="containsText" dxfId="2128" priority="2416" operator="containsText" text="PH">
      <formula>NOT(ISERROR(SEARCH("PH",F4)))</formula>
    </cfRule>
  </conditionalFormatting>
  <conditionalFormatting sqref="F90:AI129 F4:AI87 F88:Q89 S88:X89 Z88:AI89">
    <cfRule type="containsText" dxfId="2127" priority="2388" operator="containsText" text="S">
      <formula>NOT(ISERROR(SEARCH("S",F4)))</formula>
    </cfRule>
    <cfRule type="containsText" dxfId="2126" priority="1227" operator="containsText" text="v">
      <formula>NOT(ISERROR(SEARCH("v",F4)))</formula>
    </cfRule>
  </conditionalFormatting>
  <conditionalFormatting sqref="F90:AI129 J7:W7 H9:H12 H26 H64 F88:Q89 S88:X89">
    <cfRule type="containsText" dxfId="2125" priority="1860" operator="containsText" text="A">
      <formula>NOT(ISERROR(SEARCH("A",F7)))</formula>
    </cfRule>
  </conditionalFormatting>
  <conditionalFormatting sqref="F104:AI112 F119:AI123">
    <cfRule type="containsText" dxfId="2124" priority="175" operator="containsText" text="ML">
      <formula>NOT(ISERROR(SEARCH("ML",F104)))</formula>
    </cfRule>
    <cfRule type="containsText" dxfId="2123" priority="174" operator="containsText" text="A">
      <formula>NOT(ISERROR(SEARCH("A",F104)))</formula>
    </cfRule>
    <cfRule type="containsText" dxfId="2122" priority="173" operator="containsText" text="S">
      <formula>NOT(ISERROR(SEARCH("S",F104)))</formula>
    </cfRule>
    <cfRule type="containsText" dxfId="2121" priority="172" operator="containsText" text="ML">
      <formula>NOT(ISERROR(SEARCH("ML",F104)))</formula>
    </cfRule>
    <cfRule type="containsText" dxfId="2120" priority="171" operator="containsText" text="v">
      <formula>NOT(ISERROR(SEARCH("v",F104)))</formula>
    </cfRule>
    <cfRule type="containsText" dxfId="2119" priority="169" operator="containsText" text="ID">
      <formula>NOT(ISERROR(SEARCH("ID",F104)))</formula>
    </cfRule>
    <cfRule type="containsBlanks" dxfId="2118" priority="168">
      <formula>LEN(TRIM(F104))=0</formula>
    </cfRule>
    <cfRule type="containsText" dxfId="2117" priority="167" operator="containsText" text="A">
      <formula>NOT(ISERROR(SEARCH("A",F104)))</formula>
    </cfRule>
    <cfRule type="containsText" dxfId="2116" priority="166" operator="containsText" text="PH">
      <formula>NOT(ISERROR(SEARCH("PH",F104)))</formula>
    </cfRule>
    <cfRule type="containsText" dxfId="2115" priority="164" operator="containsText" text="S">
      <formula>NOT(ISERROR(SEARCH("S",F104)))</formula>
    </cfRule>
    <cfRule type="containsBlanks" dxfId="2114" priority="163">
      <formula>LEN(TRIM(F104))=0</formula>
    </cfRule>
    <cfRule type="containsText" dxfId="2113" priority="162" operator="containsText" text="A">
      <formula>NOT(ISERROR(SEARCH("A",F104)))</formula>
    </cfRule>
    <cfRule type="containsText" dxfId="2112" priority="179" operator="containsText" text="S">
      <formula>NOT(ISERROR(SEARCH("S",F104)))</formula>
    </cfRule>
    <cfRule type="containsText" dxfId="2111" priority="178" operator="containsText" text="S">
      <formula>NOT(ISERROR(SEARCH("S",F104)))</formula>
    </cfRule>
    <cfRule type="containsText" dxfId="2110" priority="177" operator="containsText" text="ID">
      <formula>NOT(ISERROR(SEARCH("ID",F104)))</formula>
    </cfRule>
    <cfRule type="containsText" dxfId="2109" priority="2380" operator="containsText" text="S">
      <formula>NOT(ISERROR(SEARCH("S",F104)))</formula>
    </cfRule>
    <cfRule type="containsText" dxfId="2108" priority="176" operator="containsText" text="ID">
      <formula>NOT(ISERROR(SEARCH("ID",F104)))</formula>
    </cfRule>
    <cfRule type="containsBlanks" dxfId="2107" priority="188">
      <formula>LEN(TRIM(F104))=0</formula>
    </cfRule>
    <cfRule type="containsText" dxfId="2106" priority="187" operator="containsText" text="ID">
      <formula>NOT(ISERROR(SEARCH("ID",F104)))</formula>
    </cfRule>
    <cfRule type="containsText" dxfId="2105" priority="186" operator="containsText" text="S">
      <formula>NOT(ISERROR(SEARCH("S",F104)))</formula>
    </cfRule>
    <cfRule type="containsText" dxfId="2104" priority="185" operator="containsText" text="PH">
      <formula>NOT(ISERROR(SEARCH("PH",F104)))</formula>
    </cfRule>
    <cfRule type="containsText" dxfId="2103" priority="184" operator="containsText" text="ID">
      <formula>NOT(ISERROR(SEARCH("ID",F104)))</formula>
    </cfRule>
    <cfRule type="containsText" dxfId="2102" priority="183" operator="containsText" text="ML">
      <formula>NOT(ISERROR(SEARCH("ML",F104)))</formula>
    </cfRule>
    <cfRule type="containsBlanks" dxfId="2101" priority="182">
      <formula>LEN(TRIM(F104))=0</formula>
    </cfRule>
    <cfRule type="containsText" dxfId="2100" priority="181" operator="containsText" text="A">
      <formula>NOT(ISERROR(SEARCH("A",F104)))</formula>
    </cfRule>
    <cfRule type="containsText" dxfId="2099" priority="180" operator="containsText" text="PH">
      <formula>NOT(ISERROR(SEARCH("PH",F104)))</formula>
    </cfRule>
  </conditionalFormatting>
  <conditionalFormatting sqref="F129:AI129 G122:AI122">
    <cfRule type="containsText" dxfId="2098" priority="2445" operator="containsText" text="ID">
      <formula>NOT(ISERROR(SEARCH("ID",F122)))</formula>
    </cfRule>
  </conditionalFormatting>
  <conditionalFormatting sqref="G14">
    <cfRule type="containsText" dxfId="2097" priority="2354" operator="containsText" text="ML">
      <formula>NOT(ISERROR(SEARCH("ML",G14)))</formula>
    </cfRule>
  </conditionalFormatting>
  <conditionalFormatting sqref="G122:AI122 F129:AI129">
    <cfRule type="containsText" dxfId="2096" priority="2446" operator="containsText" text="ID">
      <formula>NOT(ISERROR(SEARCH("ID",F122)))</formula>
    </cfRule>
  </conditionalFormatting>
  <conditionalFormatting sqref="H6 H113:H114">
    <cfRule type="containsText" dxfId="2095" priority="1857" operator="containsText" text="ID">
      <formula>NOT(ISERROR(SEARCH("ID",H6)))</formula>
    </cfRule>
  </conditionalFormatting>
  <conditionalFormatting sqref="H17 H93:M96 F108:AI108 O129:AI129 H113:M128">
    <cfRule type="containsText" dxfId="2094" priority="2635" operator="containsText" text="ID">
      <formula>NOT(ISERROR(SEARCH("ID",F17)))</formula>
    </cfRule>
  </conditionalFormatting>
  <conditionalFormatting sqref="H17 H93:M96 K98:M129 F108:AI108 H113:M128 O129:AI129">
    <cfRule type="containsText" dxfId="2093" priority="2639" operator="containsText" text="A">
      <formula>NOT(ISERROR(SEARCH("A",F17)))</formula>
    </cfRule>
    <cfRule type="containsBlanks" dxfId="2092" priority="2640">
      <formula>LEN(TRIM(F17))=0</formula>
    </cfRule>
    <cfRule type="containsText" dxfId="2091" priority="2636" operator="containsText" text="S">
      <formula>NOT(ISERROR(SEARCH("S",F17)))</formula>
    </cfRule>
    <cfRule type="containsText" dxfId="2090" priority="2637" operator="containsText" text="S">
      <formula>NOT(ISERROR(SEARCH("S",F17)))</formula>
    </cfRule>
    <cfRule type="containsText" dxfId="2089" priority="2638" operator="containsText" text="PH">
      <formula>NOT(ISERROR(SEARCH("PH",F17)))</formula>
    </cfRule>
  </conditionalFormatting>
  <conditionalFormatting sqref="H79">
    <cfRule type="containsText" dxfId="2088" priority="787" operator="containsText" text="ID">
      <formula>NOT(ISERROR(SEARCH("ID",H79)))</formula>
    </cfRule>
    <cfRule type="containsText" dxfId="2087" priority="734" operator="containsText" text="PH">
      <formula>NOT(ISERROR(SEARCH("PH",H79)))</formula>
    </cfRule>
  </conditionalFormatting>
  <conditionalFormatting sqref="H110">
    <cfRule type="containsText" dxfId="2086" priority="1859" operator="containsText" text="PH">
      <formula>NOT(ISERROR(SEARCH("PH",H110)))</formula>
    </cfRule>
    <cfRule type="containsText" dxfId="2085" priority="2591" operator="containsText" text="ID">
      <formula>NOT(ISERROR(SEARCH("ID",H110)))</formula>
    </cfRule>
  </conditionalFormatting>
  <conditionalFormatting sqref="H113:H114 H6">
    <cfRule type="containsText" dxfId="2084" priority="1862" operator="containsText" text="ID">
      <formula>NOT(ISERROR(SEARCH("ID",H6)))</formula>
    </cfRule>
  </conditionalFormatting>
  <conditionalFormatting sqref="H76:I76 H93:I96 H98:I129">
    <cfRule type="containsText" dxfId="2083" priority="2618" operator="containsText" text="PH">
      <formula>NOT(ISERROR(SEARCH("PH",H76)))</formula>
    </cfRule>
    <cfRule type="containsBlanks" dxfId="2082" priority="2620">
      <formula>LEN(TRIM(H76))=0</formula>
    </cfRule>
    <cfRule type="containsText" dxfId="2081" priority="2616" operator="containsText" text="S">
      <formula>NOT(ISERROR(SEARCH("S",H76)))</formula>
    </cfRule>
    <cfRule type="containsText" dxfId="2080" priority="2619" operator="containsText" text="A">
      <formula>NOT(ISERROR(SEARCH("A",H76)))</formula>
    </cfRule>
    <cfRule type="containsText" dxfId="2079" priority="2617" operator="containsText" text="S">
      <formula>NOT(ISERROR(SEARCH("S",H76)))</formula>
    </cfRule>
  </conditionalFormatting>
  <conditionalFormatting sqref="H76:I76 H93:I96">
    <cfRule type="containsText" dxfId="2078" priority="2615" operator="containsText" text="ID">
      <formula>NOT(ISERROR(SEARCH("ID",H76)))</formula>
    </cfRule>
  </conditionalFormatting>
  <conditionalFormatting sqref="H76:I76 H98:I129 H93:I96">
    <cfRule type="containsText" dxfId="2077" priority="2613" operator="containsText" text="ID">
      <formula>NOT(ISERROR(SEARCH("ID",H76)))</formula>
    </cfRule>
  </conditionalFormatting>
  <conditionalFormatting sqref="H76:I76">
    <cfRule type="containsText" dxfId="2076" priority="2614" operator="containsText" text="ID">
      <formula>NOT(ISERROR(SEARCH("ID",H76)))</formula>
    </cfRule>
  </conditionalFormatting>
  <conditionalFormatting sqref="H89:I89 U119:U123 AA85:AI129 H98:M129 U104:U112">
    <cfRule type="containsText" dxfId="2075" priority="507" operator="containsText" text="ID">
      <formula>NOT(ISERROR(SEARCH("ID",H85)))</formula>
    </cfRule>
  </conditionalFormatting>
  <conditionalFormatting sqref="H82:J82">
    <cfRule type="containsText" dxfId="2074" priority="2396" operator="containsText" text="S">
      <formula>NOT(ISERROR(SEARCH("S",H82)))</formula>
    </cfRule>
    <cfRule type="containsText" dxfId="2073" priority="2395" operator="containsText" text="ID">
      <formula>NOT(ISERROR(SEARCH("ID",H82)))</formula>
    </cfRule>
    <cfRule type="containsText" dxfId="2072" priority="2394" operator="containsText" text="ID">
      <formula>NOT(ISERROR(SEARCH("ID",H82)))</formula>
    </cfRule>
    <cfRule type="containsText" dxfId="2071" priority="2397" operator="containsText" text="S">
      <formula>NOT(ISERROR(SEARCH("S",H82)))</formula>
    </cfRule>
    <cfRule type="containsBlanks" dxfId="2070" priority="2400">
      <formula>LEN(TRIM(H82))=0</formula>
    </cfRule>
    <cfRule type="containsText" dxfId="2069" priority="2398" operator="containsText" text="PH">
      <formula>NOT(ISERROR(SEARCH("PH",H82)))</formula>
    </cfRule>
    <cfRule type="containsText" dxfId="2068" priority="2399" operator="containsText" text="A">
      <formula>NOT(ISERROR(SEARCH("A",H82)))</formula>
    </cfRule>
  </conditionalFormatting>
  <conditionalFormatting sqref="H89:J89">
    <cfRule type="containsText" dxfId="2067" priority="568" operator="containsText" text="S">
      <formula>NOT(ISERROR(SEARCH("S",H89)))</formula>
    </cfRule>
    <cfRule type="containsText" dxfId="2066" priority="569" operator="containsText" text="S">
      <formula>NOT(ISERROR(SEARCH("S",H89)))</formula>
    </cfRule>
    <cfRule type="containsText" dxfId="2065" priority="567" operator="containsText" text="ID">
      <formula>NOT(ISERROR(SEARCH("ID",H89)))</formula>
    </cfRule>
    <cfRule type="containsText" dxfId="2064" priority="570" operator="containsText" text="PH">
      <formula>NOT(ISERROR(SEARCH("PH",H89)))</formula>
    </cfRule>
    <cfRule type="containsText" dxfId="2063" priority="571" operator="containsText" text="A">
      <formula>NOT(ISERROR(SEARCH("A",H89)))</formula>
    </cfRule>
    <cfRule type="containsBlanks" dxfId="2062" priority="572">
      <formula>LEN(TRIM(H89))=0</formula>
    </cfRule>
    <cfRule type="containsText" dxfId="2061" priority="566" operator="containsText" text="ID">
      <formula>NOT(ISERROR(SEARCH("ID",H89)))</formula>
    </cfRule>
  </conditionalFormatting>
  <conditionalFormatting sqref="H93:M96 F108:AI108 H17">
    <cfRule type="containsText" dxfId="2060" priority="2634" operator="containsText" text="ID">
      <formula>NOT(ISERROR(SEARCH("ID",F17)))</formula>
    </cfRule>
  </conditionalFormatting>
  <conditionalFormatting sqref="I7:I13 I93:I96 I98:I129 AH104:AH114 N118:N123 AH119:AH123">
    <cfRule type="containsText" dxfId="2059" priority="2119" operator="containsText" text="ID">
      <formula>NOT(ISERROR(SEARCH("ID",I7)))</formula>
    </cfRule>
    <cfRule type="containsText" dxfId="2058" priority="2122" operator="containsText" text="S">
      <formula>NOT(ISERROR(SEARCH("S",I7)))</formula>
    </cfRule>
    <cfRule type="containsText" dxfId="2057" priority="2121" operator="containsText" text="ID">
      <formula>NOT(ISERROR(SEARCH("ID",I7)))</formula>
    </cfRule>
    <cfRule type="containsText" dxfId="2056" priority="2120" operator="containsText" text="ID">
      <formula>NOT(ISERROR(SEARCH("ID",I7)))</formula>
    </cfRule>
  </conditionalFormatting>
  <conditionalFormatting sqref="J8:J54 F13:H13 M13:O57 F14:I14 K14:L14 P14:AI53 L30:M30 P54:AD55 AF54:AI55 F55:S55 Y55:AI55 J56 U56:AI56 F58:AI87 T85:T91">
    <cfRule type="containsText" dxfId="2055" priority="2520" operator="containsText" text="ID">
      <formula>NOT(ISERROR(SEARCH("ID",F8)))</formula>
    </cfRule>
  </conditionalFormatting>
  <conditionalFormatting sqref="J70">
    <cfRule type="containsText" dxfId="2054" priority="1302" operator="containsText" text="S">
      <formula>NOT(ISERROR(SEARCH("S",J70)))</formula>
    </cfRule>
  </conditionalFormatting>
  <conditionalFormatting sqref="J75">
    <cfRule type="containsText" dxfId="2053" priority="2538" operator="containsText" text="ID">
      <formula>NOT(ISERROR(SEARCH("ID",J75)))</formula>
    </cfRule>
    <cfRule type="containsText" dxfId="2052" priority="2540" operator="containsText" text="S">
      <formula>NOT(ISERROR(SEARCH("S",J75)))</formula>
    </cfRule>
    <cfRule type="containsText" dxfId="2051" priority="2541" operator="containsText" text="PH">
      <formula>NOT(ISERROR(SEARCH("PH",J75)))</formula>
    </cfRule>
    <cfRule type="containsBlanks" dxfId="2050" priority="2543">
      <formula>LEN(TRIM(J75))=0</formula>
    </cfRule>
    <cfRule type="containsText" dxfId="2049" priority="2537" operator="containsText" text="ID">
      <formula>NOT(ISERROR(SEARCH("ID",J75)))</formula>
    </cfRule>
    <cfRule type="containsText" dxfId="2048" priority="2542" operator="containsText" text="A">
      <formula>NOT(ISERROR(SEARCH("A",J75)))</formula>
    </cfRule>
    <cfRule type="containsText" dxfId="2047" priority="2539" operator="containsText" text="S">
      <formula>NOT(ISERROR(SEARCH("S",J75)))</formula>
    </cfRule>
  </conditionalFormatting>
  <conditionalFormatting sqref="J81 J88 O88:Q89 S88:X89">
    <cfRule type="containsText" dxfId="2046" priority="782" operator="containsText" text="PH">
      <formula>NOT(ISERROR(SEARCH("PH",J81)))</formula>
    </cfRule>
  </conditionalFormatting>
  <conditionalFormatting sqref="J81 J88 O88:Q89">
    <cfRule type="containsText" dxfId="2045" priority="781" operator="containsText" text="S">
      <formula>NOT(ISERROR(SEARCH("S",J81)))</formula>
    </cfRule>
  </conditionalFormatting>
  <conditionalFormatting sqref="J81 T106:AI106 AG118:AG123">
    <cfRule type="containsText" dxfId="2044" priority="780" operator="containsText" text="S">
      <formula>NOT(ISERROR(SEARCH("S",J81)))</formula>
    </cfRule>
    <cfRule type="containsText" dxfId="2043" priority="779" operator="containsText" text="ID">
      <formula>NOT(ISERROR(SEARCH("ID",J81)))</formula>
    </cfRule>
  </conditionalFormatting>
  <conditionalFormatting sqref="J81 AG118:AG123 T106:AI106">
    <cfRule type="containsText" dxfId="2042" priority="778" operator="containsText" text="ID">
      <formula>NOT(ISERROR(SEARCH("ID",J81)))</formula>
    </cfRule>
  </conditionalFormatting>
  <conditionalFormatting sqref="J81:J82">
    <cfRule type="containsText" dxfId="2041" priority="765" operator="containsText" text="ML">
      <formula>NOT(ISERROR(SEARCH("ML",J81)))</formula>
    </cfRule>
  </conditionalFormatting>
  <conditionalFormatting sqref="J88 O88:Q89 S88:X89">
    <cfRule type="containsBlanks" dxfId="2040" priority="784">
      <formula>LEN(TRIM(J88))=0</formula>
    </cfRule>
    <cfRule type="containsText" dxfId="2039" priority="783" operator="containsText" text="A">
      <formula>NOT(ISERROR(SEARCH("A",J88)))</formula>
    </cfRule>
  </conditionalFormatting>
  <conditionalFormatting sqref="J88 AG106 AG108">
    <cfRule type="containsText" dxfId="2038" priority="494" operator="containsText" text="ID">
      <formula>NOT(ISERROR(SEARCH("ID",J88)))</formula>
    </cfRule>
    <cfRule type="containsText" dxfId="2037" priority="495" operator="containsText" text="ID">
      <formula>NOT(ISERROR(SEARCH("ID",J88)))</formula>
    </cfRule>
    <cfRule type="containsText" dxfId="2036" priority="496" operator="containsText" text="S">
      <formula>NOT(ISERROR(SEARCH("S",J88)))</formula>
    </cfRule>
  </conditionalFormatting>
  <conditionalFormatting sqref="J88:J89">
    <cfRule type="containsText" dxfId="2035" priority="483" operator="containsText" text="ML">
      <formula>NOT(ISERROR(SEARCH("ML",J88)))</formula>
    </cfRule>
  </conditionalFormatting>
  <conditionalFormatting sqref="J105:J108">
    <cfRule type="containsText" dxfId="2034" priority="1668" operator="containsText" text="ML">
      <formula>NOT(ISERROR(SEARCH("ML",J105)))</formula>
    </cfRule>
    <cfRule type="containsText" dxfId="2033" priority="1670" operator="containsText" text="S">
      <formula>NOT(ISERROR(SEARCH("S",J105)))</formula>
    </cfRule>
  </conditionalFormatting>
  <conditionalFormatting sqref="K95:K96">
    <cfRule type="containsText" dxfId="2032" priority="147" operator="containsText" text="S">
      <formula>NOT(ISERROR(SEARCH("S",K95)))</formula>
    </cfRule>
  </conditionalFormatting>
  <conditionalFormatting sqref="K96">
    <cfRule type="containsText" dxfId="2031" priority="145" operator="containsText" text="ID">
      <formula>NOT(ISERROR(SEARCH("ID",K96)))</formula>
    </cfRule>
  </conditionalFormatting>
  <conditionalFormatting sqref="K100">
    <cfRule type="containsText" dxfId="2030" priority="133" operator="containsText" text="S">
      <formula>NOT(ISERROR(SEARCH("S",K100)))</formula>
    </cfRule>
    <cfRule type="containsText" dxfId="2029" priority="134" operator="containsText" text="ID">
      <formula>NOT(ISERROR(SEARCH("ID",K100)))</formula>
    </cfRule>
    <cfRule type="containsText" dxfId="2028" priority="136" operator="containsText" text="S">
      <formula>NOT(ISERROR(SEARCH("S",K100)))</formula>
    </cfRule>
    <cfRule type="containsText" dxfId="2027" priority="137" operator="containsText" text="S">
      <formula>NOT(ISERROR(SEARCH("S",K100)))</formula>
    </cfRule>
    <cfRule type="containsText" dxfId="2026" priority="138" operator="containsText" text="PH">
      <formula>NOT(ISERROR(SEARCH("PH",K100)))</formula>
    </cfRule>
    <cfRule type="containsText" dxfId="2025" priority="139" operator="containsText" text="A">
      <formula>NOT(ISERROR(SEARCH("A",K100)))</formula>
    </cfRule>
    <cfRule type="containsBlanks" dxfId="2024" priority="140">
      <formula>LEN(TRIM(K100))=0</formula>
    </cfRule>
    <cfRule type="containsText" dxfId="2023" priority="141" operator="containsText" text="S">
      <formula>NOT(ISERROR(SEARCH("S",K100)))</formula>
    </cfRule>
    <cfRule type="containsText" dxfId="2022" priority="142" operator="containsText" text="PH">
      <formula>NOT(ISERROR(SEARCH("PH",K100)))</formula>
    </cfRule>
    <cfRule type="containsText" dxfId="2021" priority="143" operator="containsText" text="A">
      <formula>NOT(ISERROR(SEARCH("A",K100)))</formula>
    </cfRule>
    <cfRule type="containsBlanks" dxfId="2020" priority="144">
      <formula>LEN(TRIM(K100))=0</formula>
    </cfRule>
    <cfRule type="containsText" dxfId="2019" priority="135" operator="containsText" text="ID">
      <formula>NOT(ISERROR(SEARCH("ID",K100)))</formula>
    </cfRule>
    <cfRule type="containsText" dxfId="2018" priority="131" operator="containsText" text="ID">
      <formula>NOT(ISERROR(SEARCH("ID",K100)))</formula>
    </cfRule>
    <cfRule type="containsText" dxfId="2017" priority="132" operator="containsText" text="ID">
      <formula>NOT(ISERROR(SEARCH("ID",K100)))</formula>
    </cfRule>
  </conditionalFormatting>
  <conditionalFormatting sqref="K108">
    <cfRule type="containsText" dxfId="2016" priority="2384" operator="containsText" text="ML">
      <formula>NOT(ISERROR(SEARCH("ML",K108)))</formula>
    </cfRule>
    <cfRule type="containsText" dxfId="2015" priority="2387" operator="containsText" text="ID">
      <formula>NOT(ISERROR(SEARCH("ID",K108)))</formula>
    </cfRule>
  </conditionalFormatting>
  <conditionalFormatting sqref="K5:M5 K7:M7 K9:M12 H14:I14 K26:M26 K64:M64 K73:M77 H85:H106 K93:M96 F98:AI129">
    <cfRule type="containsBlanks" dxfId="2014" priority="2574">
      <formula>LEN(TRIM(F5))=0</formula>
    </cfRule>
    <cfRule type="containsText" dxfId="2013" priority="2573" operator="containsText" text="A">
      <formula>NOT(ISERROR(SEARCH("A",F5)))</formula>
    </cfRule>
  </conditionalFormatting>
  <conditionalFormatting sqref="K5:M5 K7:M7 K9:M12 H14:I14 K26:M26 K64:M64 K73:M77 K93:M96 F98:AI129 H85:H106">
    <cfRule type="containsText" dxfId="2012" priority="2572" operator="containsText" text="PH">
      <formula>NOT(ISERROR(SEARCH("PH",F5)))</formula>
    </cfRule>
  </conditionalFormatting>
  <conditionalFormatting sqref="K5:M5 K7:M7 K9:M12 H14:I14 K26:M26 K64:M64 K93:M96 L99:AI99 K113:M128 K110:M110 O118:W123 M119:O123 K73:M77">
    <cfRule type="containsText" dxfId="2011" priority="2571" operator="containsText" text="S">
      <formula>NOT(ISERROR(SEARCH("S",H5)))</formula>
    </cfRule>
  </conditionalFormatting>
  <conditionalFormatting sqref="K5:M5 K7:M7 K9:M12 H14:I14 K26:M26 K64:M64 K93:M96 L99:AI99">
    <cfRule type="containsText" dxfId="2010" priority="2570" operator="containsText" text="S">
      <formula>NOT(ISERROR(SEARCH("S",H5)))</formula>
    </cfRule>
  </conditionalFormatting>
  <conditionalFormatting sqref="K5:M5 K12:M12 K64:M64 W88:X89 K124:M124">
    <cfRule type="containsBlanks" dxfId="2009" priority="742">
      <formula>LEN(TRIM(K5))=0</formula>
    </cfRule>
  </conditionalFormatting>
  <conditionalFormatting sqref="K7:M7 K9:M12 H14:I14 K26:M26 K114:M114 K124:M124 K64:M64 K5:M5">
    <cfRule type="containsText" dxfId="2008" priority="2569" operator="containsText" text="ID">
      <formula>NOT(ISERROR(SEARCH("ID",H5)))</formula>
    </cfRule>
  </conditionalFormatting>
  <conditionalFormatting sqref="K7:M7 K9:M12 K114:M114 H14:I14 K26:M26">
    <cfRule type="containsText" dxfId="2007" priority="2568" operator="containsText" text="ID">
      <formula>NOT(ISERROR(SEARCH("ID",H7)))</formula>
    </cfRule>
  </conditionalFormatting>
  <conditionalFormatting sqref="K7:M7 U7 U9 K9:M12 F16 K26:M26 K114:M114 U114 G129 U129 B135">
    <cfRule type="containsText" dxfId="2006" priority="1977" operator="containsText" text="S">
      <formula>NOT(ISERROR(SEARCH("S",B7)))</formula>
    </cfRule>
    <cfRule type="containsText" dxfId="2005" priority="1979" operator="containsText" text="A">
      <formula>NOT(ISERROR(SEARCH("A",B7)))</formula>
    </cfRule>
    <cfRule type="containsBlanks" dxfId="2004" priority="1980">
      <formula>LEN(TRIM(B7))=0</formula>
    </cfRule>
    <cfRule type="containsText" dxfId="2003" priority="1978" operator="containsText" text="PH">
      <formula>NOT(ISERROR(SEARCH("PH",B7)))</formula>
    </cfRule>
  </conditionalFormatting>
  <conditionalFormatting sqref="K7:M7 U7 U9 K9:M12 K26:M26 B135 F16 K114:M114 U114 G129 U129">
    <cfRule type="containsText" dxfId="2002" priority="1976" operator="containsText" text="S">
      <formula>NOT(ISERROR(SEARCH("S",B7)))</formula>
    </cfRule>
  </conditionalFormatting>
  <conditionalFormatting sqref="K14:M14">
    <cfRule type="containsText" dxfId="2001" priority="2327" operator="containsText" text="ML">
      <formula>NOT(ISERROR(SEARCH("ML",K14)))</formula>
    </cfRule>
  </conditionalFormatting>
  <conditionalFormatting sqref="K21:M21 K24:M24 U35 AC35 K41:M41 K58:M58">
    <cfRule type="containsText" dxfId="2000" priority="2369" operator="containsText" text="A">
      <formula>NOT(ISERROR(SEARCH("A",K21)))</formula>
    </cfRule>
  </conditionalFormatting>
  <conditionalFormatting sqref="K21:M21 K24:M24 U35 AC35 K58:M58 J70 K72:M72 AE72 U74 AC74 J129:M129">
    <cfRule type="containsBlanks" dxfId="1999" priority="2370">
      <formula>LEN(TRIM(J21))=0</formula>
    </cfRule>
  </conditionalFormatting>
  <conditionalFormatting sqref="K41:M41">
    <cfRule type="containsText" dxfId="1998" priority="64" operator="containsText" text="S">
      <formula>NOT(ISERROR(SEARCH("S",K41)))</formula>
    </cfRule>
    <cfRule type="containsText" dxfId="1997" priority="68" operator="containsText" text="PH">
      <formula>NOT(ISERROR(SEARCH("PH",K41)))</formula>
    </cfRule>
    <cfRule type="containsBlanks" dxfId="1996" priority="67">
      <formula>LEN(TRIM(K41))=0</formula>
    </cfRule>
    <cfRule type="containsText" dxfId="1995" priority="66" operator="containsText" text="ID">
      <formula>NOT(ISERROR(SEARCH("ID",K41)))</formula>
    </cfRule>
    <cfRule type="containsText" dxfId="1994" priority="65" operator="containsText" text="S">
      <formula>NOT(ISERROR(SEARCH("S",K41)))</formula>
    </cfRule>
    <cfRule type="containsText" dxfId="1993" priority="63" operator="containsText" text="A">
      <formula>NOT(ISERROR(SEARCH("A",K41)))</formula>
    </cfRule>
  </conditionalFormatting>
  <conditionalFormatting sqref="K64:M64 W88:X89 K124:M124 K5:M5 K12:M12">
    <cfRule type="containsText" dxfId="1992" priority="741" operator="containsText" text="A">
      <formula>NOT(ISERROR(SEARCH("A",K5)))</formula>
    </cfRule>
  </conditionalFormatting>
  <conditionalFormatting sqref="K108:M108">
    <cfRule type="containsText" dxfId="1991" priority="2386" operator="containsText" text="ID">
      <formula>NOT(ISERROR(SEARCH("ID",K108)))</formula>
    </cfRule>
  </conditionalFormatting>
  <conditionalFormatting sqref="K121:M122">
    <cfRule type="containsBlanks" dxfId="1990" priority="73">
      <formula>LEN(TRIM(K121))=0</formula>
    </cfRule>
    <cfRule type="containsText" dxfId="1989" priority="72" operator="containsText" text="ID">
      <formula>NOT(ISERROR(SEARCH("ID",K121)))</formula>
    </cfRule>
    <cfRule type="containsText" dxfId="1988" priority="71" operator="containsText" text="S">
      <formula>NOT(ISERROR(SEARCH("S",K121)))</formula>
    </cfRule>
    <cfRule type="containsText" dxfId="1987" priority="69" operator="containsText" text="A">
      <formula>NOT(ISERROR(SEARCH("A",K121)))</formula>
    </cfRule>
    <cfRule type="containsText" dxfId="1986" priority="74" operator="containsText" text="PH">
      <formula>NOT(ISERROR(SEARCH("PH",K121)))</formula>
    </cfRule>
    <cfRule type="containsText" dxfId="1985" priority="70" operator="containsText" text="S">
      <formula>NOT(ISERROR(SEARCH("S",K121)))</formula>
    </cfRule>
  </conditionalFormatting>
  <conditionalFormatting sqref="K14:Q14">
    <cfRule type="containsText" dxfId="1984" priority="2329" operator="containsText" text="ID">
      <formula>NOT(ISERROR(SEARCH("ID",K14)))</formula>
    </cfRule>
    <cfRule type="containsText" dxfId="1983" priority="2330" operator="containsText" text="ID">
      <formula>NOT(ISERROR(SEARCH("ID",K14)))</formula>
    </cfRule>
    <cfRule type="containsBlanks" dxfId="1982" priority="2335">
      <formula>LEN(TRIM(K14))=0</formula>
    </cfRule>
    <cfRule type="containsText" dxfId="1981" priority="2331" operator="containsText" text="S">
      <formula>NOT(ISERROR(SEARCH("S",K14)))</formula>
    </cfRule>
    <cfRule type="containsText" dxfId="1980" priority="2332" operator="containsText" text="S">
      <formula>NOT(ISERROR(SEARCH("S",K14)))</formula>
    </cfRule>
    <cfRule type="containsText" dxfId="1979" priority="2333" operator="containsText" text="PH">
      <formula>NOT(ISERROR(SEARCH("PH",K14)))</formula>
    </cfRule>
    <cfRule type="containsText" dxfId="1978" priority="2334" operator="containsText" text="A">
      <formula>NOT(ISERROR(SEARCH("A",K14)))</formula>
    </cfRule>
  </conditionalFormatting>
  <conditionalFormatting sqref="L108:N108">
    <cfRule type="containsBlanks" dxfId="1977" priority="2505">
      <formula>LEN(TRIM(L108))=0</formula>
    </cfRule>
    <cfRule type="containsText" dxfId="1976" priority="2504" operator="containsText" text="A">
      <formula>NOT(ISERROR(SEARCH("A",L108)))</formula>
    </cfRule>
    <cfRule type="containsText" dxfId="1975" priority="2503" operator="containsText" text="PH">
      <formula>NOT(ISERROR(SEARCH("PH",L108)))</formula>
    </cfRule>
    <cfRule type="containsText" dxfId="1974" priority="2502" operator="containsText" text="S">
      <formula>NOT(ISERROR(SEARCH("S",L108)))</formula>
    </cfRule>
  </conditionalFormatting>
  <conditionalFormatting sqref="L88:Q89 S88:S89 L116:AI116">
    <cfRule type="containsText" dxfId="1973" priority="2423" operator="containsText" text="PH">
      <formula>NOT(ISERROR(SEARCH("PH",L88)))</formula>
    </cfRule>
  </conditionalFormatting>
  <conditionalFormatting sqref="L4:S6 F5:AI5 H5:H6 F7:AI7 L8:S25 F9:AI12 M25:O33 F26:AI26 Z88:AI89 B135 F64:AI64 F58:AI58 T56:T66 F84:AI87">
    <cfRule type="containsText" dxfId="1972" priority="1975" operator="containsText" text="ID">
      <formula>NOT(ISERROR(SEARCH("ID",B4)))</formula>
    </cfRule>
  </conditionalFormatting>
  <conditionalFormatting sqref="L4:S6 F5:AI5 H6 J6:AI6 F7:AI7 L8:S25 F9:AI12 J13:AI13 F21:AI21 F24:AI24 M25:O33 F26:AI26 F58:AI58 F64:AI64 Z88:AI89">
    <cfRule type="containsText" dxfId="1971" priority="2601" operator="containsText" text="A">
      <formula>NOT(ISERROR(SEARCH("A",F4)))</formula>
    </cfRule>
  </conditionalFormatting>
  <conditionalFormatting sqref="L8:AI12 L124:AI124">
    <cfRule type="containsText" dxfId="1970" priority="2440" operator="containsText" text="PH">
      <formula>NOT(ISERROR(SEARCH("PH",L8)))</formula>
    </cfRule>
    <cfRule type="containsBlanks" dxfId="1969" priority="2442">
      <formula>LEN(TRIM(L8))=0</formula>
    </cfRule>
    <cfRule type="containsText" dxfId="1968" priority="2441" operator="containsText" text="A">
      <formula>NOT(ISERROR(SEARCH("A",L8)))</formula>
    </cfRule>
    <cfRule type="containsText" dxfId="1967" priority="2439" operator="containsText" text="S">
      <formula>NOT(ISERROR(SEARCH("S",L8)))</formula>
    </cfRule>
    <cfRule type="containsText" dxfId="1966" priority="2436" operator="containsText" text="ID">
      <formula>NOT(ISERROR(SEARCH("ID",L8)))</formula>
    </cfRule>
  </conditionalFormatting>
  <conditionalFormatting sqref="L8:AI12">
    <cfRule type="containsText" dxfId="1965" priority="2434" operator="containsText" text="ML">
      <formula>NOT(ISERROR(SEARCH("ML",L8)))</formula>
    </cfRule>
    <cfRule type="containsText" dxfId="1964" priority="2438" operator="containsText" text="S">
      <formula>NOT(ISERROR(SEARCH("S",L8)))</formula>
    </cfRule>
    <cfRule type="containsText" dxfId="1963" priority="2435" operator="containsText" text="ID">
      <formula>NOT(ISERROR(SEARCH("ID",L8)))</formula>
    </cfRule>
  </conditionalFormatting>
  <conditionalFormatting sqref="L116:AI116 L88:Q89 S88:S89">
    <cfRule type="containsText" dxfId="1962" priority="2421" operator="containsText" text="S">
      <formula>NOT(ISERROR(SEARCH("S",L88)))</formula>
    </cfRule>
  </conditionalFormatting>
  <conditionalFormatting sqref="L116:AI116">
    <cfRule type="containsText" dxfId="1961" priority="2420" operator="containsText" text="ID">
      <formula>NOT(ISERROR(SEARCH("ID",L116)))</formula>
    </cfRule>
    <cfRule type="containsText" dxfId="1960" priority="2424" operator="containsText" text="A">
      <formula>NOT(ISERROR(SEARCH("A",L116)))</formula>
    </cfRule>
  </conditionalFormatting>
  <conditionalFormatting sqref="M4:O6 M7:AI7 M9:AI12 F15:AI15 O26:AI26 M64:AI64 J67 O72:AI77 H72:H83 K73:M83 AF82:AF83 AF89:AF100 K93:AI96 J94:J95">
    <cfRule type="containsText" dxfId="1959" priority="1855" operator="containsText" text="A">
      <formula>NOT(ISERROR(SEARCH("A",F4)))</formula>
    </cfRule>
    <cfRule type="containsText" dxfId="1958" priority="1854" operator="containsText" text="PH">
      <formula>NOT(ISERROR(SEARCH("PH",F4)))</formula>
    </cfRule>
    <cfRule type="containsBlanks" dxfId="1957" priority="1856">
      <formula>LEN(TRIM(F4))=0</formula>
    </cfRule>
  </conditionalFormatting>
  <conditionalFormatting sqref="M84:O91 K85:M91 F88:Q89 S88:X89 F4:AI87 Z88:AI89 AF89:AF91">
    <cfRule type="containsText" dxfId="1956" priority="2382" operator="containsText" text="A">
      <formula>NOT(ISERROR(SEARCH("A",F4)))</formula>
    </cfRule>
  </conditionalFormatting>
  <conditionalFormatting sqref="M14:Q14">
    <cfRule type="containsText" dxfId="1955" priority="2328" operator="containsText" text="ID">
      <formula>NOT(ISERROR(SEARCH("ID",M14)))</formula>
    </cfRule>
  </conditionalFormatting>
  <conditionalFormatting sqref="M7:AI7 M9:AI12 J4:J5 M4:O6 J6:AI6 J7:J8 F15:AI15 O26:AI26 F58:AI58 M64:AI64 Z88:AI89 J13:J23 N67:AI67 Y69:AI69 AB70:AI70 F88:Q89 S88:X89">
    <cfRule type="containsText" dxfId="1954" priority="2034" operator="containsText" text="S">
      <formula>NOT(ISERROR(SEARCH("S",F4)))</formula>
    </cfRule>
  </conditionalFormatting>
  <conditionalFormatting sqref="N14 F74:N74 U74 AC74 F108:AD108">
    <cfRule type="containsText" dxfId="1953" priority="2385" operator="containsText" text="ID">
      <formula>NOT(ISERROR(SEARCH("ID",F14)))</formula>
    </cfRule>
  </conditionalFormatting>
  <conditionalFormatting sqref="N14">
    <cfRule type="containsText" dxfId="1952" priority="2511" operator="containsText" text="A">
      <formula>NOT(ISERROR(SEARCH("A",N14)))</formula>
    </cfRule>
    <cfRule type="containsText" dxfId="1951" priority="2510" operator="containsText" text="PH">
      <formula>NOT(ISERROR(SEARCH("PH",N14)))</formula>
    </cfRule>
    <cfRule type="containsText" dxfId="1950" priority="1554" operator="containsText" text="ML">
      <formula>NOT(ISERROR(SEARCH("ML",N14)))</formula>
    </cfRule>
    <cfRule type="containsText" dxfId="1949" priority="2507" operator="containsText" text="ID">
      <formula>NOT(ISERROR(SEARCH("ID",N14)))</formula>
    </cfRule>
    <cfRule type="containsText" dxfId="1948" priority="2508" operator="containsText" text="S">
      <formula>NOT(ISERROR(SEARCH("S",N14)))</formula>
    </cfRule>
    <cfRule type="containsBlanks" dxfId="1947" priority="2512">
      <formula>LEN(TRIM(N14))=0</formula>
    </cfRule>
    <cfRule type="containsText" dxfId="1946" priority="2509" operator="containsText" text="S">
      <formula>NOT(ISERROR(SEARCH("S",N14)))</formula>
    </cfRule>
  </conditionalFormatting>
  <conditionalFormatting sqref="N108">
    <cfRule type="containsText" dxfId="1945" priority="1568" operator="containsText" text="ID">
      <formula>NOT(ISERROR(SEARCH("ID",N108)))</formula>
    </cfRule>
    <cfRule type="containsText" dxfId="1944" priority="1566" operator="containsText" text="ID">
      <formula>NOT(ISERROR(SEARCH("ID",N108)))</formula>
    </cfRule>
    <cfRule type="containsText" dxfId="1943" priority="1567" operator="containsText" text="ID">
      <formula>NOT(ISERROR(SEARCH("ID",N108)))</formula>
    </cfRule>
    <cfRule type="containsText" dxfId="1942" priority="1569" operator="containsText" text="S">
      <formula>NOT(ISERROR(SEARCH("S",N108)))</formula>
    </cfRule>
    <cfRule type="containsText" dxfId="1941" priority="1570" operator="containsText" text="S">
      <formula>NOT(ISERROR(SEARCH("S",N108)))</formula>
    </cfRule>
    <cfRule type="containsText" dxfId="1940" priority="1571" operator="containsText" text="PH">
      <formula>NOT(ISERROR(SEARCH("PH",N108)))</formula>
    </cfRule>
    <cfRule type="containsText" dxfId="1939" priority="1572" operator="containsText" text="A">
      <formula>NOT(ISERROR(SEARCH("A",N108)))</formula>
    </cfRule>
  </conditionalFormatting>
  <conditionalFormatting sqref="N14:Q14 F14 H14:I14 F108:G108 L108:Q108 G122:AI122">
    <cfRule type="containsText" dxfId="1938" priority="2612" operator="containsText" text="ML">
      <formula>NOT(ISERROR(SEARCH("ML",F14)))</formula>
    </cfRule>
  </conditionalFormatting>
  <conditionalFormatting sqref="N88:Q89 S88:X89 N75:Z76">
    <cfRule type="containsText" dxfId="1937" priority="486" operator="containsText" text="S">
      <formula>NOT(ISERROR(SEARCH("S",N75)))</formula>
    </cfRule>
  </conditionalFormatting>
  <conditionalFormatting sqref="N89:Q89 S89:W89 AE58 AE71:AE72">
    <cfRule type="containsText" dxfId="1936" priority="574" operator="containsText" text="ID">
      <formula>NOT(ISERROR(SEARCH("ID",N58)))</formula>
    </cfRule>
  </conditionalFormatting>
  <conditionalFormatting sqref="N89:Q89 S89:W89">
    <cfRule type="containsText" dxfId="1935" priority="485" operator="containsText" text="ML">
      <formula>NOT(ISERROR(SEARCH("ML",N89)))</formula>
    </cfRule>
    <cfRule type="containsText" dxfId="1934" priority="573" operator="containsText" text="ID">
      <formula>NOT(ISERROR(SEARCH("ID",N89)))</formula>
    </cfRule>
  </conditionalFormatting>
  <conditionalFormatting sqref="N6:S6 N113:S114 O129:Z129">
    <cfRule type="containsText" dxfId="1933" priority="2513" operator="containsText" text="ID">
      <formula>NOT(ISERROR(SEARCH("ID",N6)))</formula>
    </cfRule>
    <cfRule type="containsText" dxfId="1932" priority="2514" operator="containsText" text="ID">
      <formula>NOT(ISERROR(SEARCH("ID",N6)))</formula>
    </cfRule>
  </conditionalFormatting>
  <conditionalFormatting sqref="N14:Z14">
    <cfRule type="containsText" dxfId="1931" priority="2506" operator="containsText" text="ID">
      <formula>NOT(ISERROR(SEARCH("ID",N14)))</formula>
    </cfRule>
  </conditionalFormatting>
  <conditionalFormatting sqref="N75:Z76 N88:Q89 S88:X89">
    <cfRule type="containsBlanks" dxfId="1930" priority="489">
      <formula>LEN(TRIM(N75))=0</formula>
    </cfRule>
    <cfRule type="containsText" dxfId="1929" priority="487" operator="containsText" text="PH">
      <formula>NOT(ISERROR(SEARCH("PH",N75)))</formula>
    </cfRule>
    <cfRule type="containsText" dxfId="1928" priority="488" operator="containsText" text="A">
      <formula>NOT(ISERROR(SEARCH("A",N75)))</formula>
    </cfRule>
  </conditionalFormatting>
  <conditionalFormatting sqref="N81:Z82">
    <cfRule type="containsText" dxfId="1927" priority="771" operator="containsText" text="A">
      <formula>NOT(ISERROR(SEARCH("A",N81)))</formula>
    </cfRule>
    <cfRule type="containsBlanks" dxfId="1926" priority="772">
      <formula>LEN(TRIM(N81))=0</formula>
    </cfRule>
    <cfRule type="containsText" dxfId="1925" priority="770" operator="containsText" text="PH">
      <formula>NOT(ISERROR(SEARCH("PH",N81)))</formula>
    </cfRule>
    <cfRule type="containsText" dxfId="1924" priority="769" operator="containsText" text="S">
      <formula>NOT(ISERROR(SEARCH("S",N81)))</formula>
    </cfRule>
  </conditionalFormatting>
  <conditionalFormatting sqref="N82:Z82">
    <cfRule type="containsText" dxfId="1923" priority="2429" operator="containsText" text="S">
      <formula>NOT(ISERROR(SEARCH("S",N82)))</formula>
    </cfRule>
    <cfRule type="containsText" dxfId="1922" priority="2428" operator="containsText" text="ID">
      <formula>NOT(ISERROR(SEARCH("ID",N82)))</formula>
    </cfRule>
    <cfRule type="containsText" dxfId="1921" priority="2427" operator="containsText" text="ID">
      <formula>NOT(ISERROR(SEARCH("ID",N82)))</formula>
    </cfRule>
  </conditionalFormatting>
  <conditionalFormatting sqref="N78:AB78">
    <cfRule type="containsText" dxfId="1920" priority="28" operator="containsText" text="A">
      <formula>NOT(ISERROR(SEARCH("A",N78)))</formula>
    </cfRule>
    <cfRule type="containsBlanks" dxfId="1919" priority="29">
      <formula>LEN(TRIM(N78))=0</formula>
    </cfRule>
    <cfRule type="containsText" dxfId="1918" priority="31" operator="containsText" text="S">
      <formula>NOT(ISERROR(SEARCH("S",N78)))</formula>
    </cfRule>
    <cfRule type="containsText" dxfId="1917" priority="30" operator="containsText" text="ID">
      <formula>NOT(ISERROR(SEARCH("ID",N78)))</formula>
    </cfRule>
    <cfRule type="containsText" dxfId="1916" priority="27" operator="containsText" text="PH">
      <formula>NOT(ISERROR(SEARCH("PH",N78)))</formula>
    </cfRule>
  </conditionalFormatting>
  <conditionalFormatting sqref="N6:AI6 N113:AI114 N129:AI129">
    <cfRule type="containsText" dxfId="1915" priority="2493" operator="containsText" text="ID">
      <formula>NOT(ISERROR(SEARCH("ID",N6)))</formula>
    </cfRule>
    <cfRule type="containsText" dxfId="1914" priority="2626" operator="containsText" text="ID">
      <formula>NOT(ISERROR(SEARCH("ID",N6)))</formula>
    </cfRule>
  </conditionalFormatting>
  <conditionalFormatting sqref="O14:S14 O108:S108">
    <cfRule type="containsText" dxfId="1913" priority="2548" operator="containsText" text="S">
      <formula>NOT(ISERROR(SEARCH("S",O14)))</formula>
    </cfRule>
    <cfRule type="containsText" dxfId="1912" priority="2546" operator="containsText" text="ID">
      <formula>NOT(ISERROR(SEARCH("ID",O14)))</formula>
    </cfRule>
    <cfRule type="containsText" dxfId="1911" priority="2547" operator="containsText" text="S">
      <formula>NOT(ISERROR(SEARCH("S",O14)))</formula>
    </cfRule>
    <cfRule type="containsText" dxfId="1910" priority="2549" operator="containsText" text="PH">
      <formula>NOT(ISERROR(SEARCH("PH",O14)))</formula>
    </cfRule>
    <cfRule type="containsText" dxfId="1909" priority="2550" operator="containsText" text="A">
      <formula>NOT(ISERROR(SEARCH("A",O14)))</formula>
    </cfRule>
  </conditionalFormatting>
  <conditionalFormatting sqref="O94:W94">
    <cfRule type="containsText" dxfId="1908" priority="2449" operator="containsText" text="PH">
      <formula>NOT(ISERROR(SEARCH("PH",O94)))</formula>
    </cfRule>
  </conditionalFormatting>
  <conditionalFormatting sqref="O5:AI5 O7:AI7 F8:F12 O9:AI12 AH13 O21:AI21 O24:AI24 O26:AI26 AH38 AH47 O58:AI58 O64:AI64 W67:AI67 AB70:AI70 AC71:AI72 O72:AI83 N78:AB78 AC84:AI86 O85:AI87 O88:Q89 S88:X89 Z88:AI89 O90:AI106 F98:P106 F105:AI108 U107:U112 AB107:AI129 F109:P128 O109:AI129 G122:AI122 F129:AI129">
    <cfRule type="containsText" dxfId="1907" priority="2362" operator="containsText" text="ML">
      <formula>NOT(ISERROR(SEARCH("ML",F5)))</formula>
    </cfRule>
    <cfRule type="containsText" dxfId="1906" priority="2363" operator="containsText" text="ID">
      <formula>NOT(ISERROR(SEARCH("ID",F5)))</formula>
    </cfRule>
  </conditionalFormatting>
  <conditionalFormatting sqref="Q111:AI111">
    <cfRule type="containsText" dxfId="1905" priority="36" operator="containsText" text="S">
      <formula>NOT(ISERROR(SEARCH("S",Q111)))</formula>
    </cfRule>
    <cfRule type="containsText" dxfId="1904" priority="32" operator="containsText" text="PH">
      <formula>NOT(ISERROR(SEARCH("PH",Q111)))</formula>
    </cfRule>
    <cfRule type="containsText" dxfId="1903" priority="33" operator="containsText" text="A">
      <formula>NOT(ISERROR(SEARCH("A",Q111)))</formula>
    </cfRule>
    <cfRule type="containsText" dxfId="1902" priority="35" operator="containsText" text="ID">
      <formula>NOT(ISERROR(SEARCH("ID",Q111)))</formula>
    </cfRule>
    <cfRule type="containsBlanks" dxfId="1901" priority="34">
      <formula>LEN(TRIM(Q111))=0</formula>
    </cfRule>
  </conditionalFormatting>
  <conditionalFormatting sqref="R6 Z6 R113:R114 Z113:Z114">
    <cfRule type="containsText" dxfId="1900" priority="1835" operator="containsText" text="S">
      <formula>NOT(ISERROR(SEARCH("S",R6)))</formula>
    </cfRule>
    <cfRule type="containsText" dxfId="1899" priority="1834" operator="containsText" text="S">
      <formula>NOT(ISERROR(SEARCH("S",R6)))</formula>
    </cfRule>
    <cfRule type="containsText" dxfId="1898" priority="1833" operator="containsText" text="ID">
      <formula>NOT(ISERROR(SEARCH("ID",R6)))</formula>
    </cfRule>
    <cfRule type="containsText" dxfId="1897" priority="1832" operator="containsText" text="ID">
      <formula>NOT(ISERROR(SEARCH("ID",R6)))</formula>
    </cfRule>
    <cfRule type="containsText" dxfId="1896" priority="1826" operator="containsText" text="ID">
      <formula>NOT(ISERROR(SEARCH("ID",R6)))</formula>
    </cfRule>
    <cfRule type="containsText" dxfId="1895" priority="1840" operator="containsText" text="ML">
      <formula>NOT(ISERROR(SEARCH("ML",R6)))</formula>
    </cfRule>
    <cfRule type="containsText" dxfId="1894" priority="1839" operator="containsText" text="ID">
      <formula>NOT(ISERROR(SEARCH("ID",R6)))</formula>
    </cfRule>
    <cfRule type="containsText" dxfId="1893" priority="1827" operator="containsText" text="S">
      <formula>NOT(ISERROR(SEARCH("S",R6)))</formula>
    </cfRule>
    <cfRule type="containsText" dxfId="1892" priority="1831" operator="containsText" text="ID">
      <formula>NOT(ISERROR(SEARCH("ID",R6)))</formula>
    </cfRule>
    <cfRule type="containsText" dxfId="1891" priority="1830" operator="containsText" text="ML">
      <formula>NOT(ISERROR(SEARCH("ML",R6)))</formula>
    </cfRule>
    <cfRule type="containsBlanks" dxfId="1890" priority="1838">
      <formula>LEN(TRIM(R6))=0</formula>
    </cfRule>
    <cfRule type="containsText" dxfId="1889" priority="1837" operator="containsText" text="A">
      <formula>NOT(ISERROR(SEARCH("A",R6)))</formula>
    </cfRule>
    <cfRule type="containsText" dxfId="1888" priority="1836" operator="containsText" text="PH">
      <formula>NOT(ISERROR(SEARCH("PH",R6)))</formula>
    </cfRule>
    <cfRule type="containsText" dxfId="1887" priority="1828" operator="containsText" text="ML">
      <formula>NOT(ISERROR(SEARCH("ML",R6)))</formula>
    </cfRule>
    <cfRule type="containsText" dxfId="1886" priority="1829" operator="containsText" text="S">
      <formula>NOT(ISERROR(SEARCH("S",R6)))</formula>
    </cfRule>
    <cfRule type="containsText" dxfId="1885" priority="1847" operator="containsText" text="S">
      <formula>NOT(ISERROR(SEARCH("S",R6)))</formula>
    </cfRule>
    <cfRule type="containsBlanks" dxfId="1884" priority="1851">
      <formula>LEN(TRIM(R6))=0</formula>
    </cfRule>
    <cfRule type="containsText" dxfId="1883" priority="1850" operator="containsText" text="A">
      <formula>NOT(ISERROR(SEARCH("A",R6)))</formula>
    </cfRule>
    <cfRule type="containsText" dxfId="1882" priority="1849" operator="containsText" text="PH">
      <formula>NOT(ISERROR(SEARCH("PH",R6)))</formula>
    </cfRule>
    <cfRule type="containsText" dxfId="1881" priority="1848" operator="containsText" text="S">
      <formula>NOT(ISERROR(SEARCH("S",R6)))</formula>
    </cfRule>
    <cfRule type="containsBlanks" dxfId="1880" priority="1846">
      <formula>LEN(TRIM(R6))=0</formula>
    </cfRule>
    <cfRule type="containsText" dxfId="1879" priority="1845" operator="containsText" text="A">
      <formula>NOT(ISERROR(SEARCH("A",R6)))</formula>
    </cfRule>
    <cfRule type="containsText" dxfId="1878" priority="1844" operator="containsText" text="PH">
      <formula>NOT(ISERROR(SEARCH("PH",R6)))</formula>
    </cfRule>
    <cfRule type="containsText" dxfId="1877" priority="1843" operator="containsText" text="S">
      <formula>NOT(ISERROR(SEARCH("S",R6)))</formula>
    </cfRule>
    <cfRule type="containsText" dxfId="1876" priority="1842" operator="containsText" text="ID">
      <formula>NOT(ISERROR(SEARCH("ID",R6)))</formula>
    </cfRule>
    <cfRule type="containsText" dxfId="1875" priority="1841" operator="containsText" text="ID">
      <formula>NOT(ISERROR(SEARCH("ID",R6)))</formula>
    </cfRule>
  </conditionalFormatting>
  <conditionalFormatting sqref="R24 R37 R98:R128">
    <cfRule type="containsText" dxfId="1874" priority="1971" operator="containsText" text="ID">
      <formula>NOT(ISERROR(SEARCH("ID",R24)))</formula>
    </cfRule>
    <cfRule type="containsText" dxfId="1873" priority="1972" operator="containsText" text="S">
      <formula>NOT(ISERROR(SEARCH("S",R24)))</formula>
    </cfRule>
    <cfRule type="containsText" dxfId="1872" priority="1973" operator="containsText" text="ML">
      <formula>NOT(ISERROR(SEARCH("ML",R24)))</formula>
    </cfRule>
  </conditionalFormatting>
  <conditionalFormatting sqref="R24 R37">
    <cfRule type="containsText" dxfId="1871" priority="1970" operator="containsText" text="ID">
      <formula>NOT(ISERROR(SEARCH("ID",R24)))</formula>
    </cfRule>
  </conditionalFormatting>
  <conditionalFormatting sqref="R88:R89 Y88:Y89 J6:N6 AE93 J113:N114">
    <cfRule type="containsText" dxfId="1870" priority="278" operator="containsText" text="S">
      <formula>NOT(ISERROR(SEARCH("S",J6)))</formula>
    </cfRule>
    <cfRule type="containsText" dxfId="1869" priority="275" operator="containsText" text="ID">
      <formula>NOT(ISERROR(SEARCH("ID",J6)))</formula>
    </cfRule>
  </conditionalFormatting>
  <conditionalFormatting sqref="R88:R89 Y88:Y89 AE119:AF122">
    <cfRule type="containsText" dxfId="1868" priority="198" operator="containsText" text="S">
      <formula>NOT(ISERROR(SEARCH("S",R88)))</formula>
    </cfRule>
  </conditionalFormatting>
  <conditionalFormatting sqref="R88:R89 Y88:Y89 AF112 AF119:AF122">
    <cfRule type="containsText" dxfId="1867" priority="190" operator="containsText" text="A">
      <formula>NOT(ISERROR(SEARCH("A",R88)))</formula>
    </cfRule>
  </conditionalFormatting>
  <conditionalFormatting sqref="R88:R89 Y88:Y89 AF112 AF113:AH127 AF93:AH93">
    <cfRule type="containsBlanks" dxfId="1866" priority="191">
      <formula>LEN(TRIM(R88))=0</formula>
    </cfRule>
  </conditionalFormatting>
  <conditionalFormatting sqref="R88:R89 Y88:Y89 AF93:AH93 AE112:AF112 AF113:AH127">
    <cfRule type="containsText" dxfId="1865" priority="192" operator="containsText" text="S">
      <formula>NOT(ISERROR(SEARCH("S",R88)))</formula>
    </cfRule>
  </conditionalFormatting>
  <conditionalFormatting sqref="R88:R89 Y88:Y89">
    <cfRule type="containsText" dxfId="1864" priority="201" operator="containsText" text="ML">
      <formula>NOT(ISERROR(SEARCH("ML",R88)))</formula>
    </cfRule>
    <cfRule type="containsText" dxfId="1863" priority="202" operator="containsText" text="ID">
      <formula>NOT(ISERROR(SEARCH("ID",R88)))</formula>
    </cfRule>
    <cfRule type="containsText" dxfId="1862" priority="203" operator="containsText" text="S">
      <formula>NOT(ISERROR(SEARCH("S",R88)))</formula>
    </cfRule>
    <cfRule type="containsText" dxfId="1861" priority="204" operator="containsText" text="PH">
      <formula>NOT(ISERROR(SEARCH("PH",R88)))</formula>
    </cfRule>
    <cfRule type="containsText" dxfId="1860" priority="205" operator="containsText" text="A">
      <formula>NOT(ISERROR(SEARCH("A",R88)))</formula>
    </cfRule>
    <cfRule type="containsBlanks" dxfId="1859" priority="206">
      <formula>LEN(TRIM(R88))=0</formula>
    </cfRule>
    <cfRule type="containsText" dxfId="1858" priority="207" operator="containsText" text="S">
      <formula>NOT(ISERROR(SEARCH("S",R88)))</formula>
    </cfRule>
    <cfRule type="containsText" dxfId="1857" priority="208" operator="containsText" text="ID">
      <formula>NOT(ISERROR(SEARCH("ID",R88)))</formula>
    </cfRule>
    <cfRule type="containsText" dxfId="1856" priority="209" operator="containsText" text="ID">
      <formula>NOT(ISERROR(SEARCH("ID",R88)))</formula>
    </cfRule>
    <cfRule type="containsText" dxfId="1855" priority="210" operator="containsText" text="ID">
      <formula>NOT(ISERROR(SEARCH("ID",R88)))</formula>
    </cfRule>
    <cfRule type="containsText" dxfId="1854" priority="211" operator="containsText" text="S">
      <formula>NOT(ISERROR(SEARCH("S",R88)))</formula>
    </cfRule>
    <cfRule type="containsText" dxfId="1853" priority="212" operator="containsText" text="S">
      <formula>NOT(ISERROR(SEARCH("S",R88)))</formula>
    </cfRule>
    <cfRule type="containsText" dxfId="1852" priority="213" operator="containsText" text="PH">
      <formula>NOT(ISERROR(SEARCH("PH",R88)))</formula>
    </cfRule>
    <cfRule type="containsText" dxfId="1851" priority="214" operator="containsText" text="A">
      <formula>NOT(ISERROR(SEARCH("A",R88)))</formula>
    </cfRule>
    <cfRule type="containsBlanks" dxfId="1850" priority="215">
      <formula>LEN(TRIM(R88))=0</formula>
    </cfRule>
    <cfRule type="containsText" dxfId="1849" priority="216" operator="containsText" text="PH">
      <formula>NOT(ISERROR(SEARCH("PH",R88)))</formula>
    </cfRule>
    <cfRule type="containsText" dxfId="1848" priority="217" operator="containsText" text="A">
      <formula>NOT(ISERROR(SEARCH("A",R88)))</formula>
    </cfRule>
    <cfRule type="containsBlanks" dxfId="1847" priority="218">
      <formula>LEN(TRIM(R88))=0</formula>
    </cfRule>
    <cfRule type="containsText" dxfId="1846" priority="219" operator="containsText" text="ID">
      <formula>NOT(ISERROR(SEARCH("ID",R88)))</formula>
    </cfRule>
    <cfRule type="containsText" dxfId="1845" priority="220" operator="containsText" text="ML">
      <formula>NOT(ISERROR(SEARCH("ML",R88)))</formula>
    </cfRule>
    <cfRule type="containsText" dxfId="1844" priority="221" operator="containsText" text="S">
      <formula>NOT(ISERROR(SEARCH("S",R88)))</formula>
    </cfRule>
    <cfRule type="containsText" dxfId="1843" priority="222" operator="containsText" text="CL">
      <formula>NOT(ISERROR(SEARCH("CL",R88)))</formula>
    </cfRule>
    <cfRule type="containsText" dxfId="1842" priority="223" operator="containsText" text="EL">
      <formula>NOT(ISERROR(SEARCH("EL",R88)))</formula>
    </cfRule>
    <cfRule type="containsText" dxfId="1841" priority="224" operator="containsText" text="PH">
      <formula>NOT(ISERROR(SEARCH("PH",R88)))</formula>
    </cfRule>
    <cfRule type="containsText" dxfId="1840" priority="225" operator="containsText" text="A">
      <formula>NOT(ISERROR(SEARCH("A",R88)))</formula>
    </cfRule>
    <cfRule type="containsBlanks" dxfId="1839" priority="226">
      <formula>LEN(TRIM(R88))=0</formula>
    </cfRule>
    <cfRule type="containsText" dxfId="1838" priority="227" operator="containsText" text="ML">
      <formula>NOT(ISERROR(SEARCH("ML",R88)))</formula>
    </cfRule>
    <cfRule type="containsText" dxfId="1837" priority="228" operator="containsText" text="ID">
      <formula>NOT(ISERROR(SEARCH("ID",R88)))</formula>
    </cfRule>
    <cfRule type="containsText" dxfId="1836" priority="229" operator="containsText" text="S">
      <formula>NOT(ISERROR(SEARCH("S",R88)))</formula>
    </cfRule>
    <cfRule type="containsText" dxfId="1835" priority="230" operator="containsText" text="S">
      <formula>NOT(ISERROR(SEARCH("S",R88)))</formula>
    </cfRule>
    <cfRule type="containsText" dxfId="1834" priority="231" operator="containsText" text="PH">
      <formula>NOT(ISERROR(SEARCH("PH",R88)))</formula>
    </cfRule>
    <cfRule type="containsText" dxfId="1833" priority="232" operator="containsText" text="A">
      <formula>NOT(ISERROR(SEARCH("A",R88)))</formula>
    </cfRule>
    <cfRule type="containsBlanks" dxfId="1832" priority="233">
      <formula>LEN(TRIM(R88))=0</formula>
    </cfRule>
    <cfRule type="containsText" dxfId="1831" priority="234" operator="containsText" text="ID">
      <formula>NOT(ISERROR(SEARCH("ID",R88)))</formula>
    </cfRule>
    <cfRule type="containsText" dxfId="1830" priority="235" operator="containsText" text="ID">
      <formula>NOT(ISERROR(SEARCH("ID",R88)))</formula>
    </cfRule>
    <cfRule type="containsText" dxfId="1829" priority="236" operator="containsText" text="S">
      <formula>NOT(ISERROR(SEARCH("S",R88)))</formula>
    </cfRule>
    <cfRule type="containsText" dxfId="1828" priority="237" operator="containsText" text="S">
      <formula>NOT(ISERROR(SEARCH("S",R88)))</formula>
    </cfRule>
    <cfRule type="containsText" dxfId="1827" priority="238" operator="containsText" text="PH">
      <formula>NOT(ISERROR(SEARCH("PH",R88)))</formula>
    </cfRule>
    <cfRule type="containsText" dxfId="1826" priority="239" operator="containsText" text="A">
      <formula>NOT(ISERROR(SEARCH("A",R88)))</formula>
    </cfRule>
    <cfRule type="containsBlanks" dxfId="1825" priority="240">
      <formula>LEN(TRIM(R88))=0</formula>
    </cfRule>
    <cfRule type="containsText" dxfId="1824" priority="241" operator="containsText" text="PH">
      <formula>NOT(ISERROR(SEARCH("PH",R88)))</formula>
    </cfRule>
    <cfRule type="containsText" dxfId="1823" priority="242" operator="containsText" text="A">
      <formula>NOT(ISERROR(SEARCH("A",R88)))</formula>
    </cfRule>
    <cfRule type="containsBlanks" dxfId="1822" priority="243">
      <formula>LEN(TRIM(R88))=0</formula>
    </cfRule>
    <cfRule type="containsText" dxfId="1821" priority="244" operator="containsText" text="S">
      <formula>NOT(ISERROR(SEARCH("S",R88)))</formula>
    </cfRule>
    <cfRule type="containsText" dxfId="1820" priority="245" operator="containsText" text="S">
      <formula>NOT(ISERROR(SEARCH("S",R88)))</formula>
    </cfRule>
    <cfRule type="containsText" dxfId="1819" priority="246" operator="containsText" text="PH">
      <formula>NOT(ISERROR(SEARCH("PH",R88)))</formula>
    </cfRule>
    <cfRule type="containsText" dxfId="1818" priority="247" operator="containsText" text="A">
      <formula>NOT(ISERROR(SEARCH("A",R88)))</formula>
    </cfRule>
    <cfRule type="containsText" dxfId="1817" priority="249" operator="containsText" text="ML">
      <formula>NOT(ISERROR(SEARCH("ML",R88)))</formula>
    </cfRule>
    <cfRule type="containsText" dxfId="1816" priority="250" operator="containsText" text="ID">
      <formula>NOT(ISERROR(SEARCH("ID",R88)))</formula>
    </cfRule>
    <cfRule type="containsText" dxfId="1815" priority="251" operator="containsText" text="ID">
      <formula>NOT(ISERROR(SEARCH("ID",R88)))</formula>
    </cfRule>
    <cfRule type="containsText" dxfId="1814" priority="252" operator="containsText" text="ID">
      <formula>NOT(ISERROR(SEARCH("ID",R88)))</formula>
    </cfRule>
    <cfRule type="containsText" dxfId="1813" priority="253" operator="containsText" text="S">
      <formula>NOT(ISERROR(SEARCH("S",R88)))</formula>
    </cfRule>
    <cfRule type="containsText" dxfId="1812" priority="254" operator="containsText" text="S">
      <formula>NOT(ISERROR(SEARCH("S",R88)))</formula>
    </cfRule>
    <cfRule type="containsText" dxfId="1811" priority="255" operator="containsText" text="PH">
      <formula>NOT(ISERROR(SEARCH("PH",R88)))</formula>
    </cfRule>
    <cfRule type="containsText" dxfId="1810" priority="256" operator="containsText" text="A">
      <formula>NOT(ISERROR(SEARCH("A",R88)))</formula>
    </cfRule>
    <cfRule type="containsBlanks" dxfId="1809" priority="257">
      <formula>LEN(TRIM(R88))=0</formula>
    </cfRule>
    <cfRule type="containsText" dxfId="1808" priority="258" operator="containsText" text="ID">
      <formula>NOT(ISERROR(SEARCH("ID",R88)))</formula>
    </cfRule>
    <cfRule type="containsText" dxfId="1807" priority="259" operator="containsText" text="S">
      <formula>NOT(ISERROR(SEARCH("S",R88)))</formula>
    </cfRule>
    <cfRule type="containsText" dxfId="1806" priority="260" operator="containsText" text="PH">
      <formula>NOT(ISERROR(SEARCH("PH",R88)))</formula>
    </cfRule>
    <cfRule type="containsText" dxfId="1805" priority="261" operator="containsText" text="S">
      <formula>NOT(ISERROR(SEARCH("S",R88)))</formula>
    </cfRule>
    <cfRule type="containsText" dxfId="1804" priority="262" operator="containsText" text="ML">
      <formula>NOT(ISERROR(SEARCH("ML",R88)))</formula>
    </cfRule>
    <cfRule type="containsText" dxfId="1803" priority="263" operator="containsText" text="ID">
      <formula>NOT(ISERROR(SEARCH("ID",R88)))</formula>
    </cfRule>
    <cfRule type="containsText" dxfId="1802" priority="264" operator="containsText" text="ID">
      <formula>NOT(ISERROR(SEARCH("ID",R88)))</formula>
    </cfRule>
    <cfRule type="containsText" dxfId="1801" priority="265" operator="containsText" text="S">
      <formula>NOT(ISERROR(SEARCH("S",R88)))</formula>
    </cfRule>
    <cfRule type="containsText" dxfId="1800" priority="266" operator="containsText" text="S">
      <formula>NOT(ISERROR(SEARCH("S",R88)))</formula>
    </cfRule>
    <cfRule type="containsText" dxfId="1799" priority="267" operator="containsText" text="PH">
      <formula>NOT(ISERROR(SEARCH("PH",R88)))</formula>
    </cfRule>
    <cfRule type="containsText" dxfId="1798" priority="268" operator="containsText" text="A">
      <formula>NOT(ISERROR(SEARCH("A",R88)))</formula>
    </cfRule>
    <cfRule type="containsBlanks" dxfId="1797" priority="269">
      <formula>LEN(TRIM(R88))=0</formula>
    </cfRule>
    <cfRule type="containsText" dxfId="1796" priority="270" operator="containsText" text="S">
      <formula>NOT(ISERROR(SEARCH("S",R88)))</formula>
    </cfRule>
    <cfRule type="containsText" dxfId="1795" priority="271" operator="containsText" text="S">
      <formula>NOT(ISERROR(SEARCH("S",R88)))</formula>
    </cfRule>
    <cfRule type="containsText" dxfId="1794" priority="272" operator="containsText" text="PH">
      <formula>NOT(ISERROR(SEARCH("PH",R88)))</formula>
    </cfRule>
    <cfRule type="containsText" dxfId="1793" priority="273" operator="containsText" text="A">
      <formula>NOT(ISERROR(SEARCH("A",R88)))</formula>
    </cfRule>
    <cfRule type="containsBlanks" dxfId="1792" priority="274">
      <formula>LEN(TRIM(R88))=0</formula>
    </cfRule>
    <cfRule type="containsBlanks" dxfId="1791" priority="276">
      <formula>LEN(TRIM(R88))=0</formula>
    </cfRule>
    <cfRule type="containsText" dxfId="1790" priority="277" operator="containsText" text="ID">
      <formula>NOT(ISERROR(SEARCH("ID",R88)))</formula>
    </cfRule>
    <cfRule type="containsText" dxfId="1789" priority="283" operator="containsText" text="ID">
      <formula>NOT(ISERROR(SEARCH("ID",R88)))</formula>
    </cfRule>
    <cfRule type="containsBlanks" dxfId="1788" priority="248">
      <formula>LEN(TRIM(R88))=0</formula>
    </cfRule>
    <cfRule type="containsText" dxfId="1787" priority="189" operator="containsText" text="S">
      <formula>NOT(ISERROR(SEARCH("S",R88)))</formula>
    </cfRule>
    <cfRule type="containsText" dxfId="1786" priority="193" operator="containsText" text="ID">
      <formula>NOT(ISERROR(SEARCH("ID",R88)))</formula>
    </cfRule>
    <cfRule type="containsText" dxfId="1785" priority="194" operator="containsText" text="v">
      <formula>NOT(ISERROR(SEARCH("v",R88)))</formula>
    </cfRule>
    <cfRule type="containsText" dxfId="1784" priority="196" operator="containsText" text="S">
      <formula>NOT(ISERROR(SEARCH("S",R88)))</formula>
    </cfRule>
    <cfRule type="containsText" dxfId="1783" priority="197" operator="containsText" text="ML">
      <formula>NOT(ISERROR(SEARCH("ML",R88)))</formula>
    </cfRule>
    <cfRule type="containsText" dxfId="1782" priority="199" operator="containsText" text="ID">
      <formula>NOT(ISERROR(SEARCH("ID",R88)))</formula>
    </cfRule>
    <cfRule type="containsText" dxfId="1781" priority="200" operator="containsText" text="A">
      <formula>NOT(ISERROR(SEARCH("A",R88)))</formula>
    </cfRule>
  </conditionalFormatting>
  <conditionalFormatting sqref="R88:R89 Y88:Z89 Z6 Z113:Z114">
    <cfRule type="containsText" dxfId="1780" priority="279" operator="containsText" text="S">
      <formula>NOT(ISERROR(SEARCH("S",R6)))</formula>
    </cfRule>
  </conditionalFormatting>
  <conditionalFormatting sqref="R88:R89 Y88:Z89 AE93 AC114:AI114 AC7:AI7 AC9:AI12 AC26:AI26 W67:AI67 AC129:AI129">
    <cfRule type="containsText" dxfId="1779" priority="281" operator="containsText" text="A">
      <formula>NOT(ISERROR(SEARCH("A",R7)))</formula>
    </cfRule>
  </conditionalFormatting>
  <conditionalFormatting sqref="R96:R97 R103">
    <cfRule type="containsText" dxfId="1778" priority="129" operator="containsText" text="ID">
      <formula>NOT(ISERROR(SEARCH("ID",R96)))</formula>
    </cfRule>
    <cfRule type="containsText" dxfId="1777" priority="130" operator="containsText" text="S">
      <formula>NOT(ISERROR(SEARCH("S",R96)))</formula>
    </cfRule>
  </conditionalFormatting>
  <conditionalFormatting sqref="R97 R103 K95 AF97 AF103 R105:R112 AF105:AF112 Y112 Y119:Y122 R119:R123 AF119:AF123">
    <cfRule type="containsText" dxfId="1776" priority="146" operator="containsText" text="v">
      <formula>NOT(ISERROR(SEARCH("v",K95)))</formula>
    </cfRule>
  </conditionalFormatting>
  <conditionalFormatting sqref="R104:R112 R119:R123">
    <cfRule type="containsText" dxfId="1775" priority="1942" operator="containsText" text="PH">
      <formula>NOT(ISERROR(SEARCH("PH",R104)))</formula>
    </cfRule>
    <cfRule type="containsText" dxfId="1774" priority="1946" operator="containsText" text="ML">
      <formula>NOT(ISERROR(SEARCH("ML",R104)))</formula>
    </cfRule>
    <cfRule type="containsText" dxfId="1773" priority="1945" operator="containsText" text="ID">
      <formula>NOT(ISERROR(SEARCH("ID",R104)))</formula>
    </cfRule>
    <cfRule type="containsText" dxfId="1772" priority="1936" operator="containsText" text="ML">
      <formula>NOT(ISERROR(SEARCH("ML",R104)))</formula>
    </cfRule>
    <cfRule type="containsText" dxfId="1771" priority="1937" operator="containsText" text="ID">
      <formula>NOT(ISERROR(SEARCH("ID",R104)))</formula>
    </cfRule>
    <cfRule type="containsText" dxfId="1770" priority="1935" operator="containsText" text="S">
      <formula>NOT(ISERROR(SEARCH("S",R104)))</formula>
    </cfRule>
    <cfRule type="containsText" dxfId="1769" priority="1938" operator="containsText" text="ID">
      <formula>NOT(ISERROR(SEARCH("ID",R104)))</formula>
    </cfRule>
    <cfRule type="containsText" dxfId="1768" priority="1939" operator="containsText" text="ID">
      <formula>NOT(ISERROR(SEARCH("ID",R104)))</formula>
    </cfRule>
    <cfRule type="containsText" dxfId="1767" priority="1940" operator="containsText" text="S">
      <formula>NOT(ISERROR(SEARCH("S",R104)))</formula>
    </cfRule>
    <cfRule type="containsText" dxfId="1766" priority="1948" operator="containsText" text="ID">
      <formula>NOT(ISERROR(SEARCH("ID",R104)))</formula>
    </cfRule>
    <cfRule type="containsText" dxfId="1765" priority="1947" operator="containsText" text="ID">
      <formula>NOT(ISERROR(SEARCH("ID",R104)))</formula>
    </cfRule>
    <cfRule type="containsBlanks" dxfId="1764" priority="1944">
      <formula>LEN(TRIM(R104))=0</formula>
    </cfRule>
    <cfRule type="containsBlanks" dxfId="1763" priority="1952">
      <formula>LEN(TRIM(R104))=0</formula>
    </cfRule>
    <cfRule type="containsText" dxfId="1762" priority="1949" operator="containsText" text="S">
      <formula>NOT(ISERROR(SEARCH("S",R104)))</formula>
    </cfRule>
    <cfRule type="containsText" dxfId="1761" priority="1950" operator="containsText" text="PH">
      <formula>NOT(ISERROR(SEARCH("PH",R104)))</formula>
    </cfRule>
    <cfRule type="containsText" dxfId="1760" priority="1951" operator="containsText" text="A">
      <formula>NOT(ISERROR(SEARCH("A",R104)))</formula>
    </cfRule>
    <cfRule type="containsBlanks" dxfId="1759" priority="1957">
      <formula>LEN(TRIM(R104))=0</formula>
    </cfRule>
    <cfRule type="containsText" dxfId="1758" priority="1953" operator="containsText" text="S">
      <formula>NOT(ISERROR(SEARCH("S",R104)))</formula>
    </cfRule>
    <cfRule type="containsText" dxfId="1757" priority="1954" operator="containsText" text="S">
      <formula>NOT(ISERROR(SEARCH("S",R104)))</formula>
    </cfRule>
    <cfRule type="containsText" dxfId="1756" priority="1955" operator="containsText" text="PH">
      <formula>NOT(ISERROR(SEARCH("PH",R104)))</formula>
    </cfRule>
    <cfRule type="containsText" dxfId="1755" priority="1956" operator="containsText" text="A">
      <formula>NOT(ISERROR(SEARCH("A",R104)))</formula>
    </cfRule>
    <cfRule type="containsText" dxfId="1754" priority="1958" operator="containsText" text="S">
      <formula>NOT(ISERROR(SEARCH("S",R104)))</formula>
    </cfRule>
    <cfRule type="containsText" dxfId="1753" priority="1934" operator="containsText" text="ML">
      <formula>NOT(ISERROR(SEARCH("ML",R104)))</formula>
    </cfRule>
    <cfRule type="containsText" dxfId="1752" priority="1941" operator="containsText" text="S">
      <formula>NOT(ISERROR(SEARCH("S",R104)))</formula>
    </cfRule>
    <cfRule type="containsText" dxfId="1751" priority="1943" operator="containsText" text="A">
      <formula>NOT(ISERROR(SEARCH("A",R104)))</formula>
    </cfRule>
    <cfRule type="containsText" dxfId="1750" priority="1933" operator="containsText" text="S">
      <formula>NOT(ISERROR(SEARCH("S",R104)))</formula>
    </cfRule>
    <cfRule type="containsText" dxfId="1749" priority="1930" operator="containsText" text="ID">
      <formula>NOT(ISERROR(SEARCH("ID",R104)))</formula>
    </cfRule>
    <cfRule type="containsText" dxfId="1748" priority="1931" operator="containsText" text="ID">
      <formula>NOT(ISERROR(SEARCH("ID",R104)))</formula>
    </cfRule>
    <cfRule type="containsText" dxfId="1747" priority="1932" operator="containsText" text="ID">
      <formula>NOT(ISERROR(SEARCH("ID",R104)))</formula>
    </cfRule>
  </conditionalFormatting>
  <conditionalFormatting sqref="S88:X89 F88:Q89">
    <cfRule type="containsText" dxfId="1746" priority="2104" operator="containsText" text="PH">
      <formula>NOT(ISERROR(SEARCH("PH",F88)))</formula>
    </cfRule>
    <cfRule type="containsText" dxfId="1745" priority="1667" operator="containsText" text="S">
      <formula>NOT(ISERROR(SEARCH("S",F88)))</formula>
    </cfRule>
  </conditionalFormatting>
  <conditionalFormatting sqref="S88:X89">
    <cfRule type="containsText" dxfId="1744" priority="767" operator="containsText" text="S">
      <formula>NOT(ISERROR(SEARCH("S",S88)))</formula>
    </cfRule>
    <cfRule type="containsText" dxfId="1743" priority="1663" operator="containsText" text="v">
      <formula>NOT(ISERROR(SEARCH("v",S88)))</formula>
    </cfRule>
  </conditionalFormatting>
  <conditionalFormatting sqref="S98:AI128">
    <cfRule type="containsText" dxfId="1742" priority="77" operator="containsText" text="ID">
      <formula>NOT(ISERROR(SEARCH("ID",S98)))</formula>
    </cfRule>
    <cfRule type="containsText" dxfId="1741" priority="78" operator="containsText" text="S">
      <formula>NOT(ISERROR(SEARCH("S",S98)))</formula>
    </cfRule>
    <cfRule type="containsText" dxfId="1740" priority="79" operator="containsText" text="ML">
      <formula>NOT(ISERROR(SEARCH("ML",S98)))</formula>
    </cfRule>
    <cfRule type="containsText" dxfId="1739" priority="75" operator="containsText" text="ID">
      <formula>NOT(ISERROR(SEARCH("ID",S98)))</formula>
    </cfRule>
    <cfRule type="containsText" dxfId="1738" priority="76" operator="containsText" text="ID">
      <formula>NOT(ISERROR(SEARCH("ID",S98)))</formula>
    </cfRule>
  </conditionalFormatting>
  <conditionalFormatting sqref="T5 T7 T9:T12 T21 T24 T26 T55:T66 T72:T83 T85:T129">
    <cfRule type="containsText" dxfId="1737" priority="1300" operator="containsText" text="ID">
      <formula>NOT(ISERROR(SEARCH("ID",T5)))</formula>
    </cfRule>
    <cfRule type="containsText" dxfId="1736" priority="1299" operator="containsText" text="ML">
      <formula>NOT(ISERROR(SEARCH("ML",T5)))</formula>
    </cfRule>
    <cfRule type="containsText" dxfId="1735" priority="1298" operator="containsText" text="S">
      <formula>NOT(ISERROR(SEARCH("S",T5)))</formula>
    </cfRule>
    <cfRule type="containsText" dxfId="1734" priority="1297" operator="containsText" text="ID">
      <formula>NOT(ISERROR(SEARCH("ID",T5)))</formula>
    </cfRule>
    <cfRule type="containsText" dxfId="1733" priority="1296" operator="containsText" text="ML">
      <formula>NOT(ISERROR(SEARCH("ML",T5)))</formula>
    </cfRule>
    <cfRule type="containsText" dxfId="1732" priority="1292" operator="containsText" text="ID">
      <formula>NOT(ISERROR(SEARCH("ID",T5)))</formula>
    </cfRule>
    <cfRule type="containsText" dxfId="1731" priority="1290" operator="containsText" text="A">
      <formula>NOT(ISERROR(SEARCH("A",T5)))</formula>
    </cfRule>
    <cfRule type="containsText" dxfId="1730" priority="1289" operator="containsText" text="PH">
      <formula>NOT(ISERROR(SEARCH("PH",T5)))</formula>
    </cfRule>
    <cfRule type="containsText" dxfId="1729" priority="1288" operator="containsText" text="S">
      <formula>NOT(ISERROR(SEARCH("S",T5)))</formula>
    </cfRule>
    <cfRule type="containsText" dxfId="1728" priority="1287" operator="containsText" text="S">
      <formula>NOT(ISERROR(SEARCH("S",T5)))</formula>
    </cfRule>
    <cfRule type="containsText" dxfId="1727" priority="1286" operator="containsText" text="ID">
      <formula>NOT(ISERROR(SEARCH("ID",T5)))</formula>
    </cfRule>
    <cfRule type="containsText" dxfId="1726" priority="1285" operator="containsText" text="ID">
      <formula>NOT(ISERROR(SEARCH("ID",T5)))</formula>
    </cfRule>
    <cfRule type="containsText" dxfId="1725" priority="1284" operator="containsText" text="ID">
      <formula>NOT(ISERROR(SEARCH("ID",T5)))</formula>
    </cfRule>
    <cfRule type="containsText" dxfId="1724" priority="1283" operator="containsText" text="ML">
      <formula>NOT(ISERROR(SEARCH("ML",T5)))</formula>
    </cfRule>
    <cfRule type="containsBlanks" dxfId="1723" priority="1282">
      <formula>LEN(TRIM(T5))=0</formula>
    </cfRule>
    <cfRule type="containsText" dxfId="1722" priority="1281" operator="containsText" text="A">
      <formula>NOT(ISERROR(SEARCH("A",T5)))</formula>
    </cfRule>
    <cfRule type="containsText" dxfId="1721" priority="1280" operator="containsText" text="PH">
      <formula>NOT(ISERROR(SEARCH("PH",T5)))</formula>
    </cfRule>
    <cfRule type="containsText" dxfId="1720" priority="1279" operator="containsText" text="S">
      <formula>NOT(ISERROR(SEARCH("S",T5)))</formula>
    </cfRule>
    <cfRule type="containsText" dxfId="1719" priority="1278" operator="containsText" text="S">
      <formula>NOT(ISERROR(SEARCH("S",T5)))</formula>
    </cfRule>
    <cfRule type="containsBlanks" dxfId="1718" priority="1277">
      <formula>LEN(TRIM(T5))=0</formula>
    </cfRule>
    <cfRule type="containsText" dxfId="1717" priority="1243" operator="containsText" text="S">
      <formula>NOT(ISERROR(SEARCH("S",T5)))</formula>
    </cfRule>
    <cfRule type="containsText" dxfId="1716" priority="1276" operator="containsText" text="A">
      <formula>NOT(ISERROR(SEARCH("A",T5)))</formula>
    </cfRule>
    <cfRule type="containsText" dxfId="1715" priority="1275" operator="containsText" text="PH">
      <formula>NOT(ISERROR(SEARCH("PH",T5)))</formula>
    </cfRule>
    <cfRule type="containsBlanks" dxfId="1714" priority="1274">
      <formula>LEN(TRIM(T5))=0</formula>
    </cfRule>
    <cfRule type="containsText" dxfId="1713" priority="1273" operator="containsText" text="A">
      <formula>NOT(ISERROR(SEARCH("A",T5)))</formula>
    </cfRule>
    <cfRule type="containsText" dxfId="1712" priority="1272" operator="containsText" text="PH">
      <formula>NOT(ISERROR(SEARCH("PH",T5)))</formula>
    </cfRule>
    <cfRule type="containsText" dxfId="1711" priority="1236" operator="containsText" text="PH">
      <formula>NOT(ISERROR(SEARCH("PH",T5)))</formula>
    </cfRule>
    <cfRule type="containsText" dxfId="1710" priority="1235" operator="containsText" text="S">
      <formula>NOT(ISERROR(SEARCH("S",T5)))</formula>
    </cfRule>
    <cfRule type="containsText" dxfId="1709" priority="1234" operator="containsText" text="S">
      <formula>NOT(ISERROR(SEARCH("S",T5)))</formula>
    </cfRule>
    <cfRule type="containsText" dxfId="1708" priority="1233" operator="containsText" text="ID">
      <formula>NOT(ISERROR(SEARCH("ID",T5)))</formula>
    </cfRule>
    <cfRule type="containsText" dxfId="1707" priority="1231" operator="containsText" text="ID">
      <formula>NOT(ISERROR(SEARCH("ID",T5)))</formula>
    </cfRule>
    <cfRule type="containsText" dxfId="1706" priority="1230" operator="containsText" text="S">
      <formula>NOT(ISERROR(SEARCH("S",T5)))</formula>
    </cfRule>
    <cfRule type="containsText" dxfId="1705" priority="1229" operator="containsText" text="ID">
      <formula>NOT(ISERROR(SEARCH("ID",T5)))</formula>
    </cfRule>
    <cfRule type="containsText" dxfId="1704" priority="1228" operator="containsText" text="S">
      <formula>NOT(ISERROR(SEARCH("S",T5)))</formula>
    </cfRule>
    <cfRule type="containsText" dxfId="1703" priority="1256" operator="containsText" text="ID">
      <formula>NOT(ISERROR(SEARCH("ID",T5)))</formula>
    </cfRule>
    <cfRule type="containsText" dxfId="1702" priority="1255" operator="containsText" text="EL">
      <formula>NOT(ISERROR(SEARCH("EL",T5)))</formula>
    </cfRule>
    <cfRule type="containsText" dxfId="1701" priority="1254" operator="containsText" text="CL">
      <formula>NOT(ISERROR(SEARCH("CL",T5)))</formula>
    </cfRule>
    <cfRule type="containsText" dxfId="1700" priority="1253" operator="containsText" text="S">
      <formula>NOT(ISERROR(SEARCH("S",T5)))</formula>
    </cfRule>
    <cfRule type="containsText" dxfId="1699" priority="1252" operator="containsText" text="ML">
      <formula>NOT(ISERROR(SEARCH("ML",T5)))</formula>
    </cfRule>
    <cfRule type="containsText" dxfId="1698" priority="1251" operator="containsText" text="ID">
      <formula>NOT(ISERROR(SEARCH("ID",T5)))</formula>
    </cfRule>
    <cfRule type="containsBlanks" dxfId="1697" priority="1250">
      <formula>LEN(TRIM(T5))=0</formula>
    </cfRule>
    <cfRule type="containsText" dxfId="1696" priority="1249" operator="containsText" text="A">
      <formula>NOT(ISERROR(SEARCH("A",T5)))</formula>
    </cfRule>
    <cfRule type="containsText" dxfId="1695" priority="1248" operator="containsText" text="PH">
      <formula>NOT(ISERROR(SEARCH("PH",T5)))</formula>
    </cfRule>
    <cfRule type="containsBlanks" dxfId="1694" priority="1247">
      <formula>LEN(TRIM(T5))=0</formula>
    </cfRule>
    <cfRule type="containsText" dxfId="1693" priority="1246" operator="containsText" text="A">
      <formula>NOT(ISERROR(SEARCH("A",T5)))</formula>
    </cfRule>
    <cfRule type="containsText" dxfId="1692" priority="1245" operator="containsText" text="PH">
      <formula>NOT(ISERROR(SEARCH("PH",T5)))</formula>
    </cfRule>
    <cfRule type="containsText" dxfId="1691" priority="1244" operator="containsText" text="S">
      <formula>NOT(ISERROR(SEARCH("S",T5)))</formula>
    </cfRule>
    <cfRule type="containsText" dxfId="1690" priority="1242" operator="containsText" text="ID">
      <formula>NOT(ISERROR(SEARCH("ID",T5)))</formula>
    </cfRule>
    <cfRule type="containsText" dxfId="1689" priority="1241" operator="containsText" text="ID">
      <formula>NOT(ISERROR(SEARCH("ID",T5)))</formula>
    </cfRule>
    <cfRule type="containsText" dxfId="1688" priority="1240" operator="containsText" text="ID">
      <formula>NOT(ISERROR(SEARCH("ID",T5)))</formula>
    </cfRule>
    <cfRule type="containsText" dxfId="1687" priority="1239" operator="containsText" text="S">
      <formula>NOT(ISERROR(SEARCH("S",T5)))</formula>
    </cfRule>
    <cfRule type="containsBlanks" dxfId="1686" priority="1238">
      <formula>LEN(TRIM(T5))=0</formula>
    </cfRule>
    <cfRule type="containsText" dxfId="1685" priority="1237" operator="containsText" text="A">
      <formula>NOT(ISERROR(SEARCH("A",T5)))</formula>
    </cfRule>
    <cfRule type="containsText" dxfId="1684" priority="1311" operator="containsText" text="ID">
      <formula>NOT(ISERROR(SEARCH("ID",T5)))</formula>
    </cfRule>
    <cfRule type="containsBlanks" dxfId="1683" priority="1309">
      <formula>LEN(TRIM(T5))=0</formula>
    </cfRule>
    <cfRule type="containsText" dxfId="1682" priority="1308" operator="containsText" text="A">
      <formula>NOT(ISERROR(SEARCH("A",T5)))</formula>
    </cfRule>
    <cfRule type="containsText" dxfId="1681" priority="1307" operator="containsText" text="PH">
      <formula>NOT(ISERROR(SEARCH("PH",T5)))</formula>
    </cfRule>
    <cfRule type="containsBlanks" dxfId="1680" priority="1306">
      <formula>LEN(TRIM(T5))=0</formula>
    </cfRule>
    <cfRule type="containsText" dxfId="1679" priority="1301" operator="containsText" text="ID">
      <formula>NOT(ISERROR(SEARCH("ID",T5)))</formula>
    </cfRule>
    <cfRule type="containsBlanks" dxfId="1678" priority="1291">
      <formula>LEN(TRIM(T5))=0</formula>
    </cfRule>
    <cfRule type="containsText" dxfId="1677" priority="1271" operator="containsText" text="S">
      <formula>NOT(ISERROR(SEARCH("S",T5)))</formula>
    </cfRule>
    <cfRule type="containsText" dxfId="1676" priority="1270" operator="containsText" text="S">
      <formula>NOT(ISERROR(SEARCH("S",T5)))</formula>
    </cfRule>
    <cfRule type="containsText" dxfId="1675" priority="1269" operator="containsText" text="ID">
      <formula>NOT(ISERROR(SEARCH("ID",T5)))</formula>
    </cfRule>
    <cfRule type="containsBlanks" dxfId="1674" priority="1268">
      <formula>LEN(TRIM(T5))=0</formula>
    </cfRule>
    <cfRule type="containsText" dxfId="1673" priority="1267" operator="containsText" text="A">
      <formula>NOT(ISERROR(SEARCH("A",T5)))</formula>
    </cfRule>
    <cfRule type="containsText" dxfId="1672" priority="1266" operator="containsText" text="PH">
      <formula>NOT(ISERROR(SEARCH("PH",T5)))</formula>
    </cfRule>
    <cfRule type="containsText" dxfId="1671" priority="1265" operator="containsText" text="S">
      <formula>NOT(ISERROR(SEARCH("S",T5)))</formula>
    </cfRule>
    <cfRule type="containsText" dxfId="1670" priority="1264" operator="containsText" text="S">
      <formula>NOT(ISERROR(SEARCH("S",T5)))</formula>
    </cfRule>
    <cfRule type="containsText" dxfId="1669" priority="1263" operator="containsText" text="ID">
      <formula>NOT(ISERROR(SEARCH("ID",T5)))</formula>
    </cfRule>
    <cfRule type="containsText" dxfId="1668" priority="1262" operator="containsText" text="ML">
      <formula>NOT(ISERROR(SEARCH("ML",T5)))</formula>
    </cfRule>
    <cfRule type="containsBlanks" dxfId="1667" priority="1261">
      <formula>LEN(TRIM(T5))=0</formula>
    </cfRule>
    <cfRule type="containsText" dxfId="1666" priority="1260" operator="containsText" text="A">
      <formula>NOT(ISERROR(SEARCH("A",T5)))</formula>
    </cfRule>
    <cfRule type="containsText" dxfId="1665" priority="1259" operator="containsText" text="PH">
      <formula>NOT(ISERROR(SEARCH("PH",T5)))</formula>
    </cfRule>
    <cfRule type="containsText" dxfId="1664" priority="1258" operator="containsText" text="S">
      <formula>NOT(ISERROR(SEARCH("S",T5)))</formula>
    </cfRule>
    <cfRule type="containsText" dxfId="1663" priority="1257" operator="containsText" text="ID">
      <formula>NOT(ISERROR(SEARCH("ID",T5)))</formula>
    </cfRule>
  </conditionalFormatting>
  <conditionalFormatting sqref="T5 T7 T9:T12 T26 T55 T114 T119:T120 T124 AB98:AI129">
    <cfRule type="containsText" dxfId="1662" priority="1303" operator="containsText" text="S">
      <formula>NOT(ISERROR(SEARCH("S",T5)))</formula>
    </cfRule>
    <cfRule type="containsText" dxfId="1661" priority="1312" operator="containsText" text="ID">
      <formula>NOT(ISERROR(SEARCH("ID",T5)))</formula>
    </cfRule>
  </conditionalFormatting>
  <conditionalFormatting sqref="T5 T7 T9:T12 T26 T55:T66 T72:T83 T85:T129 T21 T24">
    <cfRule type="containsText" dxfId="1660" priority="1295" operator="containsText" text="A">
      <formula>NOT(ISERROR(SEARCH("A",T5)))</formula>
    </cfRule>
    <cfRule type="containsText" dxfId="1659" priority="1305" operator="containsText" text="A">
      <formula>NOT(ISERROR(SEARCH("A",T5)))</formula>
    </cfRule>
  </conditionalFormatting>
  <conditionalFormatting sqref="T5 T7 T9:T12 T26 T55:T66 T113:T129 T73:T83 T93:T96 T98:T99 T110:T111">
    <cfRule type="containsText" dxfId="1658" priority="1304" operator="containsText" text="PH">
      <formula>NOT(ISERROR(SEARCH("PH",T5)))</formula>
    </cfRule>
  </conditionalFormatting>
  <conditionalFormatting sqref="T5 T7 T9:T12 T26 T113:T129 T55:T66 T73:T83 T93:T96 T98:T99 T110:T111">
    <cfRule type="containsText" dxfId="1657" priority="1294" operator="containsText" text="PH">
      <formula>NOT(ISERROR(SEARCH("PH",T5)))</formula>
    </cfRule>
  </conditionalFormatting>
  <conditionalFormatting sqref="T5 T7 T9:T12 T26 T114 T124:U124">
    <cfRule type="containsText" dxfId="1656" priority="1313" operator="containsText" text="ID">
      <formula>NOT(ISERROR(SEARCH("ID",T5)))</formula>
    </cfRule>
    <cfRule type="containsText" dxfId="1655" priority="1293" operator="containsText" text="S">
      <formula>NOT(ISERROR(SEARCH("S",T5)))</formula>
    </cfRule>
  </conditionalFormatting>
  <conditionalFormatting sqref="U4:U129">
    <cfRule type="containsText" dxfId="1654" priority="2064" operator="containsText" text="ID">
      <formula>NOT(ISERROR(SEARCH("ID",U4)))</formula>
    </cfRule>
    <cfRule type="containsText" dxfId="1653" priority="2065" operator="containsText" text="ID">
      <formula>NOT(ISERROR(SEARCH("ID",U4)))</formula>
    </cfRule>
    <cfRule type="containsText" dxfId="1652" priority="2066" operator="containsText" text="ID">
      <formula>NOT(ISERROR(SEARCH("ID",U4)))</formula>
    </cfRule>
    <cfRule type="containsText" dxfId="1651" priority="2067" operator="containsText" text="S">
      <formula>NOT(ISERROR(SEARCH("S",U4)))</formula>
    </cfRule>
    <cfRule type="containsText" dxfId="1650" priority="2068" operator="containsText" text="S">
      <formula>NOT(ISERROR(SEARCH("S",U4)))</formula>
    </cfRule>
    <cfRule type="containsText" dxfId="1649" priority="2069" operator="containsText" text="PH">
      <formula>NOT(ISERROR(SEARCH("PH",U4)))</formula>
    </cfRule>
    <cfRule type="containsText" dxfId="1648" priority="2070" operator="containsText" text="A">
      <formula>NOT(ISERROR(SEARCH("A",U4)))</formula>
    </cfRule>
    <cfRule type="containsBlanks" dxfId="1647" priority="2071">
      <formula>LEN(TRIM(U4))=0</formula>
    </cfRule>
    <cfRule type="containsText" dxfId="1646" priority="2072" operator="containsText" text="S">
      <formula>NOT(ISERROR(SEARCH("S",U4)))</formula>
    </cfRule>
    <cfRule type="containsText" dxfId="1645" priority="2074" operator="containsText" text="A">
      <formula>NOT(ISERROR(SEARCH("A",U4)))</formula>
    </cfRule>
    <cfRule type="containsBlanks" dxfId="1644" priority="2075">
      <formula>LEN(TRIM(U4))=0</formula>
    </cfRule>
    <cfRule type="containsText" dxfId="1643" priority="2073" operator="containsText" text="PH">
      <formula>NOT(ISERROR(SEARCH("PH",U4)))</formula>
    </cfRule>
    <cfRule type="containsText" dxfId="1642" priority="2063" operator="containsText" text="ML">
      <formula>NOT(ISERROR(SEARCH("ML",U4)))</formula>
    </cfRule>
  </conditionalFormatting>
  <conditionalFormatting sqref="U13 AC13">
    <cfRule type="containsText" dxfId="1641" priority="2628" operator="containsText" text="S">
      <formula>NOT(ISERROR(SEARCH("S",U13)))</formula>
    </cfRule>
    <cfRule type="containsText" dxfId="1640" priority="2630" operator="containsText" text="PH">
      <formula>NOT(ISERROR(SEARCH("PH",U13)))</formula>
    </cfRule>
    <cfRule type="containsText" dxfId="1639" priority="2629" operator="containsText" text="S">
      <formula>NOT(ISERROR(SEARCH("S",U13)))</formula>
    </cfRule>
    <cfRule type="containsBlanks" dxfId="1638" priority="2632">
      <formula>LEN(TRIM(U13))=0</formula>
    </cfRule>
    <cfRule type="containsText" dxfId="1637" priority="2631" operator="containsText" text="A">
      <formula>NOT(ISERROR(SEARCH("A",U13)))</formula>
    </cfRule>
  </conditionalFormatting>
  <conditionalFormatting sqref="U14">
    <cfRule type="containsText" dxfId="1636" priority="1517" operator="containsText" text="ML">
      <formula>NOT(ISERROR(SEARCH("ML",U14)))</formula>
    </cfRule>
  </conditionalFormatting>
  <conditionalFormatting sqref="U35 AC35 U74 AC74 J129:M129 J70">
    <cfRule type="containsText" dxfId="1635" priority="2367" operator="containsText" text="S">
      <formula>NOT(ISERROR(SEARCH("S",J35)))</formula>
    </cfRule>
  </conditionalFormatting>
  <conditionalFormatting sqref="U35 AC35 AH26">
    <cfRule type="containsText" dxfId="1634" priority="2366" operator="containsText" text="S">
      <formula>NOT(ISERROR(SEARCH("S",U26)))</formula>
    </cfRule>
  </conditionalFormatting>
  <conditionalFormatting sqref="U74 AC74 U35 AC35">
    <cfRule type="containsText" dxfId="1633" priority="2364" operator="containsText" text="ID">
      <formula>NOT(ISERROR(SEARCH("ID",U35)))</formula>
    </cfRule>
  </conditionalFormatting>
  <conditionalFormatting sqref="U80 AC80 F80:N80">
    <cfRule type="containsText" dxfId="1632" priority="764" operator="containsText" text="ID">
      <formula>NOT(ISERROR(SEARCH("ID",F80)))</formula>
    </cfRule>
  </conditionalFormatting>
  <conditionalFormatting sqref="U80 AC80">
    <cfRule type="containsText" dxfId="1631" priority="759" operator="containsText" text="S">
      <formula>NOT(ISERROR(SEARCH("S",U80)))</formula>
    </cfRule>
    <cfRule type="containsBlanks" dxfId="1630" priority="763">
      <formula>LEN(TRIM(U80))=0</formula>
    </cfRule>
    <cfRule type="containsText" dxfId="1629" priority="760" operator="containsText" text="S">
      <formula>NOT(ISERROR(SEARCH("S",U80)))</formula>
    </cfRule>
    <cfRule type="containsText" dxfId="1628" priority="761" operator="containsText" text="PH">
      <formula>NOT(ISERROR(SEARCH("PH",U80)))</formula>
    </cfRule>
    <cfRule type="containsText" dxfId="1627" priority="762" operator="containsText" text="A">
      <formula>NOT(ISERROR(SEARCH("A",U80)))</formula>
    </cfRule>
    <cfRule type="containsText" dxfId="1626" priority="758" operator="containsText" text="ID">
      <formula>NOT(ISERROR(SEARCH("ID",U80)))</formula>
    </cfRule>
  </conditionalFormatting>
  <conditionalFormatting sqref="U87 AC87 F87:J87 L87:N87">
    <cfRule type="containsText" dxfId="1625" priority="482" operator="containsText" text="ID">
      <formula>NOT(ISERROR(SEARCH("ID",F87)))</formula>
    </cfRule>
  </conditionalFormatting>
  <conditionalFormatting sqref="U87 AC87">
    <cfRule type="containsText" dxfId="1624" priority="478" operator="containsText" text="S">
      <formula>NOT(ISERROR(SEARCH("S",U87)))</formula>
    </cfRule>
    <cfRule type="containsText" dxfId="1623" priority="479" operator="containsText" text="PH">
      <formula>NOT(ISERROR(SEARCH("PH",U87)))</formula>
    </cfRule>
    <cfRule type="containsText" dxfId="1622" priority="480" operator="containsText" text="A">
      <formula>NOT(ISERROR(SEARCH("A",U87)))</formula>
    </cfRule>
    <cfRule type="containsBlanks" dxfId="1621" priority="481">
      <formula>LEN(TRIM(U87))=0</formula>
    </cfRule>
    <cfRule type="containsText" dxfId="1620" priority="476" operator="containsText" text="ID">
      <formula>NOT(ISERROR(SEARCH("ID",U87)))</formula>
    </cfRule>
    <cfRule type="containsText" dxfId="1619" priority="477" operator="containsText" text="S">
      <formula>NOT(ISERROR(SEARCH("S",U87)))</formula>
    </cfRule>
  </conditionalFormatting>
  <conditionalFormatting sqref="U98:U129">
    <cfRule type="containsText" dxfId="1618" priority="733" operator="containsText" text="ID">
      <formula>NOT(ISERROR(SEARCH("ID",U98)))</formula>
    </cfRule>
    <cfRule type="containsText" dxfId="1617" priority="732" operator="containsText" text="ID">
      <formula>NOT(ISERROR(SEARCH("ID",U98)))</formula>
    </cfRule>
  </conditionalFormatting>
  <conditionalFormatting sqref="U108">
    <cfRule type="containsText" dxfId="1616" priority="1530" operator="containsText" text="ID">
      <formula>NOT(ISERROR(SEARCH("ID",U108)))</formula>
    </cfRule>
    <cfRule type="containsText" dxfId="1615" priority="1529" operator="containsText" text="ID">
      <formula>NOT(ISERROR(SEARCH("ID",U108)))</formula>
    </cfRule>
    <cfRule type="containsText" dxfId="1614" priority="1533" operator="containsText" text="PH">
      <formula>NOT(ISERROR(SEARCH("PH",U108)))</formula>
    </cfRule>
    <cfRule type="containsText" dxfId="1613" priority="1534" operator="containsText" text="A">
      <formula>NOT(ISERROR(SEARCH("A",U108)))</formula>
    </cfRule>
    <cfRule type="containsBlanks" dxfId="1612" priority="1535">
      <formula>LEN(TRIM(U108))=0</formula>
    </cfRule>
    <cfRule type="containsText" dxfId="1611" priority="1537" operator="containsText" text="ML">
      <formula>NOT(ISERROR(SEARCH("ML",U108)))</formula>
    </cfRule>
    <cfRule type="containsText" dxfId="1610" priority="1532" operator="containsText" text="S">
      <formula>NOT(ISERROR(SEARCH("S",U108)))</formula>
    </cfRule>
    <cfRule type="containsText" dxfId="1609" priority="1531" operator="containsText" text="S">
      <formula>NOT(ISERROR(SEARCH("S",U108)))</formula>
    </cfRule>
  </conditionalFormatting>
  <conditionalFormatting sqref="U119:U123 H89:I89">
    <cfRule type="containsText" dxfId="1608" priority="506" operator="containsText" text="ID">
      <formula>NOT(ISERROR(SEARCH("ID",H89)))</formula>
    </cfRule>
    <cfRule type="containsText" dxfId="1607" priority="505" operator="containsText" text="ML">
      <formula>NOT(ISERROR(SEARCH("ML",H89)))</formula>
    </cfRule>
  </conditionalFormatting>
  <conditionalFormatting sqref="U129 AE5:AF5 AE12:AF12 AE16:AF16">
    <cfRule type="containsText" dxfId="1606" priority="1539" operator="containsText" text="ID">
      <formula>NOT(ISERROR(SEARCH("ID",U5)))</formula>
    </cfRule>
  </conditionalFormatting>
  <conditionalFormatting sqref="U129 AE12:AF12 AE16:AF16">
    <cfRule type="containsText" dxfId="1605" priority="1538" operator="containsText" text="ID">
      <formula>NOT(ISERROR(SEARCH("ID",U12)))</formula>
    </cfRule>
  </conditionalFormatting>
  <conditionalFormatting sqref="U129">
    <cfRule type="containsBlanks" dxfId="1604" priority="1515">
      <formula>LEN(TRIM(U129))=0</formula>
    </cfRule>
    <cfRule type="containsText" dxfId="1603" priority="1514" operator="containsText" text="A">
      <formula>NOT(ISERROR(SEARCH("A",U129)))</formula>
    </cfRule>
    <cfRule type="containsText" dxfId="1602" priority="1513" operator="containsText" text="PH">
      <formula>NOT(ISERROR(SEARCH("PH",U129)))</formula>
    </cfRule>
    <cfRule type="containsText" dxfId="1601" priority="1512" operator="containsText" text="S">
      <formula>NOT(ISERROR(SEARCH("S",U129)))</formula>
    </cfRule>
    <cfRule type="containsText" dxfId="1600" priority="1511" operator="containsText" text="S">
      <formula>NOT(ISERROR(SEARCH("S",U129)))</formula>
    </cfRule>
  </conditionalFormatting>
  <conditionalFormatting sqref="W21 W24 W58 W67 W72 W93 W97:W128">
    <cfRule type="containsText" dxfId="1599" priority="999" operator="containsText" text="PH">
      <formula>NOT(ISERROR(SEARCH("PH",W21)))</formula>
    </cfRule>
    <cfRule type="containsText" dxfId="1598" priority="1027" operator="containsText" text="ID">
      <formula>NOT(ISERROR(SEARCH("ID",W21)))</formula>
    </cfRule>
    <cfRule type="containsText" dxfId="1597" priority="1025" operator="containsText" text="ID">
      <formula>NOT(ISERROR(SEARCH("ID",W21)))</formula>
    </cfRule>
    <cfRule type="containsText" dxfId="1596" priority="1024" operator="containsText" text="ML">
      <formula>NOT(ISERROR(SEARCH("ML",W21)))</formula>
    </cfRule>
    <cfRule type="containsBlanks" dxfId="1595" priority="1023">
      <formula>LEN(TRIM(W21))=0</formula>
    </cfRule>
    <cfRule type="containsText" dxfId="1594" priority="1022" operator="containsText" text="A">
      <formula>NOT(ISERROR(SEARCH("A",W21)))</formula>
    </cfRule>
    <cfRule type="containsText" dxfId="1593" priority="1021" operator="containsText" text="PH">
      <formula>NOT(ISERROR(SEARCH("PH",W21)))</formula>
    </cfRule>
    <cfRule type="containsText" dxfId="1592" priority="1000" operator="containsText" text="A">
      <formula>NOT(ISERROR(SEARCH("A",W21)))</formula>
    </cfRule>
    <cfRule type="containsBlanks" dxfId="1591" priority="1001">
      <formula>LEN(TRIM(W21))=0</formula>
    </cfRule>
    <cfRule type="containsText" dxfId="1590" priority="1002" operator="containsText" text="v">
      <formula>NOT(ISERROR(SEARCH("v",W21)))</formula>
    </cfRule>
    <cfRule type="containsText" dxfId="1589" priority="1003" operator="containsText" text="S">
      <formula>NOT(ISERROR(SEARCH("S",W21)))</formula>
    </cfRule>
    <cfRule type="containsText" dxfId="1588" priority="1004" operator="containsText" text="ML">
      <formula>NOT(ISERROR(SEARCH("ML",W21)))</formula>
    </cfRule>
    <cfRule type="containsText" dxfId="1587" priority="1005" operator="containsText" text="ID">
      <formula>NOT(ISERROR(SEARCH("ID",W21)))</formula>
    </cfRule>
    <cfRule type="containsText" dxfId="1586" priority="1006" operator="containsText" text="ID">
      <formula>NOT(ISERROR(SEARCH("ID",W21)))</formula>
    </cfRule>
    <cfRule type="containsText" dxfId="1585" priority="1007" operator="containsText" text="S">
      <formula>NOT(ISERROR(SEARCH("S",W21)))</formula>
    </cfRule>
    <cfRule type="containsText" dxfId="1584" priority="1008" operator="containsText" text="S">
      <formula>NOT(ISERROR(SEARCH("S",W21)))</formula>
    </cfRule>
    <cfRule type="containsText" dxfId="1583" priority="1009" operator="containsText" text="PH">
      <formula>NOT(ISERROR(SEARCH("PH",W21)))</formula>
    </cfRule>
    <cfRule type="containsText" dxfId="1582" priority="1010" operator="containsText" text="A">
      <formula>NOT(ISERROR(SEARCH("A",W21)))</formula>
    </cfRule>
    <cfRule type="containsBlanks" dxfId="1581" priority="1011">
      <formula>LEN(TRIM(W21))=0</formula>
    </cfRule>
    <cfRule type="containsText" dxfId="1580" priority="1012" operator="containsText" text="ID">
      <formula>NOT(ISERROR(SEARCH("ID",W21)))</formula>
    </cfRule>
    <cfRule type="containsText" dxfId="1579" priority="1013" operator="containsText" text="ID">
      <formula>NOT(ISERROR(SEARCH("ID",W21)))</formula>
    </cfRule>
    <cfRule type="containsText" dxfId="1578" priority="1014" operator="containsText" text="S">
      <formula>NOT(ISERROR(SEARCH("S",W21)))</formula>
    </cfRule>
    <cfRule type="containsText" dxfId="1577" priority="1015" operator="containsText" text="ML">
      <formula>NOT(ISERROR(SEARCH("ML",W21)))</formula>
    </cfRule>
    <cfRule type="containsText" dxfId="1576" priority="1016" operator="containsText" text="ID">
      <formula>NOT(ISERROR(SEARCH("ID",W21)))</formula>
    </cfRule>
    <cfRule type="containsText" dxfId="1575" priority="1017" operator="containsText" text="ID">
      <formula>NOT(ISERROR(SEARCH("ID",W21)))</formula>
    </cfRule>
    <cfRule type="containsText" dxfId="1574" priority="1018" operator="containsText" text="ID">
      <formula>NOT(ISERROR(SEARCH("ID",W21)))</formula>
    </cfRule>
    <cfRule type="containsText" dxfId="1573" priority="1020" operator="containsText" text="S">
      <formula>NOT(ISERROR(SEARCH("S",W21)))</formula>
    </cfRule>
    <cfRule type="containsText" dxfId="1572" priority="992" operator="containsText" text="A">
      <formula>NOT(ISERROR(SEARCH("A",W21)))</formula>
    </cfRule>
    <cfRule type="containsText" dxfId="1571" priority="1019" operator="containsText" text="S">
      <formula>NOT(ISERROR(SEARCH("S",W21)))</formula>
    </cfRule>
    <cfRule type="containsText" dxfId="1570" priority="987" operator="containsText" text="ID">
      <formula>NOT(ISERROR(SEARCH("ID",W21)))</formula>
    </cfRule>
    <cfRule type="containsText" dxfId="1569" priority="988" operator="containsText" text="ID">
      <formula>NOT(ISERROR(SEARCH("ID",W21)))</formula>
    </cfRule>
    <cfRule type="containsText" dxfId="1568" priority="989" operator="containsText" text="S">
      <formula>NOT(ISERROR(SEARCH("S",W21)))</formula>
    </cfRule>
    <cfRule type="containsText" dxfId="1567" priority="990" operator="containsText" text="S">
      <formula>NOT(ISERROR(SEARCH("S",W21)))</formula>
    </cfRule>
    <cfRule type="containsText" dxfId="1566" priority="991" operator="containsText" text="PH">
      <formula>NOT(ISERROR(SEARCH("PH",W21)))</formula>
    </cfRule>
    <cfRule type="containsBlanks" dxfId="1565" priority="993">
      <formula>LEN(TRIM(W21))=0</formula>
    </cfRule>
    <cfRule type="containsText" dxfId="1564" priority="994" operator="containsText" text="ID">
      <formula>NOT(ISERROR(SEARCH("ID",W21)))</formula>
    </cfRule>
    <cfRule type="containsText" dxfId="1563" priority="995" operator="containsText" text="ID">
      <formula>NOT(ISERROR(SEARCH("ID",W21)))</formula>
    </cfRule>
    <cfRule type="containsText" dxfId="1562" priority="996" operator="containsText" text="ID">
      <formula>NOT(ISERROR(SEARCH("ID",W21)))</formula>
    </cfRule>
    <cfRule type="containsText" dxfId="1561" priority="997" operator="containsText" text="S">
      <formula>NOT(ISERROR(SEARCH("S",W21)))</formula>
    </cfRule>
    <cfRule type="containsText" dxfId="1560" priority="998" operator="containsText" text="S">
      <formula>NOT(ISERROR(SEARCH("S",W21)))</formula>
    </cfRule>
  </conditionalFormatting>
  <conditionalFormatting sqref="W21 W24 W58 W67 W72 W97:W128 AE97:AE128 W93">
    <cfRule type="containsText" dxfId="1559" priority="986" operator="containsText" text="ID">
      <formula>NOT(ISERROR(SEARCH("ID",W21)))</formula>
    </cfRule>
    <cfRule type="containsBlanks" dxfId="1558" priority="985">
      <formula>LEN(TRIM(W21))=0</formula>
    </cfRule>
  </conditionalFormatting>
  <conditionalFormatting sqref="W21 W24 W58 W67 W72 W99">
    <cfRule type="containsText" dxfId="1557" priority="984" operator="containsText" text="A">
      <formula>NOT(ISERROR(SEARCH("A",W21)))</formula>
    </cfRule>
    <cfRule type="containsText" dxfId="1556" priority="983" operator="containsText" text="PH">
      <formula>NOT(ISERROR(SEARCH("PH",W21)))</formula>
    </cfRule>
  </conditionalFormatting>
  <conditionalFormatting sqref="W21 W24 W58 W67">
    <cfRule type="containsText" dxfId="1555" priority="982" operator="containsText" text="S">
      <formula>NOT(ISERROR(SEARCH("S",W21)))</formula>
    </cfRule>
  </conditionalFormatting>
  <conditionalFormatting sqref="W21 AE21 W24 AE24 S88:X89 F88:Q89">
    <cfRule type="containsText" dxfId="1554" priority="2522" operator="containsText" text="ID">
      <formula>NOT(ISERROR(SEARCH("ID",F21)))</formula>
    </cfRule>
  </conditionalFormatting>
  <conditionalFormatting sqref="W67 W21 W24 W58">
    <cfRule type="containsText" dxfId="1553" priority="981" operator="containsText" text="S">
      <formula>NOT(ISERROR(SEARCH("S",W21)))</formula>
    </cfRule>
  </conditionalFormatting>
  <conditionalFormatting sqref="W67">
    <cfRule type="containsText" dxfId="1552" priority="979" operator="containsText" text="ID">
      <formula>NOT(ISERROR(SEARCH("ID",W67)))</formula>
    </cfRule>
    <cfRule type="containsText" dxfId="1551" priority="980" operator="containsText" text="ID">
      <formula>NOT(ISERROR(SEARCH("ID",W67)))</formula>
    </cfRule>
  </conditionalFormatting>
  <conditionalFormatting sqref="W112 W119:W122">
    <cfRule type="containsText" dxfId="1550" priority="356" operator="containsText" text="ID">
      <formula>NOT(ISERROR(SEARCH("ID",W112)))</formula>
    </cfRule>
    <cfRule type="containsText" dxfId="1549" priority="357" operator="containsText" text="S">
      <formula>NOT(ISERROR(SEARCH("S",W112)))</formula>
    </cfRule>
    <cfRule type="containsText" dxfId="1548" priority="358" operator="containsText" text="S">
      <formula>NOT(ISERROR(SEARCH("S",W112)))</formula>
    </cfRule>
    <cfRule type="containsText" dxfId="1547" priority="359" operator="containsText" text="PH">
      <formula>NOT(ISERROR(SEARCH("PH",W112)))</formula>
    </cfRule>
    <cfRule type="containsText" dxfId="1546" priority="360" operator="containsText" text="A">
      <formula>NOT(ISERROR(SEARCH("A",W112)))</formula>
    </cfRule>
    <cfRule type="containsBlanks" dxfId="1545" priority="361">
      <formula>LEN(TRIM(W112))=0</formula>
    </cfRule>
    <cfRule type="containsText" dxfId="1544" priority="362" operator="containsText" text="v">
      <formula>NOT(ISERROR(SEARCH("v",W112)))</formula>
    </cfRule>
    <cfRule type="containsText" dxfId="1543" priority="363" operator="containsText" text="S">
      <formula>NOT(ISERROR(SEARCH("S",W112)))</formula>
    </cfRule>
    <cfRule type="containsText" dxfId="1542" priority="364" operator="containsText" text="ML">
      <formula>NOT(ISERROR(SEARCH("ML",W112)))</formula>
    </cfRule>
    <cfRule type="containsText" dxfId="1541" priority="365" operator="containsText" text="ID">
      <formula>NOT(ISERROR(SEARCH("ID",W112)))</formula>
    </cfRule>
    <cfRule type="containsText" dxfId="1540" priority="366" operator="containsText" text="ID">
      <formula>NOT(ISERROR(SEARCH("ID",W112)))</formula>
    </cfRule>
    <cfRule type="containsText" dxfId="1539" priority="367" operator="containsText" text="S">
      <formula>NOT(ISERROR(SEARCH("S",W112)))</formula>
    </cfRule>
    <cfRule type="containsText" dxfId="1538" priority="368" operator="containsText" text="S">
      <formula>NOT(ISERROR(SEARCH("S",W112)))</formula>
    </cfRule>
    <cfRule type="containsText" dxfId="1537" priority="369" operator="containsText" text="PH">
      <formula>NOT(ISERROR(SEARCH("PH",W112)))</formula>
    </cfRule>
    <cfRule type="containsBlanks" dxfId="1536" priority="371">
      <formula>LEN(TRIM(W112))=0</formula>
    </cfRule>
    <cfRule type="containsText" dxfId="1535" priority="372" operator="containsText" text="ID">
      <formula>NOT(ISERROR(SEARCH("ID",W112)))</formula>
    </cfRule>
    <cfRule type="containsText" dxfId="1534" priority="373" operator="containsText" text="ID">
      <formula>NOT(ISERROR(SEARCH("ID",W112)))</formula>
    </cfRule>
    <cfRule type="containsText" dxfId="1533" priority="374" operator="containsText" text="S">
      <formula>NOT(ISERROR(SEARCH("S",W112)))</formula>
    </cfRule>
    <cfRule type="containsText" dxfId="1532" priority="375" operator="containsText" text="ML">
      <formula>NOT(ISERROR(SEARCH("ML",W112)))</formula>
    </cfRule>
    <cfRule type="containsText" dxfId="1531" priority="376" operator="containsText" text="ID">
      <formula>NOT(ISERROR(SEARCH("ID",W112)))</formula>
    </cfRule>
    <cfRule type="containsText" dxfId="1530" priority="377" operator="containsText" text="ID">
      <formula>NOT(ISERROR(SEARCH("ID",W112)))</formula>
    </cfRule>
    <cfRule type="containsText" dxfId="1529" priority="378" operator="containsText" text="ID">
      <formula>NOT(ISERROR(SEARCH("ID",W112)))</formula>
    </cfRule>
    <cfRule type="containsText" dxfId="1528" priority="379" operator="containsText" text="S">
      <formula>NOT(ISERROR(SEARCH("S",W112)))</formula>
    </cfRule>
    <cfRule type="containsText" dxfId="1527" priority="380" operator="containsText" text="S">
      <formula>NOT(ISERROR(SEARCH("S",W112)))</formula>
    </cfRule>
    <cfRule type="containsText" dxfId="1526" priority="381" operator="containsText" text="PH">
      <formula>NOT(ISERROR(SEARCH("PH",W112)))</formula>
    </cfRule>
    <cfRule type="containsText" dxfId="1525" priority="382" operator="containsText" text="A">
      <formula>NOT(ISERROR(SEARCH("A",W112)))</formula>
    </cfRule>
    <cfRule type="containsBlanks" dxfId="1524" priority="383">
      <formula>LEN(TRIM(W112))=0</formula>
    </cfRule>
    <cfRule type="containsText" dxfId="1523" priority="384" operator="containsText" text="ML">
      <formula>NOT(ISERROR(SEARCH("ML",W112)))</formula>
    </cfRule>
    <cfRule type="containsText" dxfId="1522" priority="385" operator="containsText" text="ID">
      <formula>NOT(ISERROR(SEARCH("ID",W112)))</formula>
    </cfRule>
    <cfRule type="containsText" dxfId="1521" priority="386" operator="containsText" text="ID">
      <formula>NOT(ISERROR(SEARCH("ID",W112)))</formula>
    </cfRule>
    <cfRule type="containsText" dxfId="1520" priority="348" operator="containsText" text="ID">
      <formula>NOT(ISERROR(SEARCH("ID",W112)))</formula>
    </cfRule>
    <cfRule type="containsText" dxfId="1519" priority="349" operator="containsText" text="S">
      <formula>NOT(ISERROR(SEARCH("S",W112)))</formula>
    </cfRule>
    <cfRule type="containsText" dxfId="1518" priority="350" operator="containsText" text="S">
      <formula>NOT(ISERROR(SEARCH("S",W112)))</formula>
    </cfRule>
    <cfRule type="containsText" dxfId="1517" priority="351" operator="containsText" text="PH">
      <formula>NOT(ISERROR(SEARCH("PH",W112)))</formula>
    </cfRule>
    <cfRule type="containsText" dxfId="1516" priority="339" operator="containsText" text="ID">
      <formula>NOT(ISERROR(SEARCH("ID",W112)))</formula>
    </cfRule>
    <cfRule type="containsText" dxfId="1515" priority="340" operator="containsText" text="ID">
      <formula>NOT(ISERROR(SEARCH("ID",W112)))</formula>
    </cfRule>
    <cfRule type="containsText" dxfId="1514" priority="341" operator="containsText" text="S">
      <formula>NOT(ISERROR(SEARCH("S",W112)))</formula>
    </cfRule>
    <cfRule type="containsText" dxfId="1513" priority="342" operator="containsText" text="S">
      <formula>NOT(ISERROR(SEARCH("S",W112)))</formula>
    </cfRule>
    <cfRule type="containsText" dxfId="1512" priority="343" operator="containsText" text="PH">
      <formula>NOT(ISERROR(SEARCH("PH",W112)))</formula>
    </cfRule>
    <cfRule type="containsText" dxfId="1511" priority="344" operator="containsText" text="A">
      <formula>NOT(ISERROR(SEARCH("A",W112)))</formula>
    </cfRule>
    <cfRule type="containsBlanks" dxfId="1510" priority="345">
      <formula>LEN(TRIM(W112))=0</formula>
    </cfRule>
    <cfRule type="containsText" dxfId="1509" priority="346" operator="containsText" text="ID">
      <formula>NOT(ISERROR(SEARCH("ID",W112)))</formula>
    </cfRule>
    <cfRule type="containsText" dxfId="1508" priority="347" operator="containsText" text="ID">
      <formula>NOT(ISERROR(SEARCH("ID",W112)))</formula>
    </cfRule>
    <cfRule type="containsText" dxfId="1507" priority="352" operator="containsText" text="A">
      <formula>NOT(ISERROR(SEARCH("A",W112)))</formula>
    </cfRule>
    <cfRule type="containsBlanks" dxfId="1506" priority="353">
      <formula>LEN(TRIM(W112))=0</formula>
    </cfRule>
    <cfRule type="containsText" dxfId="1505" priority="354" operator="containsText" text="ID">
      <formula>NOT(ISERROR(SEARCH("ID",W112)))</formula>
    </cfRule>
    <cfRule type="containsText" dxfId="1504" priority="355" operator="containsText" text="ID">
      <formula>NOT(ISERROR(SEARCH("ID",W112)))</formula>
    </cfRule>
    <cfRule type="containsText" dxfId="1503" priority="370" operator="containsText" text="A">
      <formula>NOT(ISERROR(SEARCH("A",W112)))</formula>
    </cfRule>
  </conditionalFormatting>
  <conditionalFormatting sqref="X118:Y123">
    <cfRule type="containsText" dxfId="1502" priority="2092" operator="containsText" text="ID">
      <formula>NOT(ISERROR(SEARCH("ID",X118)))</formula>
    </cfRule>
    <cfRule type="containsText" dxfId="1501" priority="2093" operator="containsText" text="ID">
      <formula>NOT(ISERROR(SEARCH("ID",X118)))</formula>
    </cfRule>
    <cfRule type="containsText" dxfId="1500" priority="2094" operator="containsText" text="S">
      <formula>NOT(ISERROR(SEARCH("S",X118)))</formula>
    </cfRule>
    <cfRule type="containsText" dxfId="1499" priority="2095" operator="containsText" text="PH">
      <formula>NOT(ISERROR(SEARCH("PH",X118)))</formula>
    </cfRule>
    <cfRule type="containsText" dxfId="1498" priority="2096" operator="containsText" text="A">
      <formula>NOT(ISERROR(SEARCH("A",X118)))</formula>
    </cfRule>
    <cfRule type="containsBlanks" dxfId="1497" priority="2097">
      <formula>LEN(TRIM(X118))=0</formula>
    </cfRule>
  </conditionalFormatting>
  <conditionalFormatting sqref="Y119:AI120">
    <cfRule type="containsBlanks" dxfId="1496" priority="9">
      <formula>LEN(TRIM(Y119))=0</formula>
    </cfRule>
    <cfRule type="containsText" dxfId="1495" priority="10" operator="containsText" text="ID">
      <formula>NOT(ISERROR(SEARCH("ID",Y119)))</formula>
    </cfRule>
    <cfRule type="containsText" dxfId="1494" priority="11" operator="containsText" text="A">
      <formula>NOT(ISERROR(SEARCH("A",Y119)))</formula>
    </cfRule>
  </conditionalFormatting>
  <conditionalFormatting sqref="Z5:Z7 Z9:Z12 Z21 Z24 Z26 Z58 Z64 Z124">
    <cfRule type="containsText" dxfId="1493" priority="1961" operator="containsText" text="ID">
      <formula>NOT(ISERROR(SEARCH("ID",Z5)))</formula>
    </cfRule>
    <cfRule type="containsText" dxfId="1492" priority="1962" operator="containsText" text="ID">
      <formula>NOT(ISERROR(SEARCH("ID",Z5)))</formula>
    </cfRule>
    <cfRule type="containsText" dxfId="1491" priority="1963" operator="containsText" text="S">
      <formula>NOT(ISERROR(SEARCH("S",Z5)))</formula>
    </cfRule>
  </conditionalFormatting>
  <conditionalFormatting sqref="Z5:Z7 Z9:Z12 Z21 Z24 Z26 Z58 Z64">
    <cfRule type="containsText" dxfId="1490" priority="1959" operator="containsText" text="S">
      <formula>NOT(ISERROR(SEARCH("S",Z5)))</formula>
    </cfRule>
  </conditionalFormatting>
  <conditionalFormatting sqref="Z6 R88:R89 Y88:Z89 Z113:Z114">
    <cfRule type="containsText" dxfId="1489" priority="280" operator="containsText" text="PH">
      <formula>NOT(ISERROR(SEARCH("PH",R6)))</formula>
    </cfRule>
  </conditionalFormatting>
  <conditionalFormatting sqref="Z6 Z113:Z114 R6 R113:R114">
    <cfRule type="containsText" dxfId="1488" priority="1825" operator="containsText" text="ID">
      <formula>NOT(ISERROR(SEARCH("ID",R6)))</formula>
    </cfRule>
  </conditionalFormatting>
  <conditionalFormatting sqref="Z6 Z113:Z114 R6">
    <cfRule type="containsText" dxfId="1487" priority="1824" operator="containsText" text="ID">
      <formula>NOT(ISERROR(SEARCH("ID",R6)))</formula>
    </cfRule>
  </conditionalFormatting>
  <conditionalFormatting sqref="Z7 Z9:Z12 Z26 Z129 Z64">
    <cfRule type="containsText" dxfId="1486" priority="1968" operator="containsText" text="ML">
      <formula>NOT(ISERROR(SEARCH("ML",Z7)))</formula>
    </cfRule>
  </conditionalFormatting>
  <conditionalFormatting sqref="Z38 K64:M64 AE118:AF123 Z119:Z120">
    <cfRule type="containsText" dxfId="1485" priority="740" operator="containsText" text="PH">
      <formula>NOT(ISERROR(SEARCH("PH",K38)))</formula>
    </cfRule>
  </conditionalFormatting>
  <conditionalFormatting sqref="Z38 Z78:Z83 L108:N108 Z110:Z111 Z119:Z122">
    <cfRule type="containsText" dxfId="1484" priority="2501" operator="containsText" text="S">
      <formula>NOT(ISERROR(SEARCH("S",L38)))</formula>
    </cfRule>
    <cfRule type="containsText" dxfId="1483" priority="2500" operator="containsText" text="ID">
      <formula>NOT(ISERROR(SEARCH("ID",L38)))</formula>
    </cfRule>
  </conditionalFormatting>
  <conditionalFormatting sqref="Z79">
    <cfRule type="containsText" dxfId="1482" priority="735" operator="containsText" text="ID">
      <formula>NOT(ISERROR(SEARCH("ID",Z79)))</formula>
    </cfRule>
    <cfRule type="containsText" dxfId="1481" priority="736" operator="containsText" text="S">
      <formula>NOT(ISERROR(SEARCH("S",Z79)))</formula>
    </cfRule>
    <cfRule type="containsText" dxfId="1480" priority="737" operator="containsText" text="PH">
      <formula>NOT(ISERROR(SEARCH("PH",Z79)))</formula>
    </cfRule>
  </conditionalFormatting>
  <conditionalFormatting sqref="Z104:Z112 Z119:Z123">
    <cfRule type="containsText" dxfId="1479" priority="1767" operator="containsText" text="S">
      <formula>NOT(ISERROR(SEARCH("S",Z104)))</formula>
    </cfRule>
    <cfRule type="containsText" dxfId="1478" priority="1914" operator="containsText" text="A">
      <formula>NOT(ISERROR(SEARCH("A",Z104)))</formula>
    </cfRule>
    <cfRule type="containsText" dxfId="1477" priority="1902" operator="containsText" text="ID">
      <formula>NOT(ISERROR(SEARCH("ID",Z104)))</formula>
    </cfRule>
    <cfRule type="containsText" dxfId="1476" priority="1901" operator="containsText" text="ID">
      <formula>NOT(ISERROR(SEARCH("ID",Z104)))</formula>
    </cfRule>
    <cfRule type="containsBlanks" dxfId="1475" priority="1928">
      <formula>LEN(TRIM(Z104))=0</formula>
    </cfRule>
    <cfRule type="containsText" dxfId="1474" priority="1929" operator="containsText" text="S">
      <formula>NOT(ISERROR(SEARCH("S",Z104)))</formula>
    </cfRule>
    <cfRule type="containsText" dxfId="1473" priority="1776" operator="containsText" text="S">
      <formula>NOT(ISERROR(SEARCH("S",Z104)))</formula>
    </cfRule>
    <cfRule type="containsText" dxfId="1472" priority="1785" operator="containsText" text="S">
      <formula>NOT(ISERROR(SEARCH("S",Z104)))</formula>
    </cfRule>
    <cfRule type="containsBlanks" dxfId="1471" priority="1784">
      <formula>LEN(TRIM(Z104))=0</formula>
    </cfRule>
    <cfRule type="containsText" dxfId="1470" priority="1783" operator="containsText" text="A">
      <formula>NOT(ISERROR(SEARCH("A",Z104)))</formula>
    </cfRule>
    <cfRule type="containsBlanks" dxfId="1469" priority="1915">
      <formula>LEN(TRIM(Z104))=0</formula>
    </cfRule>
    <cfRule type="containsText" dxfId="1468" priority="1782" operator="containsText" text="PH">
      <formula>NOT(ISERROR(SEARCH("PH",Z104)))</formula>
    </cfRule>
    <cfRule type="containsText" dxfId="1467" priority="1905" operator="containsText" text="ML">
      <formula>NOT(ISERROR(SEARCH("ML",Z104)))</formula>
    </cfRule>
    <cfRule type="containsText" dxfId="1466" priority="1913" operator="containsText" text="PH">
      <formula>NOT(ISERROR(SEARCH("PH",Z104)))</formula>
    </cfRule>
    <cfRule type="containsText" dxfId="1465" priority="1920" operator="containsText" text="S">
      <formula>NOT(ISERROR(SEARCH("S",Z104)))</formula>
    </cfRule>
    <cfRule type="containsText" dxfId="1464" priority="1921" operator="containsText" text="PH">
      <formula>NOT(ISERROR(SEARCH("PH",Z104)))</formula>
    </cfRule>
    <cfRule type="containsText" dxfId="1463" priority="1922" operator="containsText" text="A">
      <formula>NOT(ISERROR(SEARCH("A",Z104)))</formula>
    </cfRule>
    <cfRule type="containsBlanks" dxfId="1462" priority="1923">
      <formula>LEN(TRIM(Z104))=0</formula>
    </cfRule>
    <cfRule type="containsText" dxfId="1461" priority="1757" operator="containsText" text="ID">
      <formula>NOT(ISERROR(SEARCH("ID",Z104)))</formula>
    </cfRule>
    <cfRule type="containsText" dxfId="1460" priority="1758" operator="containsText" text="ID">
      <formula>NOT(ISERROR(SEARCH("ID",Z104)))</formula>
    </cfRule>
    <cfRule type="containsText" dxfId="1459" priority="1759" operator="containsText" text="ID">
      <formula>NOT(ISERROR(SEARCH("ID",Z104)))</formula>
    </cfRule>
    <cfRule type="containsText" dxfId="1458" priority="1760" operator="containsText" text="S">
      <formula>NOT(ISERROR(SEARCH("S",Z104)))</formula>
    </cfRule>
    <cfRule type="containsText" dxfId="1457" priority="1761" operator="containsText" text="ML">
      <formula>NOT(ISERROR(SEARCH("ML",Z104)))</formula>
    </cfRule>
    <cfRule type="containsText" dxfId="1456" priority="1762" operator="containsText" text="S">
      <formula>NOT(ISERROR(SEARCH("S",Z104)))</formula>
    </cfRule>
    <cfRule type="containsText" dxfId="1455" priority="1763" operator="containsText" text="ML">
      <formula>NOT(ISERROR(SEARCH("ML",Z104)))</formula>
    </cfRule>
    <cfRule type="containsText" dxfId="1454" priority="1764" operator="containsText" text="ID">
      <formula>NOT(ISERROR(SEARCH("ID",Z104)))</formula>
    </cfRule>
    <cfRule type="containsText" dxfId="1453" priority="1765" operator="containsText" text="ID">
      <formula>NOT(ISERROR(SEARCH("ID",Z104)))</formula>
    </cfRule>
    <cfRule type="containsText" dxfId="1452" priority="1766" operator="containsText" text="ID">
      <formula>NOT(ISERROR(SEARCH("ID",Z104)))</formula>
    </cfRule>
    <cfRule type="containsText" dxfId="1451" priority="1910" operator="containsText" text="ID">
      <formula>NOT(ISERROR(SEARCH("ID",Z104)))</formula>
    </cfRule>
    <cfRule type="containsText" dxfId="1450" priority="1768" operator="containsText" text="S">
      <formula>NOT(ISERROR(SEARCH("S",Z104)))</formula>
    </cfRule>
    <cfRule type="containsText" dxfId="1449" priority="1769" operator="containsText" text="PH">
      <formula>NOT(ISERROR(SEARCH("PH",Z104)))</formula>
    </cfRule>
    <cfRule type="containsText" dxfId="1448" priority="1770" operator="containsText" text="A">
      <formula>NOT(ISERROR(SEARCH("A",Z104)))</formula>
    </cfRule>
    <cfRule type="containsBlanks" dxfId="1447" priority="1771">
      <formula>LEN(TRIM(Z104))=0</formula>
    </cfRule>
    <cfRule type="containsText" dxfId="1446" priority="1772" operator="containsText" text="ID">
      <formula>NOT(ISERROR(SEARCH("ID",Z104)))</formula>
    </cfRule>
    <cfRule type="containsText" dxfId="1445" priority="1773" operator="containsText" text="ML">
      <formula>NOT(ISERROR(SEARCH("ML",Z104)))</formula>
    </cfRule>
    <cfRule type="containsText" dxfId="1444" priority="1774" operator="containsText" text="ID">
      <formula>NOT(ISERROR(SEARCH("ID",Z104)))</formula>
    </cfRule>
    <cfRule type="containsText" dxfId="1443" priority="1775" operator="containsText" text="ID">
      <formula>NOT(ISERROR(SEARCH("ID",Z104)))</formula>
    </cfRule>
    <cfRule type="containsText" dxfId="1442" priority="1777" operator="containsText" text="PH">
      <formula>NOT(ISERROR(SEARCH("PH",Z104)))</formula>
    </cfRule>
    <cfRule type="containsText" dxfId="1441" priority="1778" operator="containsText" text="A">
      <formula>NOT(ISERROR(SEARCH("A",Z104)))</formula>
    </cfRule>
    <cfRule type="containsBlanks" dxfId="1440" priority="1779">
      <formula>LEN(TRIM(Z104))=0</formula>
    </cfRule>
    <cfRule type="containsText" dxfId="1439" priority="1780" operator="containsText" text="S">
      <formula>NOT(ISERROR(SEARCH("S",Z104)))</formula>
    </cfRule>
    <cfRule type="containsText" dxfId="1438" priority="1781" operator="containsText" text="S">
      <formula>NOT(ISERROR(SEARCH("S",Z104)))</formula>
    </cfRule>
    <cfRule type="containsText" dxfId="1437" priority="1925" operator="containsText" text="S">
      <formula>NOT(ISERROR(SEARCH("S",Z104)))</formula>
    </cfRule>
    <cfRule type="containsText" dxfId="1436" priority="1926" operator="containsText" text="PH">
      <formula>NOT(ISERROR(SEARCH("PH",Z104)))</formula>
    </cfRule>
    <cfRule type="containsText" dxfId="1435" priority="1927" operator="containsText" text="A">
      <formula>NOT(ISERROR(SEARCH("A",Z104)))</formula>
    </cfRule>
    <cfRule type="containsText" dxfId="1434" priority="1909" operator="containsText" text="ID">
      <formula>NOT(ISERROR(SEARCH("ID",Z104)))</formula>
    </cfRule>
    <cfRule type="containsText" dxfId="1433" priority="1908" operator="containsText" text="ID">
      <formula>NOT(ISERROR(SEARCH("ID",Z104)))</formula>
    </cfRule>
    <cfRule type="containsText" dxfId="1432" priority="1907" operator="containsText" text="ML">
      <formula>NOT(ISERROR(SEARCH("ML",Z104)))</formula>
    </cfRule>
    <cfRule type="containsText" dxfId="1431" priority="1904" operator="containsText" text="S">
      <formula>NOT(ISERROR(SEARCH("S",Z104)))</formula>
    </cfRule>
    <cfRule type="containsText" dxfId="1430" priority="1903" operator="containsText" text="ID">
      <formula>NOT(ISERROR(SEARCH("ID",Z104)))</formula>
    </cfRule>
  </conditionalFormatting>
  <conditionalFormatting sqref="Z104:Z114 Z119:Z123">
    <cfRule type="containsText" dxfId="1429" priority="1906" operator="containsText" text="S">
      <formula>NOT(ISERROR(SEARCH("S",Z104)))</formula>
    </cfRule>
  </conditionalFormatting>
  <conditionalFormatting sqref="Z110">
    <cfRule type="containsText" dxfId="1428" priority="1965" operator="containsText" text="PH">
      <formula>NOT(ISERROR(SEARCH("PH",Z110)))</formula>
    </cfRule>
    <cfRule type="containsText" dxfId="1427" priority="1964" operator="containsText" text="S">
      <formula>NOT(ISERROR(SEARCH("S",Z110)))</formula>
    </cfRule>
    <cfRule type="containsText" dxfId="1426" priority="1960" operator="containsText" text="ID">
      <formula>NOT(ISERROR(SEARCH("ID",Z110)))</formula>
    </cfRule>
  </conditionalFormatting>
  <conditionalFormatting sqref="Z119:Z123 Z104:Z112">
    <cfRule type="containsText" dxfId="1425" priority="1918" operator="containsText" text="ID">
      <formula>NOT(ISERROR(SEARCH("ID",Z104)))</formula>
    </cfRule>
    <cfRule type="containsText" dxfId="1424" priority="1912" operator="containsText" text="S">
      <formula>NOT(ISERROR(SEARCH("S",Z104)))</formula>
    </cfRule>
    <cfRule type="containsText" dxfId="1423" priority="1917" operator="containsText" text="ML">
      <formula>NOT(ISERROR(SEARCH("ML",Z104)))</formula>
    </cfRule>
  </conditionalFormatting>
  <conditionalFormatting sqref="Z119:Z123">
    <cfRule type="containsText" dxfId="1422" priority="1916" operator="containsText" text="ID">
      <formula>NOT(ISERROR(SEARCH("ID",Z119)))</formula>
    </cfRule>
  </conditionalFormatting>
  <conditionalFormatting sqref="Z119:Z124">
    <cfRule type="containsText" dxfId="1421" priority="1911" operator="containsText" text="S">
      <formula>NOT(ISERROR(SEARCH("S",Z119)))</formula>
    </cfRule>
  </conditionalFormatting>
  <conditionalFormatting sqref="Z129 Z7 Z9:Z12 Z26">
    <cfRule type="containsBlanks" dxfId="1420" priority="1967">
      <formula>LEN(TRIM(Z7))=0</formula>
    </cfRule>
  </conditionalFormatting>
  <conditionalFormatting sqref="Z129">
    <cfRule type="containsText" dxfId="1419" priority="1966" operator="containsText" text="A">
      <formula>NOT(ISERROR(SEARCH("A",Z129)))</formula>
    </cfRule>
  </conditionalFormatting>
  <conditionalFormatting sqref="Z6:AA6 Z113:AA114">
    <cfRule type="containsText" dxfId="1418" priority="1820" operator="containsText" text="ID">
      <formula>NOT(ISERROR(SEARCH("ID",Z6)))</formula>
    </cfRule>
    <cfRule type="containsText" dxfId="1417" priority="1821" operator="containsText" text="S">
      <formula>NOT(ISERROR(SEARCH("S",Z6)))</formula>
    </cfRule>
    <cfRule type="containsText" dxfId="1416" priority="1823" operator="containsText" text="A">
      <formula>NOT(ISERROR(SEARCH("A",Z6)))</formula>
    </cfRule>
    <cfRule type="containsText" dxfId="1415" priority="1822" operator="containsText" text="PH">
      <formula>NOT(ISERROR(SEARCH("PH",Z6)))</formula>
    </cfRule>
    <cfRule type="containsText" dxfId="1414" priority="1819" operator="containsText" text="S">
      <formula>NOT(ISERROR(SEARCH("S",Z6)))</formula>
    </cfRule>
  </conditionalFormatting>
  <conditionalFormatting sqref="Z104:AA112 Z119:AA123">
    <cfRule type="containsText" dxfId="1413" priority="1786" operator="containsText" text="ID">
      <formula>NOT(ISERROR(SEARCH("ID",Z104)))</formula>
    </cfRule>
    <cfRule type="containsText" dxfId="1412" priority="1788" operator="containsText" text="PH">
      <formula>NOT(ISERROR(SEARCH("PH",Z104)))</formula>
    </cfRule>
    <cfRule type="containsBlanks" dxfId="1411" priority="1790">
      <formula>LEN(TRIM(Z104))=0</formula>
    </cfRule>
    <cfRule type="containsText" dxfId="1410" priority="1789" operator="containsText" text="A">
      <formula>NOT(ISERROR(SEARCH("A",Z104)))</formula>
    </cfRule>
    <cfRule type="containsText" dxfId="1409" priority="1787" operator="containsText" text="S">
      <formula>NOT(ISERROR(SEARCH("S",Z104)))</formula>
    </cfRule>
  </conditionalFormatting>
  <conditionalFormatting sqref="Z112:AE112 Z119:AE122 AE84 W112:X112 W119:X122">
    <cfRule type="containsText" dxfId="1408" priority="542" operator="containsText" text="ID">
      <formula>NOT(ISERROR(SEARCH("ID",W84)))</formula>
    </cfRule>
    <cfRule type="containsText" dxfId="1407" priority="541" operator="containsText" text="ML">
      <formula>NOT(ISERROR(SEARCH("ML",W84)))</formula>
    </cfRule>
  </conditionalFormatting>
  <conditionalFormatting sqref="AA14:AC14">
    <cfRule type="containsText" dxfId="1406" priority="2325" operator="containsText" text="A">
      <formula>NOT(ISERROR(SEARCH("A",AA14)))</formula>
    </cfRule>
    <cfRule type="containsText" dxfId="1405" priority="2324" operator="containsText" text="PH">
      <formula>NOT(ISERROR(SEARCH("PH",AA14)))</formula>
    </cfRule>
    <cfRule type="containsText" dxfId="1404" priority="2323" operator="containsText" text="S">
      <formula>NOT(ISERROR(SEARCH("S",AA14)))</formula>
    </cfRule>
    <cfRule type="containsBlanks" dxfId="1403" priority="2326">
      <formula>LEN(TRIM(AA14))=0</formula>
    </cfRule>
  </conditionalFormatting>
  <conditionalFormatting sqref="AA14:AG14">
    <cfRule type="containsText" dxfId="1402" priority="2319" operator="containsText" text="ML">
      <formula>NOT(ISERROR(SEARCH("ML",AA14)))</formula>
    </cfRule>
  </conditionalFormatting>
  <conditionalFormatting sqref="AA5:AI5 AA7:AI7 AA9:AI12 AA21:AI21 AA24:AI24 AA26:AI26 AA58:AI58 AA64:AI64">
    <cfRule type="containsText" dxfId="1401" priority="2312" operator="containsText" text="ID">
      <formula>NOT(ISERROR(SEARCH("ID",AA5)))</formula>
    </cfRule>
    <cfRule type="containsText" dxfId="1400" priority="2313" operator="containsText" text="ID">
      <formula>NOT(ISERROR(SEARCH("ID",AA5)))</formula>
    </cfRule>
    <cfRule type="containsText" dxfId="1399" priority="2310" operator="containsText" text="ML">
      <formula>NOT(ISERROR(SEARCH("ML",AA5)))</formula>
    </cfRule>
    <cfRule type="containsText" dxfId="1398" priority="2314" operator="containsText" text="S">
      <formula>NOT(ISERROR(SEARCH("S",AA5)))</formula>
    </cfRule>
    <cfRule type="containsText" dxfId="1397" priority="2315" operator="containsText" text="S">
      <formula>NOT(ISERROR(SEARCH("S",AA5)))</formula>
    </cfRule>
    <cfRule type="containsText" dxfId="1396" priority="2316" operator="containsText" text="PH">
      <formula>NOT(ISERROR(SEARCH("PH",AA5)))</formula>
    </cfRule>
    <cfRule type="containsText" dxfId="1395" priority="2317" operator="containsText" text="A">
      <formula>NOT(ISERROR(SEARCH("A",AA5)))</formula>
    </cfRule>
    <cfRule type="containsBlanks" dxfId="1394" priority="2318">
      <formula>LEN(TRIM(AA5))=0</formula>
    </cfRule>
  </conditionalFormatting>
  <conditionalFormatting sqref="AA72:AI83 H76:J76">
    <cfRule type="containsText" dxfId="1393" priority="2059" operator="containsText" text="PH">
      <formula>NOT(ISERROR(SEARCH("PH",H72)))</formula>
    </cfRule>
    <cfRule type="containsText" dxfId="1392" priority="2056" operator="containsText" text="ID">
      <formula>NOT(ISERROR(SEARCH("ID",H72)))</formula>
    </cfRule>
    <cfRule type="containsText" dxfId="1391" priority="2055" operator="containsText" text="ID">
      <formula>NOT(ISERROR(SEARCH("ID",H72)))</formula>
    </cfRule>
    <cfRule type="containsText" dxfId="1390" priority="2060" operator="containsText" text="A">
      <formula>NOT(ISERROR(SEARCH("A",H72)))</formula>
    </cfRule>
    <cfRule type="containsText" dxfId="1389" priority="2057" operator="containsText" text="S">
      <formula>NOT(ISERROR(SEARCH("S",H72)))</formula>
    </cfRule>
    <cfRule type="containsText" dxfId="1388" priority="2058" operator="containsText" text="S">
      <formula>NOT(ISERROR(SEARCH("S",H72)))</formula>
    </cfRule>
    <cfRule type="containsBlanks" dxfId="1387" priority="2061">
      <formula>LEN(TRIM(H72))=0</formula>
    </cfRule>
  </conditionalFormatting>
  <conditionalFormatting sqref="AA85:AI129 H89:I89 H98:M129 U104:U112 U119:U123">
    <cfRule type="containsText" dxfId="1386" priority="509" operator="containsText" text="S">
      <formula>NOT(ISERROR(SEARCH("S",H85)))</formula>
    </cfRule>
    <cfRule type="containsText" dxfId="1385" priority="510" operator="containsText" text="S">
      <formula>NOT(ISERROR(SEARCH("S",H85)))</formula>
    </cfRule>
    <cfRule type="containsText" dxfId="1384" priority="511" operator="containsText" text="PH">
      <formula>NOT(ISERROR(SEARCH("PH",H85)))</formula>
    </cfRule>
    <cfRule type="containsText" dxfId="1383" priority="512" operator="containsText" text="A">
      <formula>NOT(ISERROR(SEARCH("A",H85)))</formula>
    </cfRule>
    <cfRule type="containsText" dxfId="1382" priority="508" operator="containsText" text="ID">
      <formula>NOT(ISERROR(SEARCH("ID",H85)))</formula>
    </cfRule>
    <cfRule type="containsBlanks" dxfId="1381" priority="513">
      <formula>LEN(TRIM(H85))=0</formula>
    </cfRule>
  </conditionalFormatting>
  <conditionalFormatting sqref="AB93:AI96">
    <cfRule type="containsText" dxfId="1380" priority="712" operator="containsText" text="ID">
      <formula>NOT(ISERROR(SEARCH("ID",AB93)))</formula>
    </cfRule>
    <cfRule type="containsText" dxfId="1379" priority="714" operator="containsText" text="ID">
      <formula>NOT(ISERROR(SEARCH("ID",AB93)))</formula>
    </cfRule>
    <cfRule type="containsText" dxfId="1378" priority="713" operator="containsText" text="S">
      <formula>NOT(ISERROR(SEARCH("S",AB93)))</formula>
    </cfRule>
    <cfRule type="containsText" dxfId="1377" priority="711" operator="containsText" text="ML">
      <formula>NOT(ISERROR(SEARCH("ML",AB93)))</formula>
    </cfRule>
  </conditionalFormatting>
  <conditionalFormatting sqref="AC14">
    <cfRule type="containsText" dxfId="1376" priority="1480" operator="containsText" text="ML">
      <formula>NOT(ISERROR(SEARCH("ML",AC14)))</formula>
    </cfRule>
  </conditionalFormatting>
  <conditionalFormatting sqref="AC108">
    <cfRule type="containsText" dxfId="1375" priority="1491" operator="containsText" text="ID">
      <formula>NOT(ISERROR(SEARCH("ID",AC108)))</formula>
    </cfRule>
    <cfRule type="containsText" dxfId="1374" priority="1492" operator="containsText" text="ID">
      <formula>NOT(ISERROR(SEARCH("ID",AC108)))</formula>
    </cfRule>
    <cfRule type="containsText" dxfId="1373" priority="1493" operator="containsText" text="ID">
      <formula>NOT(ISERROR(SEARCH("ID",AC108)))</formula>
    </cfRule>
    <cfRule type="containsText" dxfId="1372" priority="1494" operator="containsText" text="S">
      <formula>NOT(ISERROR(SEARCH("S",AC108)))</formula>
    </cfRule>
    <cfRule type="containsText" dxfId="1371" priority="1497" operator="containsText" text="A">
      <formula>NOT(ISERROR(SEARCH("A",AC108)))</formula>
    </cfRule>
    <cfRule type="containsBlanks" dxfId="1370" priority="1498">
      <formula>LEN(TRIM(AC108))=0</formula>
    </cfRule>
    <cfRule type="containsText" dxfId="1369" priority="1500" operator="containsText" text="ML">
      <formula>NOT(ISERROR(SEARCH("ML",AC108)))</formula>
    </cfRule>
    <cfRule type="containsText" dxfId="1368" priority="1495" operator="containsText" text="S">
      <formula>NOT(ISERROR(SEARCH("S",AC108)))</formula>
    </cfRule>
    <cfRule type="containsText" dxfId="1367" priority="1496" operator="containsText" text="PH">
      <formula>NOT(ISERROR(SEARCH("PH",AC108)))</formula>
    </cfRule>
  </conditionalFormatting>
  <conditionalFormatting sqref="AC124">
    <cfRule type="containsText" dxfId="1366" priority="1488" operator="containsText" text="S">
      <formula>NOT(ISERROR(SEARCH("S",AC124)))</formula>
    </cfRule>
    <cfRule type="containsText" dxfId="1365" priority="1490" operator="containsText" text="ID">
      <formula>NOT(ISERROR(SEARCH("ID",AC124)))</formula>
    </cfRule>
  </conditionalFormatting>
  <conditionalFormatting sqref="AC7:AI7 AC9:AI12 AC26:AI26 W67:AI67 R88:R89 Y88:Z89 AE93 AC114:AI114 AC129:AI129">
    <cfRule type="containsBlanks" dxfId="1364" priority="282">
      <formula>LEN(TRIM(R7))=0</formula>
    </cfRule>
  </conditionalFormatting>
  <conditionalFormatting sqref="AC93:AI96">
    <cfRule type="containsText" dxfId="1363" priority="1473" operator="containsText" text="ID">
      <formula>NOT(ISERROR(SEARCH("ID",AC93)))</formula>
    </cfRule>
    <cfRule type="containsBlanks" dxfId="1362" priority="1478">
      <formula>LEN(TRIM(AC93))=0</formula>
    </cfRule>
    <cfRule type="containsText" dxfId="1361" priority="1474" operator="containsText" text="S">
      <formula>NOT(ISERROR(SEARCH("S",AC93)))</formula>
    </cfRule>
    <cfRule type="containsText" dxfId="1360" priority="1475" operator="containsText" text="S">
      <formula>NOT(ISERROR(SEARCH("S",AC93)))</formula>
    </cfRule>
    <cfRule type="containsText" dxfId="1359" priority="1476" operator="containsText" text="PH">
      <formula>NOT(ISERROR(SEARCH("PH",AC93)))</formula>
    </cfRule>
    <cfRule type="containsText" dxfId="1358" priority="1477" operator="containsText" text="A">
      <formula>NOT(ISERROR(SEARCH("A",AC93)))</formula>
    </cfRule>
  </conditionalFormatting>
  <conditionalFormatting sqref="AD5 AF5:AH5 H5:H7 H9:H12 AD12 AF12:AH12 H21 AD21 AF21:AH21 H24 AD24 AF24:AH24 H26 AF26 H58 AD58 AF58:AH58 H64 AF64 K72:M72 AD72 AF72:AH72 AD93 AF93:AH93 N93:N96 U93:U96">
    <cfRule type="containsText" dxfId="1357" priority="1867" operator="containsText" text="PH">
      <formula>NOT(ISERROR(SEARCH("PH",H5)))</formula>
    </cfRule>
    <cfRule type="containsText" dxfId="1356" priority="1866" operator="containsText" text="S">
      <formula>NOT(ISERROR(SEARCH("S",H5)))</formula>
    </cfRule>
    <cfRule type="containsText" dxfId="1355" priority="1868" operator="containsText" text="A">
      <formula>NOT(ISERROR(SEARCH("A",H5)))</formula>
    </cfRule>
    <cfRule type="containsBlanks" dxfId="1354" priority="1869">
      <formula>LEN(TRIM(H5))=0</formula>
    </cfRule>
  </conditionalFormatting>
  <conditionalFormatting sqref="AD5 AF5:AH5 H7 H9:H12 AD12 AF12:AH12 H21 AD21 AF21:AH21 H24 AD24 AF24:AH24 H26 AF26 H58 AD58 AF58:AH58 H64 AF64 H124 K72:M72 AD72 AF72:AH72 AD99 AF99:AH99 AF124">
    <cfRule type="containsText" dxfId="1353" priority="1864" operator="containsText" text="ID">
      <formula>NOT(ISERROR(SEARCH("ID",H5)))</formula>
    </cfRule>
  </conditionalFormatting>
  <conditionalFormatting sqref="AD5 AF5:AH5 H7 H9:H12 AD12 AF12:AH12 H21 AD21 AF21:AH21 H24 AD24 AF24:AH24 H26 AF26 H58 AD58 AF58:AH58 H64 AF64 H124">
    <cfRule type="containsText" dxfId="1352" priority="1863" operator="containsText" text="ID">
      <formula>NOT(ISERROR(SEARCH("ID",H5)))</formula>
    </cfRule>
  </conditionalFormatting>
  <conditionalFormatting sqref="AD5 AF5:AH5 H7 H9:H12 AD12 AF12:AH12 H21 AD21 AF21:AH21 H24 AD24 AF24:AH24 H26 AF26 H58 AD58 AF58:AH58 H64 AF64 K72:M72 AD72 AF72:AH72">
    <cfRule type="containsText" dxfId="1351" priority="1865" operator="containsText" text="S">
      <formula>NOT(ISERROR(SEARCH("S",H5)))</formula>
    </cfRule>
  </conditionalFormatting>
  <conditionalFormatting sqref="AE5 AE12 AE21 AE24 AE58">
    <cfRule type="containsText" dxfId="1350" priority="1077" operator="containsText" text="S">
      <formula>NOT(ISERROR(SEARCH("S",AE5)))</formula>
    </cfRule>
  </conditionalFormatting>
  <conditionalFormatting sqref="AE5 AE12">
    <cfRule type="containsText" dxfId="1349" priority="1116" operator="containsText" text="S">
      <formula>NOT(ISERROR(SEARCH("S",AE5)))</formula>
    </cfRule>
    <cfRule type="containsText" dxfId="1348" priority="1115" operator="containsText" text="S">
      <formula>NOT(ISERROR(SEARCH("S",AE5)))</formula>
    </cfRule>
    <cfRule type="containsText" dxfId="1347" priority="1076" operator="containsText" text="ID">
      <formula>NOT(ISERROR(SEARCH("ID",AE5)))</formula>
    </cfRule>
    <cfRule type="containsText" dxfId="1346" priority="1075" operator="containsText" text="ID">
      <formula>NOT(ISERROR(SEARCH("ID",AE5)))</formula>
    </cfRule>
    <cfRule type="containsText" dxfId="1345" priority="1114" operator="containsText" text="ID">
      <formula>NOT(ISERROR(SEARCH("ID",AE5)))</formula>
    </cfRule>
    <cfRule type="containsText" dxfId="1344" priority="1113" operator="containsText" text="ID">
      <formula>NOT(ISERROR(SEARCH("ID",AE5)))</formula>
    </cfRule>
  </conditionalFormatting>
  <conditionalFormatting sqref="AE21 AE24 AE58 AE67 AE71:AE72 AE93 AE97:AE128">
    <cfRule type="containsText" dxfId="1343" priority="1045" operator="containsText" text="ID">
      <formula>NOT(ISERROR(SEARCH("ID",AE21)))</formula>
    </cfRule>
    <cfRule type="containsText" dxfId="1342" priority="1046" operator="containsText" text="S">
      <formula>NOT(ISERROR(SEARCH("S",AE21)))</formula>
    </cfRule>
    <cfRule type="containsText" dxfId="1341" priority="1048" operator="containsText" text="PH">
      <formula>NOT(ISERROR(SEARCH("PH",AE21)))</formula>
    </cfRule>
    <cfRule type="containsText" dxfId="1340" priority="1049" operator="containsText" text="A">
      <formula>NOT(ISERROR(SEARCH("A",AE21)))</formula>
    </cfRule>
    <cfRule type="containsBlanks" dxfId="1339" priority="1050">
      <formula>LEN(TRIM(AE21))=0</formula>
    </cfRule>
    <cfRule type="containsText" dxfId="1338" priority="1047" operator="containsText" text="S">
      <formula>NOT(ISERROR(SEARCH("S",AE21)))</formula>
    </cfRule>
    <cfRule type="containsText" dxfId="1337" priority="1052" operator="containsText" text="S">
      <formula>NOT(ISERROR(SEARCH("S",AE21)))</formula>
    </cfRule>
    <cfRule type="containsText" dxfId="1336" priority="1053" operator="containsText" text="ML">
      <formula>NOT(ISERROR(SEARCH("ML",AE21)))</formula>
    </cfRule>
    <cfRule type="containsText" dxfId="1335" priority="1054" operator="containsText" text="ID">
      <formula>NOT(ISERROR(SEARCH("ID",AE21)))</formula>
    </cfRule>
    <cfRule type="containsText" dxfId="1334" priority="1055" operator="containsText" text="ID">
      <formula>NOT(ISERROR(SEARCH("ID",AE21)))</formula>
    </cfRule>
    <cfRule type="containsText" dxfId="1333" priority="1056" operator="containsText" text="S">
      <formula>NOT(ISERROR(SEARCH("S",AE21)))</formula>
    </cfRule>
    <cfRule type="containsText" dxfId="1332" priority="1057" operator="containsText" text="S">
      <formula>NOT(ISERROR(SEARCH("S",AE21)))</formula>
    </cfRule>
    <cfRule type="containsText" dxfId="1331" priority="1068" operator="containsText" text="S">
      <formula>NOT(ISERROR(SEARCH("S",AE21)))</formula>
    </cfRule>
    <cfRule type="containsText" dxfId="1330" priority="1058" operator="containsText" text="PH">
      <formula>NOT(ISERROR(SEARCH("PH",AE21)))</formula>
    </cfRule>
    <cfRule type="containsText" dxfId="1329" priority="1070" operator="containsText" text="PH">
      <formula>NOT(ISERROR(SEARCH("PH",AE21)))</formula>
    </cfRule>
    <cfRule type="containsText" dxfId="1328" priority="1061" operator="containsText" text="ID">
      <formula>NOT(ISERROR(SEARCH("ID",AE21)))</formula>
    </cfRule>
    <cfRule type="containsText" dxfId="1327" priority="1062" operator="containsText" text="ID">
      <formula>NOT(ISERROR(SEARCH("ID",AE21)))</formula>
    </cfRule>
    <cfRule type="containsText" dxfId="1326" priority="1063" operator="containsText" text="S">
      <formula>NOT(ISERROR(SEARCH("S",AE21)))</formula>
    </cfRule>
    <cfRule type="containsText" dxfId="1325" priority="1064" operator="containsText" text="ML">
      <formula>NOT(ISERROR(SEARCH("ML",AE21)))</formula>
    </cfRule>
    <cfRule type="containsText" dxfId="1324" priority="1065" operator="containsText" text="ID">
      <formula>NOT(ISERROR(SEARCH("ID",AE21)))</formula>
    </cfRule>
    <cfRule type="containsText" dxfId="1323" priority="1066" operator="containsText" text="ID">
      <formula>NOT(ISERROR(SEARCH("ID",AE21)))</formula>
    </cfRule>
    <cfRule type="containsText" dxfId="1322" priority="1067" operator="containsText" text="ID">
      <formula>NOT(ISERROR(SEARCH("ID",AE21)))</formula>
    </cfRule>
    <cfRule type="containsText" dxfId="1321" priority="1041" operator="containsText" text="A">
      <formula>NOT(ISERROR(SEARCH("A",AE21)))</formula>
    </cfRule>
    <cfRule type="containsBlanks" dxfId="1320" priority="1042">
      <formula>LEN(TRIM(AE21))=0</formula>
    </cfRule>
    <cfRule type="containsText" dxfId="1319" priority="1043" operator="containsText" text="ID">
      <formula>NOT(ISERROR(SEARCH("ID",AE21)))</formula>
    </cfRule>
    <cfRule type="containsText" dxfId="1318" priority="1051" operator="containsText" text="v">
      <formula>NOT(ISERROR(SEARCH("v",AE21)))</formula>
    </cfRule>
    <cfRule type="containsText" dxfId="1317" priority="1044" operator="containsText" text="ID">
      <formula>NOT(ISERROR(SEARCH("ID",AE21)))</formula>
    </cfRule>
  </conditionalFormatting>
  <conditionalFormatting sqref="AE21 AE24 AE58 AE67 AE71:AE72 AE93 AE111">
    <cfRule type="containsText" dxfId="1316" priority="1040" operator="containsText" text="PH">
      <formula>NOT(ISERROR(SEARCH("PH",AE21)))</formula>
    </cfRule>
  </conditionalFormatting>
  <conditionalFormatting sqref="AE21 AE24 AE58 AE67 AE71:AE72 AE93">
    <cfRule type="containsBlanks" dxfId="1315" priority="1034">
      <formula>LEN(TRIM(AE21))=0</formula>
    </cfRule>
    <cfRule type="containsText" dxfId="1314" priority="1035" operator="containsText" text="ID">
      <formula>NOT(ISERROR(SEARCH("ID",AE21)))</formula>
    </cfRule>
    <cfRule type="containsText" dxfId="1313" priority="1036" operator="containsText" text="ID">
      <formula>NOT(ISERROR(SEARCH("ID",AE21)))</formula>
    </cfRule>
  </conditionalFormatting>
  <conditionalFormatting sqref="AE21 AE24 AE58 AE67 AE71:AE72 AE99">
    <cfRule type="containsText" dxfId="1312" priority="1039" operator="containsText" text="S">
      <formula>NOT(ISERROR(SEARCH("S",AE21)))</formula>
    </cfRule>
  </conditionalFormatting>
  <conditionalFormatting sqref="AE21 AE24 AE58 AE67 AE71:AE72">
    <cfRule type="containsText" dxfId="1311" priority="1037" operator="containsText" text="ID">
      <formula>NOT(ISERROR(SEARCH("ID",AE21)))</formula>
    </cfRule>
    <cfRule type="containsText" dxfId="1310" priority="1038" operator="containsText" text="S">
      <formula>NOT(ISERROR(SEARCH("S",AE21)))</formula>
    </cfRule>
  </conditionalFormatting>
  <conditionalFormatting sqref="AE21 AE24 AE58:AH58 AE67 AE71:AE72 AE72:AH72 AE93 AE97:AE107 AE108:AH108 AE109:AE118 AE119:AH123 AE124:AE128 AF104:AH106 AF109:AH112">
    <cfRule type="containsText" dxfId="1309" priority="1059" operator="containsText" text="A">
      <formula>NOT(ISERROR(SEARCH("A",AE21)))</formula>
    </cfRule>
  </conditionalFormatting>
  <conditionalFormatting sqref="AE21 AE24 AE58:AH58 AE67 AE71:AE72 AE72:AH72 AE93 AE97:AE107 AE108:AH108 AE109:AE118 AE119:AH123 AE124:AE128 AF109:AH112 AF104:AH106">
    <cfRule type="containsText" dxfId="1308" priority="1069" operator="containsText" text="S">
      <formula>NOT(ISERROR(SEARCH("S",AE21)))</formula>
    </cfRule>
  </conditionalFormatting>
  <conditionalFormatting sqref="AE21 AE24 AE58:AH58 AE67 AE71:AE72 AE72:AH72 AE93 AF109:AH112 AE119:AH123 AE124:AE128">
    <cfRule type="containsBlanks" dxfId="1307" priority="1060">
      <formula>LEN(TRIM(AE21))=0</formula>
    </cfRule>
  </conditionalFormatting>
  <conditionalFormatting sqref="AE58 G122:AI122">
    <cfRule type="containsBlanks" dxfId="1306" priority="2451">
      <formula>LEN(TRIM(G58))=0</formula>
    </cfRule>
  </conditionalFormatting>
  <conditionalFormatting sqref="AE58 AE71:AE72 N89:Q89 S89:W89">
    <cfRule type="containsText" dxfId="1305" priority="575" operator="containsText" text="S">
      <formula>NOT(ISERROR(SEARCH("S",N58)))</formula>
    </cfRule>
  </conditionalFormatting>
  <conditionalFormatting sqref="AE58">
    <cfRule type="containsText" dxfId="1304" priority="2450" operator="containsText" text="A">
      <formula>NOT(ISERROR(SEARCH("A",AE58)))</formula>
    </cfRule>
    <cfRule type="containsText" dxfId="1303" priority="617" operator="containsText" text="ID">
      <formula>NOT(ISERROR(SEARCH("ID",AE58)))</formula>
    </cfRule>
    <cfRule type="containsText" dxfId="1302" priority="618" operator="containsText" text="S">
      <formula>NOT(ISERROR(SEARCH("S",AE58)))</formula>
    </cfRule>
  </conditionalFormatting>
  <conditionalFormatting sqref="AE67 AE71:AE72 AE21 AE24 AE58">
    <cfRule type="containsText" dxfId="1301" priority="1033" operator="containsText" text="A">
      <formula>NOT(ISERROR(SEARCH("A",AE21)))</formula>
    </cfRule>
  </conditionalFormatting>
  <conditionalFormatting sqref="AE67 AE71:AE72">
    <cfRule type="containsText" dxfId="1300" priority="1032" operator="containsText" text="PH">
      <formula>NOT(ISERROR(SEARCH("PH",AE67)))</formula>
    </cfRule>
    <cfRule type="containsText" dxfId="1299" priority="1031" operator="containsText" text="S">
      <formula>NOT(ISERROR(SEARCH("S",AE67)))</formula>
    </cfRule>
    <cfRule type="containsText" dxfId="1298" priority="1071" operator="containsText" text="A">
      <formula>NOT(ISERROR(SEARCH("A",AE67)))</formula>
    </cfRule>
    <cfRule type="containsBlanks" dxfId="1297" priority="1072">
      <formula>LEN(TRIM(AE67))=0</formula>
    </cfRule>
    <cfRule type="containsText" dxfId="1296" priority="1074" operator="containsText" text="ID">
      <formula>NOT(ISERROR(SEARCH("ID",AE67)))</formula>
    </cfRule>
    <cfRule type="containsText" dxfId="1295" priority="1073" operator="containsText" text="ID">
      <formula>NOT(ISERROR(SEARCH("ID",AE67)))</formula>
    </cfRule>
  </conditionalFormatting>
  <conditionalFormatting sqref="AE67">
    <cfRule type="containsText" dxfId="1294" priority="978" operator="containsText" text="S">
      <formula>NOT(ISERROR(SEARCH("S",AE67)))</formula>
    </cfRule>
  </conditionalFormatting>
  <conditionalFormatting sqref="AE74">
    <cfRule type="containsText" dxfId="1293" priority="837" operator="containsText" text="S">
      <formula>NOT(ISERROR(SEARCH("S",AE74)))</formula>
    </cfRule>
    <cfRule type="containsText" dxfId="1292" priority="839" operator="containsText" text="ID">
      <formula>NOT(ISERROR(SEARCH("ID",AE74)))</formula>
    </cfRule>
    <cfRule type="containsText" dxfId="1291" priority="840" operator="containsText" text="ID">
      <formula>NOT(ISERROR(SEARCH("ID",AE74)))</formula>
    </cfRule>
    <cfRule type="containsText" dxfId="1290" priority="841" operator="containsText" text="ID">
      <formula>NOT(ISERROR(SEARCH("ID",AE74)))</formula>
    </cfRule>
    <cfRule type="containsText" dxfId="1289" priority="838" operator="containsText" text="ML">
      <formula>NOT(ISERROR(SEARCH("ML",AE74)))</formula>
    </cfRule>
  </conditionalFormatting>
  <conditionalFormatting sqref="AE79">
    <cfRule type="containsText" dxfId="1288" priority="585" operator="containsText" text="ID">
      <formula>NOT(ISERROR(SEARCH("ID",AE79)))</formula>
    </cfRule>
    <cfRule type="containsText" dxfId="1287" priority="583" operator="containsText" text="S">
      <formula>NOT(ISERROR(SEARCH("S",AE79)))</formula>
    </cfRule>
    <cfRule type="containsText" dxfId="1286" priority="582" operator="containsText" text="ML">
      <formula>NOT(ISERROR(SEARCH("ML",AE79)))</formula>
    </cfRule>
    <cfRule type="containsText" dxfId="1285" priority="587" operator="containsText" text="ID">
      <formula>NOT(ISERROR(SEARCH("ID",AE79)))</formula>
    </cfRule>
    <cfRule type="containsText" dxfId="1284" priority="586" operator="containsText" text="ID">
      <formula>NOT(ISERROR(SEARCH("ID",AE79)))</formula>
    </cfRule>
  </conditionalFormatting>
  <conditionalFormatting sqref="AE79:AE80">
    <cfRule type="containsText" dxfId="1283" priority="584" operator="containsText" text="ML">
      <formula>NOT(ISERROR(SEARCH("ML",AE79)))</formula>
    </cfRule>
  </conditionalFormatting>
  <conditionalFormatting sqref="AE80">
    <cfRule type="containsText" dxfId="1282" priority="592" operator="containsText" text="ID">
      <formula>NOT(ISERROR(SEARCH("ID",AE80)))</formula>
    </cfRule>
    <cfRule type="containsText" dxfId="1281" priority="591" operator="containsText" text="ID">
      <formula>NOT(ISERROR(SEARCH("ID",AE80)))</formula>
    </cfRule>
    <cfRule type="containsText" dxfId="1280" priority="590" operator="containsText" text="ID">
      <formula>NOT(ISERROR(SEARCH("ID",AE80)))</formula>
    </cfRule>
    <cfRule type="containsText" dxfId="1279" priority="589" operator="containsText" text="ML">
      <formula>NOT(ISERROR(SEARCH("ML",AE80)))</formula>
    </cfRule>
    <cfRule type="containsText" dxfId="1278" priority="588" operator="containsText" text="S">
      <formula>NOT(ISERROR(SEARCH("S",AE80)))</formula>
    </cfRule>
  </conditionalFormatting>
  <conditionalFormatting sqref="AE84 W112:X112 Z112:AE112 W119:X122 Z119:AE122 AG112:AI112 AG119:AI122">
    <cfRule type="containsText" dxfId="1277" priority="544" operator="containsText" text="ID">
      <formula>NOT(ISERROR(SEARCH("ID",W84)))</formula>
    </cfRule>
    <cfRule type="containsText" dxfId="1276" priority="546" operator="containsText" text="A">
      <formula>NOT(ISERROR(SEARCH("A",W84)))</formula>
    </cfRule>
  </conditionalFormatting>
  <conditionalFormatting sqref="AE84 W112:X112 Z112:AE112 W119:X122 Z119:AE122">
    <cfRule type="containsText" dxfId="1275" priority="543" operator="containsText" text="S">
      <formula>NOT(ISERROR(SEARCH("S",W84)))</formula>
    </cfRule>
    <cfRule type="containsText" dxfId="1274" priority="545" operator="containsText" text="PH">
      <formula>NOT(ISERROR(SEARCH("PH",W84)))</formula>
    </cfRule>
    <cfRule type="containsBlanks" dxfId="1273" priority="547">
      <formula>LEN(TRIM(W84))=0</formula>
    </cfRule>
  </conditionalFormatting>
  <conditionalFormatting sqref="AE84 AE112 AE119:AE122">
    <cfRule type="containsText" dxfId="1272" priority="419" operator="containsText" text="S">
      <formula>NOT(ISERROR(SEARCH("S",AE84)))</formula>
    </cfRule>
    <cfRule type="containsText" dxfId="1271" priority="418" operator="containsText" text="ID">
      <formula>NOT(ISERROR(SEARCH("ID",AE84)))</formula>
    </cfRule>
    <cfRule type="containsText" dxfId="1270" priority="417" operator="containsText" text="ID">
      <formula>NOT(ISERROR(SEARCH("ID",AE84)))</formula>
    </cfRule>
    <cfRule type="containsBlanks" dxfId="1269" priority="416">
      <formula>LEN(TRIM(AE84))=0</formula>
    </cfRule>
    <cfRule type="containsText" dxfId="1268" priority="415" operator="containsText" text="A">
      <formula>NOT(ISERROR(SEARCH("A",AE84)))</formula>
    </cfRule>
    <cfRule type="containsText" dxfId="1267" priority="414" operator="containsText" text="PH">
      <formula>NOT(ISERROR(SEARCH("PH",AE84)))</formula>
    </cfRule>
    <cfRule type="containsText" dxfId="1266" priority="413" operator="containsText" text="S">
      <formula>NOT(ISERROR(SEARCH("S",AE84)))</formula>
    </cfRule>
    <cfRule type="containsText" dxfId="1265" priority="412" operator="containsText" text="S">
      <formula>NOT(ISERROR(SEARCH("S",AE84)))</formula>
    </cfRule>
    <cfRule type="containsText" dxfId="1264" priority="608" operator="containsText" text="ID">
      <formula>NOT(ISERROR(SEARCH("ID",AE84)))</formula>
    </cfRule>
    <cfRule type="containsText" dxfId="1263" priority="565" operator="containsText" text="ID">
      <formula>NOT(ISERROR(SEARCH("ID",AE84)))</formula>
    </cfRule>
    <cfRule type="containsText" dxfId="1262" priority="411" operator="containsText" text="ID">
      <formula>NOT(ISERROR(SEARCH("ID",AE84)))</formula>
    </cfRule>
    <cfRule type="containsText" dxfId="1261" priority="410" operator="containsText" text="ID">
      <formula>NOT(ISERROR(SEARCH("ID",AE84)))</formula>
    </cfRule>
    <cfRule type="containsText" dxfId="1260" priority="409" operator="containsText" text="ML">
      <formula>NOT(ISERROR(SEARCH("ML",AE84)))</formula>
    </cfRule>
    <cfRule type="containsText" dxfId="1259" priority="408" operator="containsText" text="S">
      <formula>NOT(ISERROR(SEARCH("S",AE84)))</formula>
    </cfRule>
    <cfRule type="containsText" dxfId="1258" priority="407" operator="containsText" text="v">
      <formula>NOT(ISERROR(SEARCH("v",AE84)))</formula>
    </cfRule>
    <cfRule type="containsBlanks" dxfId="1257" priority="406">
      <formula>LEN(TRIM(AE84))=0</formula>
    </cfRule>
    <cfRule type="containsText" dxfId="1256" priority="405" operator="containsText" text="A">
      <formula>NOT(ISERROR(SEARCH("A",AE84)))</formula>
    </cfRule>
    <cfRule type="containsText" dxfId="1255" priority="404" operator="containsText" text="PH">
      <formula>NOT(ISERROR(SEARCH("PH",AE84)))</formula>
    </cfRule>
    <cfRule type="containsText" dxfId="1254" priority="403" operator="containsText" text="S">
      <formula>NOT(ISERROR(SEARCH("S",AE84)))</formula>
    </cfRule>
    <cfRule type="containsText" dxfId="1253" priority="402" operator="containsText" text="S">
      <formula>NOT(ISERROR(SEARCH("S",AE84)))</formula>
    </cfRule>
    <cfRule type="containsText" dxfId="1252" priority="401" operator="containsText" text="ID">
      <formula>NOT(ISERROR(SEARCH("ID",AE84)))</formula>
    </cfRule>
    <cfRule type="containsText" dxfId="1251" priority="400" operator="containsText" text="ID">
      <formula>NOT(ISERROR(SEARCH("ID",AE84)))</formula>
    </cfRule>
    <cfRule type="containsText" dxfId="1250" priority="564" operator="containsText" text="ML">
      <formula>NOT(ISERROR(SEARCH("ML",AE84)))</formula>
    </cfRule>
    <cfRule type="containsBlanks" dxfId="1249" priority="398">
      <formula>LEN(TRIM(AE84))=0</formula>
    </cfRule>
    <cfRule type="containsText" dxfId="1248" priority="397" operator="containsText" text="A">
      <formula>NOT(ISERROR(SEARCH("A",AE84)))</formula>
    </cfRule>
    <cfRule type="containsText" dxfId="1247" priority="396" operator="containsText" text="PH">
      <formula>NOT(ISERROR(SEARCH("PH",AE84)))</formula>
    </cfRule>
    <cfRule type="containsText" dxfId="1246" priority="395" operator="containsText" text="S">
      <formula>NOT(ISERROR(SEARCH("S",AE84)))</formula>
    </cfRule>
    <cfRule type="containsText" dxfId="1245" priority="394" operator="containsText" text="S">
      <formula>NOT(ISERROR(SEARCH("S",AE84)))</formula>
    </cfRule>
    <cfRule type="containsText" dxfId="1244" priority="393" operator="containsText" text="ID">
      <formula>NOT(ISERROR(SEARCH("ID",AE84)))</formula>
    </cfRule>
    <cfRule type="containsText" dxfId="1243" priority="430" operator="containsText" text="ID">
      <formula>NOT(ISERROR(SEARCH("ID",AE84)))</formula>
    </cfRule>
    <cfRule type="containsText" dxfId="1242" priority="392" operator="containsText" text="ID">
      <formula>NOT(ISERROR(SEARCH("ID",AE84)))</formula>
    </cfRule>
    <cfRule type="containsText" dxfId="1241" priority="391" operator="containsText" text="ID">
      <formula>NOT(ISERROR(SEARCH("ID",AE84)))</formula>
    </cfRule>
    <cfRule type="containsBlanks" dxfId="1240" priority="390">
      <formula>LEN(TRIM(AE84))=0</formula>
    </cfRule>
    <cfRule type="containsText" dxfId="1239" priority="389" operator="containsText" text="A">
      <formula>NOT(ISERROR(SEARCH("A",AE84)))</formula>
    </cfRule>
    <cfRule type="containsText" dxfId="1238" priority="429" operator="containsText" text="ID">
      <formula>NOT(ISERROR(SEARCH("ID",AE84)))</formula>
    </cfRule>
    <cfRule type="containsBlanks" dxfId="1237" priority="428">
      <formula>LEN(TRIM(AE84))=0</formula>
    </cfRule>
    <cfRule type="containsText" dxfId="1236" priority="427" operator="containsText" text="A">
      <formula>NOT(ISERROR(SEARCH("A",AE84)))</formula>
    </cfRule>
    <cfRule type="containsText" dxfId="1235" priority="426" operator="containsText" text="PH">
      <formula>NOT(ISERROR(SEARCH("PH",AE84)))</formula>
    </cfRule>
    <cfRule type="containsText" dxfId="1234" priority="425" operator="containsText" text="S">
      <formula>NOT(ISERROR(SEARCH("S",AE84)))</formula>
    </cfRule>
    <cfRule type="containsText" dxfId="1233" priority="424" operator="containsText" text="S">
      <formula>NOT(ISERROR(SEARCH("S",AE84)))</formula>
    </cfRule>
    <cfRule type="containsText" dxfId="1232" priority="423" operator="containsText" text="ID">
      <formula>NOT(ISERROR(SEARCH("ID",AE84)))</formula>
    </cfRule>
    <cfRule type="containsText" dxfId="1231" priority="422" operator="containsText" text="ID">
      <formula>NOT(ISERROR(SEARCH("ID",AE84)))</formula>
    </cfRule>
    <cfRule type="containsText" dxfId="1230" priority="421" operator="containsText" text="ID">
      <formula>NOT(ISERROR(SEARCH("ID",AE84)))</formula>
    </cfRule>
    <cfRule type="containsText" dxfId="1229" priority="399" operator="containsText" text="ID">
      <formula>NOT(ISERROR(SEARCH("ID",AE84)))</formula>
    </cfRule>
    <cfRule type="containsText" dxfId="1228" priority="420" operator="containsText" text="ML">
      <formula>NOT(ISERROR(SEARCH("ML",AE84)))</formula>
    </cfRule>
  </conditionalFormatting>
  <conditionalFormatting sqref="AE84 AE119:AE122 AE112">
    <cfRule type="containsText" dxfId="1227" priority="388" operator="containsText" text="PH">
      <formula>NOT(ISERROR(SEARCH("PH",AE84)))</formula>
    </cfRule>
  </conditionalFormatting>
  <conditionalFormatting sqref="AE84">
    <cfRule type="containsText" dxfId="1226" priority="387" operator="containsText" text="S">
      <formula>NOT(ISERROR(SEARCH("S",AE84)))</formula>
    </cfRule>
  </conditionalFormatting>
  <conditionalFormatting sqref="AE87">
    <cfRule type="containsText" dxfId="1225" priority="310" operator="containsText" text="ID">
      <formula>NOT(ISERROR(SEARCH("ID",AE87)))</formula>
    </cfRule>
    <cfRule type="containsText" dxfId="1224" priority="309" operator="containsText" text="ML">
      <formula>NOT(ISERROR(SEARCH("ML",AE87)))</formula>
    </cfRule>
    <cfRule type="containsText" dxfId="1223" priority="308" operator="containsText" text="S">
      <formula>NOT(ISERROR(SEARCH("S",AE87)))</formula>
    </cfRule>
    <cfRule type="containsText" dxfId="1222" priority="312" operator="containsText" text="ID">
      <formula>NOT(ISERROR(SEARCH("ID",AE87)))</formula>
    </cfRule>
    <cfRule type="containsText" dxfId="1221" priority="311" operator="containsText" text="ID">
      <formula>NOT(ISERROR(SEARCH("ID",AE87)))</formula>
    </cfRule>
  </conditionalFormatting>
  <conditionalFormatting sqref="AE93:AE96 AE98:AE99 AE111">
    <cfRule type="containsBlanks" dxfId="1220" priority="975">
      <formula>LEN(TRIM(AE93))=0</formula>
    </cfRule>
    <cfRule type="containsText" dxfId="1219" priority="976" operator="containsText" text="ID">
      <formula>NOT(ISERROR(SEARCH("ID",AE93)))</formula>
    </cfRule>
  </conditionalFormatting>
  <conditionalFormatting sqref="AE93:AE96 AE98:AE129">
    <cfRule type="containsBlanks" dxfId="1218" priority="967">
      <formula>LEN(TRIM(AE93))=0</formula>
    </cfRule>
    <cfRule type="containsText" dxfId="1217" priority="966" operator="containsText" text="A">
      <formula>NOT(ISERROR(SEARCH("A",AE93)))</formula>
    </cfRule>
    <cfRule type="containsText" dxfId="1216" priority="965" operator="containsText" text="PH">
      <formula>NOT(ISERROR(SEARCH("PH",AE93)))</formula>
    </cfRule>
    <cfRule type="containsText" dxfId="1215" priority="969" operator="containsText" text="ID">
      <formula>NOT(ISERROR(SEARCH("ID",AE93)))</formula>
    </cfRule>
    <cfRule type="containsText" dxfId="1214" priority="970" operator="containsText" text="ID">
      <formula>NOT(ISERROR(SEARCH("ID",AE93)))</formula>
    </cfRule>
    <cfRule type="containsText" dxfId="1213" priority="971" operator="containsText" text="S">
      <formula>NOT(ISERROR(SEARCH("S",AE93)))</formula>
    </cfRule>
    <cfRule type="containsText" dxfId="1212" priority="972" operator="containsText" text="S">
      <formula>NOT(ISERROR(SEARCH("S",AE93)))</formula>
    </cfRule>
    <cfRule type="containsText" dxfId="1211" priority="973" operator="containsText" text="PH">
      <formula>NOT(ISERROR(SEARCH("PH",AE93)))</formula>
    </cfRule>
    <cfRule type="containsText" dxfId="1210" priority="974" operator="containsText" text="A">
      <formula>NOT(ISERROR(SEARCH("A",AE93)))</formula>
    </cfRule>
    <cfRule type="containsText" dxfId="1209" priority="964" operator="containsText" text="S">
      <formula>NOT(ISERROR(SEARCH("S",AE93)))</formula>
    </cfRule>
    <cfRule type="containsText" dxfId="1208" priority="963" operator="containsText" text="S">
      <formula>NOT(ISERROR(SEARCH("S",AE93)))</formula>
    </cfRule>
    <cfRule type="containsText" dxfId="1207" priority="962" operator="containsText" text="ID">
      <formula>NOT(ISERROR(SEARCH("ID",AE93)))</formula>
    </cfRule>
    <cfRule type="containsText" dxfId="1206" priority="961" operator="containsText" text="ID">
      <formula>NOT(ISERROR(SEARCH("ID",AE93)))</formula>
    </cfRule>
    <cfRule type="containsBlanks" dxfId="1205" priority="959">
      <formula>LEN(TRIM(AE93))=0</formula>
    </cfRule>
    <cfRule type="containsText" dxfId="1204" priority="958" operator="containsText" text="A">
      <formula>NOT(ISERROR(SEARCH("A",AE93)))</formula>
    </cfRule>
    <cfRule type="containsText" dxfId="1203" priority="957" operator="containsText" text="PH">
      <formula>NOT(ISERROR(SEARCH("PH",AE93)))</formula>
    </cfRule>
    <cfRule type="containsText" dxfId="1202" priority="956" operator="containsText" text="S">
      <formula>NOT(ISERROR(SEARCH("S",AE93)))</formula>
    </cfRule>
    <cfRule type="containsText" dxfId="1201" priority="955" operator="containsText" text="S">
      <formula>NOT(ISERROR(SEARCH("S",AE93)))</formula>
    </cfRule>
    <cfRule type="containsText" dxfId="1200" priority="954" operator="containsText" text="ID">
      <formula>NOT(ISERROR(SEARCH("ID",AE93)))</formula>
    </cfRule>
  </conditionalFormatting>
  <conditionalFormatting sqref="AE93:AE96">
    <cfRule type="containsText" dxfId="1199" priority="953" operator="containsText" text="ID">
      <formula>NOT(ISERROR(SEARCH("ID",AE93)))</formula>
    </cfRule>
  </conditionalFormatting>
  <conditionalFormatting sqref="AE99 AE129 AE67">
    <cfRule type="containsText" dxfId="1198" priority="968" operator="containsText" text="ID">
      <formula>NOT(ISERROR(SEARCH("ID",AE67)))</formula>
    </cfRule>
    <cfRule type="containsText" dxfId="1197" priority="977" operator="containsText" text="ID">
      <formula>NOT(ISERROR(SEARCH("ID",AE67)))</formula>
    </cfRule>
  </conditionalFormatting>
  <conditionalFormatting sqref="AE110">
    <cfRule type="containsText" dxfId="1196" priority="835" operator="containsText" text="ID">
      <formula>NOT(ISERROR(SEARCH("ID",AE110)))</formula>
    </cfRule>
    <cfRule type="containsText" dxfId="1195" priority="834" operator="containsText" text="ID">
      <formula>NOT(ISERROR(SEARCH("ID",AE110)))</formula>
    </cfRule>
    <cfRule type="containsText" dxfId="1194" priority="831" operator="containsText" text="S">
      <formula>NOT(ISERROR(SEARCH("S",AE110)))</formula>
    </cfRule>
    <cfRule type="containsText" dxfId="1193" priority="830" operator="containsText" text="ML">
      <formula>NOT(ISERROR(SEARCH("ML",AE110)))</formula>
    </cfRule>
    <cfRule type="containsText" dxfId="1192" priority="833" operator="containsText" text="ID">
      <formula>NOT(ISERROR(SEARCH("ID",AE110)))</formula>
    </cfRule>
  </conditionalFormatting>
  <conditionalFormatting sqref="AE118:AE123">
    <cfRule type="containsText" dxfId="1191" priority="926" operator="containsText" text="ID">
      <formula>NOT(ISERROR(SEARCH("ID",AE118)))</formula>
    </cfRule>
    <cfRule type="containsText" dxfId="1190" priority="942" operator="containsText" text="A">
      <formula>NOT(ISERROR(SEARCH("A",AE118)))</formula>
    </cfRule>
    <cfRule type="containsBlanks" dxfId="1189" priority="943">
      <formula>LEN(TRIM(AE118))=0</formula>
    </cfRule>
    <cfRule type="containsText" dxfId="1188" priority="944" operator="containsText" text="ML">
      <formula>NOT(ISERROR(SEARCH("ML",AE118)))</formula>
    </cfRule>
    <cfRule type="containsBlanks" dxfId="1187" priority="948">
      <formula>LEN(TRIM(AE118))=0</formula>
    </cfRule>
    <cfRule type="containsText" dxfId="1186" priority="915" operator="containsText" text="ML">
      <formula>NOT(ISERROR(SEARCH("ML",AE118)))</formula>
    </cfRule>
    <cfRule type="containsText" dxfId="1185" priority="916" operator="containsText" text="ID">
      <formula>NOT(ISERROR(SEARCH("ID",AE118)))</formula>
    </cfRule>
    <cfRule type="containsText" dxfId="1184" priority="917" operator="containsText" text="S">
      <formula>NOT(ISERROR(SEARCH("S",AE118)))</formula>
    </cfRule>
    <cfRule type="containsText" dxfId="1183" priority="918" operator="containsText" text="ID">
      <formula>NOT(ISERROR(SEARCH("ID",AE118)))</formula>
    </cfRule>
    <cfRule type="containsText" dxfId="1182" priority="919" operator="containsText" text="PH">
      <formula>NOT(ISERROR(SEARCH("PH",AE118)))</formula>
    </cfRule>
    <cfRule type="containsText" dxfId="1181" priority="932" operator="containsText" text="ID">
      <formula>NOT(ISERROR(SEARCH("ID",AE118)))</formula>
    </cfRule>
    <cfRule type="containsText" dxfId="1180" priority="941" operator="containsText" text="PH">
      <formula>NOT(ISERROR(SEARCH("PH",AE118)))</formula>
    </cfRule>
    <cfRule type="containsText" dxfId="1179" priority="940" operator="containsText" text="S">
      <formula>NOT(ISERROR(SEARCH("S",AE118)))</formula>
    </cfRule>
    <cfRule type="containsText" dxfId="1178" priority="939" operator="containsText" text="S">
      <formula>NOT(ISERROR(SEARCH("S",AE118)))</formula>
    </cfRule>
    <cfRule type="containsText" dxfId="1177" priority="938" operator="containsText" text="ID">
      <formula>NOT(ISERROR(SEARCH("ID",AE118)))</formula>
    </cfRule>
    <cfRule type="containsText" dxfId="1176" priority="937" operator="containsText" text="ID">
      <formula>NOT(ISERROR(SEARCH("ID",AE118)))</formula>
    </cfRule>
    <cfRule type="containsText" dxfId="1175" priority="936" operator="containsText" text="ID">
      <formula>NOT(ISERROR(SEARCH("ID",AE118)))</formula>
    </cfRule>
    <cfRule type="containsText" dxfId="1174" priority="935" operator="containsText" text="ML">
      <formula>NOT(ISERROR(SEARCH("ML",AE118)))</formula>
    </cfRule>
    <cfRule type="containsText" dxfId="1173" priority="934" operator="containsText" text="S">
      <formula>NOT(ISERROR(SEARCH("S",AE118)))</formula>
    </cfRule>
    <cfRule type="containsText" dxfId="1172" priority="933" operator="containsText" text="ID">
      <formula>NOT(ISERROR(SEARCH("ID",AE118)))</formula>
    </cfRule>
    <cfRule type="containsText" dxfId="1171" priority="920" operator="containsText" text="A">
      <formula>NOT(ISERROR(SEARCH("A",AE118)))</formula>
    </cfRule>
    <cfRule type="containsBlanks" dxfId="1170" priority="931">
      <formula>LEN(TRIM(AE118))=0</formula>
    </cfRule>
    <cfRule type="containsText" dxfId="1169" priority="930" operator="containsText" text="A">
      <formula>NOT(ISERROR(SEARCH("A",AE118)))</formula>
    </cfRule>
    <cfRule type="containsText" dxfId="1168" priority="929" operator="containsText" text="PH">
      <formula>NOT(ISERROR(SEARCH("PH",AE118)))</formula>
    </cfRule>
    <cfRule type="containsText" dxfId="1167" priority="928" operator="containsText" text="S">
      <formula>NOT(ISERROR(SEARCH("S",AE118)))</formula>
    </cfRule>
    <cfRule type="containsBlanks" dxfId="1166" priority="921">
      <formula>LEN(TRIM(AE118))=0</formula>
    </cfRule>
    <cfRule type="containsText" dxfId="1165" priority="922" operator="containsText" text="v">
      <formula>NOT(ISERROR(SEARCH("v",AE118)))</formula>
    </cfRule>
    <cfRule type="containsText" dxfId="1164" priority="925" operator="containsText" text="ID">
      <formula>NOT(ISERROR(SEARCH("ID",AE118)))</formula>
    </cfRule>
    <cfRule type="containsText" dxfId="1163" priority="924" operator="containsText" text="ML">
      <formula>NOT(ISERROR(SEARCH("ML",AE118)))</formula>
    </cfRule>
    <cfRule type="containsText" dxfId="1162" priority="949" operator="containsText" text="ID">
      <formula>NOT(ISERROR(SEARCH("ID",AE118)))</formula>
    </cfRule>
    <cfRule type="containsText" dxfId="1161" priority="950" operator="containsText" text="A">
      <formula>NOT(ISERROR(SEARCH("A",AE118)))</formula>
    </cfRule>
    <cfRule type="containsText" dxfId="1160" priority="923" operator="containsText" text="S">
      <formula>NOT(ISERROR(SEARCH("S",AE118)))</formula>
    </cfRule>
    <cfRule type="containsBlanks" dxfId="1159" priority="906">
      <formula>LEN(TRIM(AE118))=0</formula>
    </cfRule>
    <cfRule type="containsBlanks" dxfId="1158" priority="951">
      <formula>LEN(TRIM(AE118))=0</formula>
    </cfRule>
    <cfRule type="containsText" dxfId="1157" priority="952" operator="containsText" text="ID">
      <formula>NOT(ISERROR(SEARCH("ID",AE118)))</formula>
    </cfRule>
    <cfRule type="containsText" dxfId="1156" priority="946" operator="containsText" text="PH">
      <formula>NOT(ISERROR(SEARCH("PH",AE118)))</formula>
    </cfRule>
    <cfRule type="containsText" dxfId="1155" priority="902" operator="containsText" text="S">
      <formula>NOT(ISERROR(SEARCH("S",AE118)))</formula>
    </cfRule>
    <cfRule type="containsText" dxfId="1154" priority="892" operator="containsText" text="ID">
      <formula>NOT(ISERROR(SEARCH("ID",AE118)))</formula>
    </cfRule>
    <cfRule type="containsText" dxfId="1153" priority="903" operator="containsText" text="S">
      <formula>NOT(ISERROR(SEARCH("S",AE118)))</formula>
    </cfRule>
    <cfRule type="containsText" dxfId="1152" priority="912" operator="containsText" text="PH">
      <formula>NOT(ISERROR(SEARCH("PH",AE118)))</formula>
    </cfRule>
    <cfRule type="containsText" dxfId="1151" priority="904" operator="containsText" text="PH">
      <formula>NOT(ISERROR(SEARCH("PH",AE118)))</formula>
    </cfRule>
    <cfRule type="containsText" dxfId="1150" priority="905" operator="containsText" text="A">
      <formula>NOT(ISERROR(SEARCH("A",AE118)))</formula>
    </cfRule>
    <cfRule type="containsText" dxfId="1149" priority="893" operator="containsText" text="ID">
      <formula>NOT(ISERROR(SEARCH("ID",AE118)))</formula>
    </cfRule>
    <cfRule type="containsText" dxfId="1148" priority="907" operator="containsText" text="ID">
      <formula>NOT(ISERROR(SEARCH("ID",AE118)))</formula>
    </cfRule>
    <cfRule type="containsText" dxfId="1147" priority="901" operator="containsText" text="ID">
      <formula>NOT(ISERROR(SEARCH("ID",AE118)))</formula>
    </cfRule>
    <cfRule type="containsText" dxfId="1146" priority="900" operator="containsText" text="ID">
      <formula>NOT(ISERROR(SEARCH("ID",AE118)))</formula>
    </cfRule>
    <cfRule type="containsText" dxfId="1145" priority="899" operator="containsText" text="ID">
      <formula>NOT(ISERROR(SEARCH("ID",AE118)))</formula>
    </cfRule>
    <cfRule type="containsBlanks" dxfId="1144" priority="898">
      <formula>LEN(TRIM(AE118))=0</formula>
    </cfRule>
    <cfRule type="containsText" dxfId="1143" priority="897" operator="containsText" text="A">
      <formula>NOT(ISERROR(SEARCH("A",AE118)))</formula>
    </cfRule>
    <cfRule type="containsText" dxfId="1142" priority="896" operator="containsText" text="PH">
      <formula>NOT(ISERROR(SEARCH("PH",AE118)))</formula>
    </cfRule>
    <cfRule type="containsText" dxfId="1141" priority="895" operator="containsText" text="S">
      <formula>NOT(ISERROR(SEARCH("S",AE118)))</formula>
    </cfRule>
    <cfRule type="containsText" dxfId="1140" priority="894" operator="containsText" text="S">
      <formula>NOT(ISERROR(SEARCH("S",AE118)))</formula>
    </cfRule>
    <cfRule type="containsText" dxfId="1139" priority="908" operator="containsText" text="ID">
      <formula>NOT(ISERROR(SEARCH("ID",AE118)))</formula>
    </cfRule>
    <cfRule type="containsText" dxfId="1138" priority="909" operator="containsText" text="ID">
      <formula>NOT(ISERROR(SEARCH("ID",AE118)))</formula>
    </cfRule>
    <cfRule type="containsText" dxfId="1137" priority="910" operator="containsText" text="S">
      <formula>NOT(ISERROR(SEARCH("S",AE118)))</formula>
    </cfRule>
    <cfRule type="containsText" dxfId="1136" priority="911" operator="containsText" text="S">
      <formula>NOT(ISERROR(SEARCH("S",AE118)))</formula>
    </cfRule>
    <cfRule type="containsText" dxfId="1135" priority="913" operator="containsText" text="A">
      <formula>NOT(ISERROR(SEARCH("A",AE118)))</formula>
    </cfRule>
    <cfRule type="containsBlanks" dxfId="1134" priority="914">
      <formula>LEN(TRIM(AE118))=0</formula>
    </cfRule>
    <cfRule type="containsText" dxfId="1133" priority="945" operator="containsText" text="ID">
      <formula>NOT(ISERROR(SEARCH("ID",AE118)))</formula>
    </cfRule>
    <cfRule type="containsText" dxfId="1132" priority="927" operator="containsText" text="S">
      <formula>NOT(ISERROR(SEARCH("S",AE118)))</formula>
    </cfRule>
    <cfRule type="containsText" dxfId="1131" priority="947" operator="containsText" text="A">
      <formula>NOT(ISERROR(SEARCH("A",AE118)))</formula>
    </cfRule>
  </conditionalFormatting>
  <conditionalFormatting sqref="AE118:AF123 Z119:Z120 Z38 K64:M64">
    <cfRule type="containsText" dxfId="1130" priority="739" operator="containsText" text="S">
      <formula>NOT(ISERROR(SEARCH("S",K38)))</formula>
    </cfRule>
  </conditionalFormatting>
  <conditionalFormatting sqref="AE5:AH5 F12:N12 U12 AC12 AE12:AH12">
    <cfRule type="containsBlanks" dxfId="1129" priority="2602">
      <formula>LEN(TRIM(F5))=0</formula>
    </cfRule>
  </conditionalFormatting>
  <conditionalFormatting sqref="AE123:AI123">
    <cfRule type="containsText" dxfId="1128" priority="16" operator="containsText" text="ID">
      <formula>NOT(ISERROR(SEARCH("ID",AE123)))</formula>
    </cfRule>
    <cfRule type="containsText" dxfId="1127" priority="17" operator="containsText" text="PH">
      <formula>NOT(ISERROR(SEARCH("PH",AE123)))</formula>
    </cfRule>
    <cfRule type="containsBlanks" dxfId="1126" priority="19">
      <formula>LEN(TRIM(AE123))=0</formula>
    </cfRule>
    <cfRule type="containsText" dxfId="1125" priority="15" operator="containsText" text="S">
      <formula>NOT(ISERROR(SEARCH("S",AE123)))</formula>
    </cfRule>
    <cfRule type="containsText" dxfId="1124" priority="18" operator="containsText" text="A">
      <formula>NOT(ISERROR(SEARCH("A",AE123)))</formula>
    </cfRule>
  </conditionalFormatting>
  <conditionalFormatting sqref="AF5 AF12 AF26 AF64 AF124">
    <cfRule type="containsBlanks" dxfId="1123" priority="1160">
      <formula>LEN(TRIM(AF5))=0</formula>
    </cfRule>
    <cfRule type="containsText" dxfId="1122" priority="1159" operator="containsText" text="A">
      <formula>NOT(ISERROR(SEARCH("A",AF5)))</formula>
    </cfRule>
  </conditionalFormatting>
  <conditionalFormatting sqref="AF26 AF64 AF124 AF5 AF12">
    <cfRule type="containsText" dxfId="1121" priority="1156" operator="containsText" text="PH">
      <formula>NOT(ISERROR(SEARCH("PH",AF5)))</formula>
    </cfRule>
  </conditionalFormatting>
  <conditionalFormatting sqref="AF26 AF64">
    <cfRule type="containsBlanks" dxfId="1120" priority="1152">
      <formula>LEN(TRIM(AF26))=0</formula>
    </cfRule>
    <cfRule type="containsText" dxfId="1119" priority="1151" operator="containsText" text="A">
      <formula>NOT(ISERROR(SEARCH("A",AF26)))</formula>
    </cfRule>
  </conditionalFormatting>
  <conditionalFormatting sqref="AF26">
    <cfRule type="containsText" dxfId="1118" priority="1150" operator="containsText" text="PH">
      <formula>NOT(ISERROR(SEARCH("PH",AF26)))</formula>
    </cfRule>
  </conditionalFormatting>
  <conditionalFormatting sqref="AF76:AF77 AF93:AF96 AF98:AF129">
    <cfRule type="containsBlanks" dxfId="1117" priority="887">
      <formula>LEN(TRIM(AF76))=0</formula>
    </cfRule>
    <cfRule type="containsBlanks" dxfId="1116" priority="890">
      <formula>LEN(TRIM(AF76))=0</formula>
    </cfRule>
    <cfRule type="containsText" dxfId="1115" priority="889" operator="containsText" text="A">
      <formula>NOT(ISERROR(SEARCH("A",AF76)))</formula>
    </cfRule>
    <cfRule type="containsText" dxfId="1114" priority="888" operator="containsText" text="PH">
      <formula>NOT(ISERROR(SEARCH("PH",AF76)))</formula>
    </cfRule>
    <cfRule type="containsText" dxfId="1113" priority="891" operator="containsText" text="S">
      <formula>NOT(ISERROR(SEARCH("S",AF76)))</formula>
    </cfRule>
  </conditionalFormatting>
  <conditionalFormatting sqref="AF90">
    <cfRule type="containsText" dxfId="1112" priority="125" operator="containsText" text="ID">
      <formula>NOT(ISERROR(SEARCH("ID",AF90)))</formula>
    </cfRule>
    <cfRule type="containsText" dxfId="1111" priority="127" operator="containsText" text="S">
      <formula>NOT(ISERROR(SEARCH("S",AF90)))</formula>
    </cfRule>
  </conditionalFormatting>
  <conditionalFormatting sqref="AF93:AF96 AF76:AF77">
    <cfRule type="containsText" dxfId="1110" priority="886" operator="containsText" text="A">
      <formula>NOT(ISERROR(SEARCH("A",AF76)))</formula>
    </cfRule>
  </conditionalFormatting>
  <conditionalFormatting sqref="AF93:AF96">
    <cfRule type="containsText" dxfId="1109" priority="885" operator="containsText" text="PH">
      <formula>NOT(ISERROR(SEARCH("PH",AF93)))</formula>
    </cfRule>
  </conditionalFormatting>
  <conditionalFormatting sqref="AF95">
    <cfRule type="containsText" dxfId="1108" priority="126" operator="containsText" text="v">
      <formula>NOT(ISERROR(SEARCH("v",AF95)))</formula>
    </cfRule>
  </conditionalFormatting>
  <conditionalFormatting sqref="AF5:AH5 AF12:AH12 S94:AF94">
    <cfRule type="containsText" dxfId="1107" priority="2532" operator="containsText" text="S">
      <formula>NOT(ISERROR(SEARCH("S",S5)))</formula>
    </cfRule>
    <cfRule type="containsText" dxfId="1106" priority="2533" operator="containsText" text="PH">
      <formula>NOT(ISERROR(SEARCH("PH",S5)))</formula>
    </cfRule>
  </conditionalFormatting>
  <conditionalFormatting sqref="AF5:AH5 AF12:AH12">
    <cfRule type="containsText" dxfId="1105" priority="1180" operator="containsText" text="PH">
      <formula>NOT(ISERROR(SEARCH("PH",AF5)))</formula>
    </cfRule>
    <cfRule type="containsText" dxfId="1104" priority="1183" operator="containsText" text="A">
      <formula>NOT(ISERROR(SEARCH("A",AF5)))</formula>
    </cfRule>
    <cfRule type="containsText" dxfId="1103" priority="1185" operator="containsText" text="S">
      <formula>NOT(ISERROR(SEARCH("S",AF5)))</formula>
    </cfRule>
    <cfRule type="containsBlanks" dxfId="1102" priority="1184">
      <formula>LEN(TRIM(AF5))=0</formula>
    </cfRule>
  </conditionalFormatting>
  <conditionalFormatting sqref="AG5 AG12">
    <cfRule type="containsText" dxfId="1101" priority="2529" operator="containsText" text="ID">
      <formula>NOT(ISERROR(SEARCH("ID",AG5)))</formula>
    </cfRule>
    <cfRule type="containsText" dxfId="1100" priority="2530" operator="containsText" text="ID">
      <formula>NOT(ISERROR(SEARCH("ID",AG5)))</formula>
    </cfRule>
    <cfRule type="containsText" dxfId="1099" priority="2531" operator="containsText" text="S">
      <formula>NOT(ISERROR(SEARCH("S",AG5)))</formula>
    </cfRule>
  </conditionalFormatting>
  <conditionalFormatting sqref="AG94 AI94">
    <cfRule type="containsText" dxfId="1098" priority="2321" operator="containsText" text="ID">
      <formula>NOT(ISERROR(SEARCH("ID",AG94)))</formula>
    </cfRule>
    <cfRule type="containsText" dxfId="1097" priority="2320" operator="containsText" text="ID">
      <formula>NOT(ISERROR(SEARCH("ID",AG94)))</formula>
    </cfRule>
    <cfRule type="containsText" dxfId="1096" priority="2322" operator="containsText" text="S">
      <formula>NOT(ISERROR(SEARCH("S",AG94)))</formula>
    </cfRule>
  </conditionalFormatting>
  <conditionalFormatting sqref="AG106:AH106">
    <cfRule type="containsText" dxfId="1095" priority="1175" operator="containsText" text="A">
      <formula>NOT(ISERROR(SEARCH("A",AG106)))</formula>
    </cfRule>
    <cfRule type="containsBlanks" dxfId="1094" priority="1176">
      <formula>LEN(TRIM(AG106))=0</formula>
    </cfRule>
    <cfRule type="containsText" dxfId="1093" priority="1174" operator="containsText" text="PH">
      <formula>NOT(ISERROR(SEARCH("PH",AG106)))</formula>
    </cfRule>
  </conditionalFormatting>
  <conditionalFormatting sqref="AG129:AH129">
    <cfRule type="containsBlanks" dxfId="1092" priority="1471">
      <formula>LEN(TRIM(AG129))=0</formula>
    </cfRule>
    <cfRule type="containsText" dxfId="1091" priority="1468" operator="containsText" text="S">
      <formula>NOT(ISERROR(SEARCH("S",AG129)))</formula>
    </cfRule>
    <cfRule type="containsText" dxfId="1090" priority="1469" operator="containsText" text="PH">
      <formula>NOT(ISERROR(SEARCH("PH",AG129)))</formula>
    </cfRule>
    <cfRule type="containsText" dxfId="1089" priority="1470" operator="containsText" text="A">
      <formula>NOT(ISERROR(SEARCH("A",AG129)))</formula>
    </cfRule>
  </conditionalFormatting>
  <conditionalFormatting sqref="AG20:AI21 AG24:AI24 H82:I82">
    <cfRule type="containsText" dxfId="1088" priority="795" operator="containsText" text="ID">
      <formula>NOT(ISERROR(SEARCH("ID",H20)))</formula>
    </cfRule>
    <cfRule type="containsText" dxfId="1087" priority="798" operator="containsText" text="S">
      <formula>NOT(ISERROR(SEARCH("S",H20)))</formula>
    </cfRule>
    <cfRule type="containsText" dxfId="1086" priority="799" operator="containsText" text="PH">
      <formula>NOT(ISERROR(SEARCH("PH",H20)))</formula>
    </cfRule>
    <cfRule type="containsText" dxfId="1085" priority="800" operator="containsText" text="A">
      <formula>NOT(ISERROR(SEARCH("A",H20)))</formula>
    </cfRule>
    <cfRule type="containsBlanks" dxfId="1084" priority="801">
      <formula>LEN(TRIM(H20))=0</formula>
    </cfRule>
    <cfRule type="containsText" dxfId="1083" priority="797" operator="containsText" text="S">
      <formula>NOT(ISERROR(SEARCH("S",H20)))</formula>
    </cfRule>
    <cfRule type="containsText" dxfId="1082" priority="796" operator="containsText" text="ID">
      <formula>NOT(ISERROR(SEARCH("ID",H20)))</formula>
    </cfRule>
    <cfRule type="containsText" dxfId="1081" priority="793" operator="containsText" text="ML">
      <formula>NOT(ISERROR(SEARCH("ML",H20)))</formula>
    </cfRule>
    <cfRule type="containsText" dxfId="1080" priority="794" operator="containsText" text="ID">
      <formula>NOT(ISERROR(SEARCH("ID",H20)))</formula>
    </cfRule>
  </conditionalFormatting>
  <conditionalFormatting sqref="AG24:AI24">
    <cfRule type="containsText" dxfId="1079" priority="291" operator="containsText" text="A">
      <formula>NOT(ISERROR(SEARCH("A",AG24)))</formula>
    </cfRule>
    <cfRule type="containsText" dxfId="1078" priority="284" operator="containsText" text="ML">
      <formula>NOT(ISERROR(SEARCH("ML",AG24)))</formula>
    </cfRule>
    <cfRule type="containsText" dxfId="1077" priority="285" operator="containsText" text="ID">
      <formula>NOT(ISERROR(SEARCH("ID",AG24)))</formula>
    </cfRule>
    <cfRule type="containsText" dxfId="1076" priority="286" operator="containsText" text="ID">
      <formula>NOT(ISERROR(SEARCH("ID",AG24)))</formula>
    </cfRule>
    <cfRule type="containsText" dxfId="1075" priority="290" operator="containsText" text="PH">
      <formula>NOT(ISERROR(SEARCH("PH",AG24)))</formula>
    </cfRule>
    <cfRule type="containsText" dxfId="1074" priority="287" operator="containsText" text="ID">
      <formula>NOT(ISERROR(SEARCH("ID",AG24)))</formula>
    </cfRule>
    <cfRule type="containsText" dxfId="1073" priority="288" operator="containsText" text="S">
      <formula>NOT(ISERROR(SEARCH("S",AG24)))</formula>
    </cfRule>
    <cfRule type="containsText" dxfId="1072" priority="289" operator="containsText" text="S">
      <formula>NOT(ISERROR(SEARCH("S",AG24)))</formula>
    </cfRule>
    <cfRule type="containsBlanks" dxfId="1071" priority="292">
      <formula>LEN(TRIM(AG24))=0</formula>
    </cfRule>
  </conditionalFormatting>
  <conditionalFormatting sqref="AG113:AI113">
    <cfRule type="containsText" dxfId="1070" priority="2311" operator="containsText" text="ID">
      <formula>NOT(ISERROR(SEARCH("ID",AG113)))</formula>
    </cfRule>
  </conditionalFormatting>
  <conditionalFormatting sqref="AH4:AH5 F13:G13 I13 L30:M30 N13">
    <cfRule type="containsText" dxfId="1069" priority="2417" operator="containsText" text="A">
      <formula>NOT(ISERROR(SEARCH("A",F4)))</formula>
    </cfRule>
  </conditionalFormatting>
  <conditionalFormatting sqref="AH4:AH5 F13:G13 I13 N13 L30:M30">
    <cfRule type="containsBlanks" dxfId="1068" priority="2418">
      <formula>LEN(TRIM(F4))=0</formula>
    </cfRule>
  </conditionalFormatting>
  <conditionalFormatting sqref="AH4:AH5 AE67">
    <cfRule type="containsText" dxfId="1067" priority="2099" operator="containsText" text="ID">
      <formula>NOT(ISERROR(SEARCH("ID",AE4)))</formula>
    </cfRule>
    <cfRule type="containsText" dxfId="1066" priority="2098" operator="containsText" text="ML">
      <formula>NOT(ISERROR(SEARCH("ML",AE4)))</formula>
    </cfRule>
  </conditionalFormatting>
  <conditionalFormatting sqref="AH4:AH6 M8:O8">
    <cfRule type="containsText" dxfId="1065" priority="1204" operator="containsText" text="ID">
      <formula>NOT(ISERROR(SEARCH("ID",M4)))</formula>
    </cfRule>
  </conditionalFormatting>
  <conditionalFormatting sqref="AH6 AH104:AH114 AH119:AH123">
    <cfRule type="containsText" dxfId="1064" priority="1377" operator="containsText" text="ID">
      <formula>NOT(ISERROR(SEARCH("ID",AH6)))</formula>
    </cfRule>
    <cfRule type="containsText" dxfId="1063" priority="1386" operator="containsText" text="ML">
      <formula>NOT(ISERROR(SEARCH("ML",AH6)))</formula>
    </cfRule>
    <cfRule type="containsText" dxfId="1062" priority="1393" operator="containsText" text="S">
      <formula>NOT(ISERROR(SEARCH("S",AH6)))</formula>
    </cfRule>
  </conditionalFormatting>
  <conditionalFormatting sqref="AH6 AH113:AH114">
    <cfRule type="containsText" dxfId="1061" priority="1381" operator="containsText" text="S">
      <formula>NOT(ISERROR(SEARCH("S",AH6)))</formula>
    </cfRule>
    <cfRule type="containsText" dxfId="1060" priority="1382" operator="containsText" text="PH">
      <formula>NOT(ISERROR(SEARCH("PH",AH6)))</formula>
    </cfRule>
    <cfRule type="containsText" dxfId="1059" priority="1383" operator="containsText" text="A">
      <formula>NOT(ISERROR(SEARCH("A",AH6)))</formula>
    </cfRule>
    <cfRule type="containsText" dxfId="1058" priority="1372" operator="containsText" text="ID">
      <formula>NOT(ISERROR(SEARCH("ID",AH6)))</formula>
    </cfRule>
    <cfRule type="containsText" dxfId="1057" priority="1379" operator="containsText" text="ID">
      <formula>NOT(ISERROR(SEARCH("ID",AH6)))</formula>
    </cfRule>
    <cfRule type="containsText" dxfId="1056" priority="1394" operator="containsText" text="S">
      <formula>NOT(ISERROR(SEARCH("S",AH6)))</formula>
    </cfRule>
    <cfRule type="containsBlanks" dxfId="1055" priority="1392">
      <formula>LEN(TRIM(AH6))=0</formula>
    </cfRule>
    <cfRule type="containsText" dxfId="1054" priority="1391" operator="containsText" text="A">
      <formula>NOT(ISERROR(SEARCH("A",AH6)))</formula>
    </cfRule>
    <cfRule type="containsText" dxfId="1053" priority="1390" operator="containsText" text="PH">
      <formula>NOT(ISERROR(SEARCH("PH",AH6)))</formula>
    </cfRule>
    <cfRule type="containsText" dxfId="1052" priority="1373" operator="containsText" text="S">
      <formula>NOT(ISERROR(SEARCH("S",AH6)))</formula>
    </cfRule>
    <cfRule type="containsText" dxfId="1051" priority="1374" operator="containsText" text="ML">
      <formula>NOT(ISERROR(SEARCH("ML",AH6)))</formula>
    </cfRule>
    <cfRule type="containsText" dxfId="1050" priority="1375" operator="containsText" text="S">
      <formula>NOT(ISERROR(SEARCH("S",AH6)))</formula>
    </cfRule>
    <cfRule type="containsText" dxfId="1049" priority="1376" operator="containsText" text="ML">
      <formula>NOT(ISERROR(SEARCH("ML",AH6)))</formula>
    </cfRule>
    <cfRule type="containsText" dxfId="1048" priority="1378" operator="containsText" text="ID">
      <formula>NOT(ISERROR(SEARCH("ID",AH6)))</formula>
    </cfRule>
    <cfRule type="containsText" dxfId="1047" priority="1396" operator="containsText" text="A">
      <formula>NOT(ISERROR(SEARCH("A",AH6)))</formula>
    </cfRule>
    <cfRule type="containsText" dxfId="1046" priority="1402" operator="containsText" text="A">
      <formula>NOT(ISERROR(SEARCH("A",AH6)))</formula>
    </cfRule>
    <cfRule type="containsText" dxfId="1045" priority="1401" operator="containsText" text="PH">
      <formula>NOT(ISERROR(SEARCH("PH",AH6)))</formula>
    </cfRule>
    <cfRule type="containsText" dxfId="1044" priority="1398" operator="containsText" text="S">
      <formula>NOT(ISERROR(SEARCH("S",AH6)))</formula>
    </cfRule>
    <cfRule type="containsBlanks" dxfId="1043" priority="1397">
      <formula>LEN(TRIM(AH6))=0</formula>
    </cfRule>
    <cfRule type="containsText" dxfId="1042" priority="1389" operator="containsText" text="S">
      <formula>NOT(ISERROR(SEARCH("S",AH6)))</formula>
    </cfRule>
    <cfRule type="containsText" dxfId="1041" priority="1380" operator="containsText" text="S">
      <formula>NOT(ISERROR(SEARCH("S",AH6)))</formula>
    </cfRule>
    <cfRule type="containsText" dxfId="1040" priority="1395" operator="containsText" text="PH">
      <formula>NOT(ISERROR(SEARCH("PH",AH6)))</formula>
    </cfRule>
    <cfRule type="containsText" dxfId="1039" priority="1385" operator="containsText" text="ID">
      <formula>NOT(ISERROR(SEARCH("ID",AH6)))</formula>
    </cfRule>
    <cfRule type="containsBlanks" dxfId="1038" priority="1384">
      <formula>LEN(TRIM(AH6))=0</formula>
    </cfRule>
  </conditionalFormatting>
  <conditionalFormatting sqref="AH6">
    <cfRule type="containsText" dxfId="1037" priority="1400" operator="containsText" text="S">
      <formula>NOT(ISERROR(SEARCH("S",AH6)))</formula>
    </cfRule>
    <cfRule type="containsText" dxfId="1036" priority="1388" operator="containsText" text="ID">
      <formula>NOT(ISERROR(SEARCH("ID",AH6)))</formula>
    </cfRule>
    <cfRule type="containsText" dxfId="1035" priority="1387" operator="containsText" text="ID">
      <formula>NOT(ISERROR(SEARCH("ID",AH6)))</formula>
    </cfRule>
    <cfRule type="containsText" dxfId="1034" priority="1399" operator="containsText" text="ID">
      <formula>NOT(ISERROR(SEARCH("ID",AH6)))</formula>
    </cfRule>
  </conditionalFormatting>
  <conditionalFormatting sqref="AH38 T55 AH119 T119:T120 N124">
    <cfRule type="containsText" dxfId="1033" priority="1565" operator="containsText" text="ID">
      <formula>NOT(ISERROR(SEARCH("ID",N38)))</formula>
    </cfRule>
  </conditionalFormatting>
  <conditionalFormatting sqref="AH47 AE111 K121:M122 K41:M41">
    <cfRule type="containsText" dxfId="1032" priority="2365" operator="containsText" text="ID">
      <formula>NOT(ISERROR(SEARCH("ID",K41)))</formula>
    </cfRule>
  </conditionalFormatting>
  <conditionalFormatting sqref="AH104:AH112 AH119:AH123">
    <cfRule type="containsText" dxfId="1031" priority="1438" operator="containsText" text="ID">
      <formula>NOT(ISERROR(SEARCH("ID",AH104)))</formula>
    </cfRule>
    <cfRule type="containsText" dxfId="1030" priority="1439" operator="containsText" text="ID">
      <formula>NOT(ISERROR(SEARCH("ID",AH104)))</formula>
    </cfRule>
    <cfRule type="containsText" dxfId="1029" priority="1440" operator="containsText" text="ID">
      <formula>NOT(ISERROR(SEARCH("ID",AH104)))</formula>
    </cfRule>
    <cfRule type="containsText" dxfId="1028" priority="1441" operator="containsText" text="S">
      <formula>NOT(ISERROR(SEARCH("S",AH104)))</formula>
    </cfRule>
    <cfRule type="containsText" dxfId="1027" priority="1442" operator="containsText" text="S">
      <formula>NOT(ISERROR(SEARCH("S",AH104)))</formula>
    </cfRule>
    <cfRule type="containsText" dxfId="1026" priority="1443" operator="containsText" text="PH">
      <formula>NOT(ISERROR(SEARCH("PH",AH104)))</formula>
    </cfRule>
    <cfRule type="containsText" dxfId="1025" priority="1444" operator="containsText" text="A">
      <formula>NOT(ISERROR(SEARCH("A",AH104)))</formula>
    </cfRule>
    <cfRule type="containsBlanks" dxfId="1024" priority="1445">
      <formula>LEN(TRIM(AH104))=0</formula>
    </cfRule>
    <cfRule type="containsText" dxfId="1023" priority="1446" operator="containsText" text="ID">
      <formula>NOT(ISERROR(SEARCH("ID",AH104)))</formula>
    </cfRule>
    <cfRule type="containsText" dxfId="1022" priority="1447" operator="containsText" text="PH">
      <formula>NOT(ISERROR(SEARCH("PH",AH104)))</formula>
    </cfRule>
    <cfRule type="containsText" dxfId="1021" priority="1450" operator="containsText" text="ID">
      <formula>NOT(ISERROR(SEARCH("ID",AH104)))</formula>
    </cfRule>
    <cfRule type="containsText" dxfId="1020" priority="1448" operator="containsText" text="S">
      <formula>NOT(ISERROR(SEARCH("S",AH104)))</formula>
    </cfRule>
    <cfRule type="containsText" dxfId="1019" priority="1411" operator="containsText" text="ID">
      <formula>NOT(ISERROR(SEARCH("ID",AH104)))</formula>
    </cfRule>
    <cfRule type="containsText" dxfId="1018" priority="1453" operator="containsText" text="A">
      <formula>NOT(ISERROR(SEARCH("A",AH104)))</formula>
    </cfRule>
    <cfRule type="containsText" dxfId="1017" priority="1452" operator="containsText" text="S">
      <formula>NOT(ISERROR(SEARCH("S",AH104)))</formula>
    </cfRule>
    <cfRule type="containsText" dxfId="1016" priority="1451" operator="containsText" text="ID">
      <formula>NOT(ISERROR(SEARCH("ID",AH104)))</formula>
    </cfRule>
    <cfRule type="containsText" dxfId="1015" priority="1409" operator="containsText" text="ML">
      <formula>NOT(ISERROR(SEARCH("ML",AH104)))</formula>
    </cfRule>
    <cfRule type="containsText" dxfId="1014" priority="1449" operator="containsText" text="ML">
      <formula>NOT(ISERROR(SEARCH("ML",AH104)))</formula>
    </cfRule>
    <cfRule type="containsBlanks" dxfId="1013" priority="1454">
      <formula>LEN(TRIM(AH104))=0</formula>
    </cfRule>
    <cfRule type="containsText" dxfId="1012" priority="1434" operator="containsText" text="PH">
      <formula>NOT(ISERROR(SEARCH("PH",AH104)))</formula>
    </cfRule>
    <cfRule type="containsText" dxfId="1011" priority="1433" operator="containsText" text="S">
      <formula>NOT(ISERROR(SEARCH("S",AH104)))</formula>
    </cfRule>
    <cfRule type="containsText" dxfId="1010" priority="1437" operator="containsText" text="ML">
      <formula>NOT(ISERROR(SEARCH("ML",AH104)))</formula>
    </cfRule>
    <cfRule type="containsBlanks" dxfId="1009" priority="1436">
      <formula>LEN(TRIM(AH104))=0</formula>
    </cfRule>
    <cfRule type="containsText" dxfId="1008" priority="1435" operator="containsText" text="A">
      <formula>NOT(ISERROR(SEARCH("A",AH104)))</formula>
    </cfRule>
    <cfRule type="containsText" dxfId="1007" priority="1426" operator="containsText" text="S">
      <formula>NOT(ISERROR(SEARCH("S",AH104)))</formula>
    </cfRule>
    <cfRule type="containsText" dxfId="1006" priority="1432" operator="containsText" text="ID">
      <formula>NOT(ISERROR(SEARCH("ID",AH104)))</formula>
    </cfRule>
    <cfRule type="containsText" dxfId="1005" priority="1431" operator="containsText" text="S">
      <formula>NOT(ISERROR(SEARCH("S",AH104)))</formula>
    </cfRule>
    <cfRule type="containsBlanks" dxfId="1004" priority="1430">
      <formula>LEN(TRIM(AH104))=0</formula>
    </cfRule>
    <cfRule type="containsText" dxfId="1003" priority="1429" operator="containsText" text="A">
      <formula>NOT(ISERROR(SEARCH("A",AH104)))</formula>
    </cfRule>
    <cfRule type="containsText" dxfId="1002" priority="1428" operator="containsText" text="PH">
      <formula>NOT(ISERROR(SEARCH("PH",AH104)))</formula>
    </cfRule>
    <cfRule type="containsText" dxfId="1001" priority="1427" operator="containsText" text="S">
      <formula>NOT(ISERROR(SEARCH("S",AH104)))</formula>
    </cfRule>
    <cfRule type="containsBlanks" dxfId="1000" priority="1425">
      <formula>LEN(TRIM(AH104))=0</formula>
    </cfRule>
    <cfRule type="containsText" dxfId="999" priority="1424" operator="containsText" text="A">
      <formula>NOT(ISERROR(SEARCH("A",AH104)))</formula>
    </cfRule>
    <cfRule type="containsText" dxfId="998" priority="1423" operator="containsText" text="PH">
      <formula>NOT(ISERROR(SEARCH("PH",AH104)))</formula>
    </cfRule>
    <cfRule type="containsText" dxfId="997" priority="1422" operator="containsText" text="S">
      <formula>NOT(ISERROR(SEARCH("S",AH104)))</formula>
    </cfRule>
    <cfRule type="containsText" dxfId="996" priority="1421" operator="containsText" text="ID">
      <formula>NOT(ISERROR(SEARCH("ID",AH104)))</formula>
    </cfRule>
    <cfRule type="containsText" dxfId="995" priority="1420" operator="containsText" text="ID">
      <formula>NOT(ISERROR(SEARCH("ID",AH104)))</formula>
    </cfRule>
    <cfRule type="containsText" dxfId="994" priority="1419" operator="containsText" text="ML">
      <formula>NOT(ISERROR(SEARCH("ML",AH104)))</formula>
    </cfRule>
    <cfRule type="containsText" dxfId="993" priority="1418" operator="containsText" text="ID">
      <formula>NOT(ISERROR(SEARCH("ID",AH104)))</formula>
    </cfRule>
    <cfRule type="containsBlanks" dxfId="992" priority="1417">
      <formula>LEN(TRIM(AH104))=0</formula>
    </cfRule>
    <cfRule type="containsText" dxfId="991" priority="1416" operator="containsText" text="A">
      <formula>NOT(ISERROR(SEARCH("A",AH104)))</formula>
    </cfRule>
    <cfRule type="containsText" dxfId="990" priority="1415" operator="containsText" text="PH">
      <formula>NOT(ISERROR(SEARCH("PH",AH104)))</formula>
    </cfRule>
    <cfRule type="containsText" dxfId="989" priority="1414" operator="containsText" text="S">
      <formula>NOT(ISERROR(SEARCH("S",AH104)))</formula>
    </cfRule>
    <cfRule type="containsText" dxfId="988" priority="1413" operator="containsText" text="S">
      <formula>NOT(ISERROR(SEARCH("S",AH104)))</formula>
    </cfRule>
    <cfRule type="containsText" dxfId="987" priority="1412" operator="containsText" text="ID">
      <formula>NOT(ISERROR(SEARCH("ID",AH104)))</formula>
    </cfRule>
  </conditionalFormatting>
  <conditionalFormatting sqref="AH106">
    <cfRule type="containsText" dxfId="986" priority="1368" operator="containsText" text="S">
      <formula>NOT(ISERROR(SEARCH("S",AH106)))</formula>
    </cfRule>
    <cfRule type="containsText" dxfId="985" priority="1369" operator="containsText" text="ID">
      <formula>NOT(ISERROR(SEARCH("ID",AH106)))</formula>
    </cfRule>
  </conditionalFormatting>
  <conditionalFormatting sqref="AH113:AH114 AH6">
    <cfRule type="containsText" dxfId="984" priority="1371" operator="containsText" text="ID">
      <formula>NOT(ISERROR(SEARCH("ID",AH6)))</formula>
    </cfRule>
  </conditionalFormatting>
  <conditionalFormatting sqref="AH113:AH114">
    <cfRule type="containsText" dxfId="983" priority="1370" operator="containsText" text="ID">
      <formula>NOT(ISERROR(SEARCH("ID",AH113)))</formula>
    </cfRule>
  </conditionalFormatting>
  <conditionalFormatting sqref="AH119 T55 T119:T120 AH38 N124">
    <cfRule type="containsText" dxfId="982" priority="1563" operator="containsText" text="S">
      <formula>NOT(ISERROR(SEARCH("S",N38)))</formula>
    </cfRule>
  </conditionalFormatting>
  <conditionalFormatting sqref="AH129">
    <cfRule type="containsText" dxfId="981" priority="1205" operator="containsText" text="S">
      <formula>NOT(ISERROR(SEARCH("S",AH129)))</formula>
    </cfRule>
  </conditionalFormatting>
  <conditionalFormatting sqref="AI129">
    <cfRule type="containsText" dxfId="980" priority="2430" operator="containsText" text="S">
      <formula>NOT(ISERROR(SEARCH("S",AI129)))</formula>
    </cfRule>
    <cfRule type="containsText" dxfId="979" priority="2431" operator="containsText" text="PH">
      <formula>NOT(ISERROR(SEARCH("PH",AI129)))</formula>
    </cfRule>
    <cfRule type="containsText" dxfId="978" priority="2432" operator="containsText" text="A">
      <formula>NOT(ISERROR(SEARCH("A",AI129)))</formula>
    </cfRule>
    <cfRule type="containsBlanks" dxfId="977" priority="2433">
      <formula>LEN(TRIM(AI129))=0</formula>
    </cfRule>
  </conditionalFormatting>
  <pageMargins left="0.25" right="0.25" top="0.35" bottom="0.53" header="0.3" footer="0.3"/>
  <pageSetup paperSize="8" scale="50" fitToHeight="0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F217"/>
  <sheetViews>
    <sheetView zoomScaleNormal="100" zoomScaleSheetLayoutView="100" workbookViewId="0">
      <pane xSplit="5" ySplit="3" topLeftCell="F4" activePane="bottomRight" state="frozen"/>
      <selection pane="topRight" activeCell="L1" sqref="L1"/>
      <selection pane="bottomLeft" activeCell="A4" sqref="A4"/>
      <selection pane="bottomRight" activeCell="C4" sqref="C4"/>
    </sheetView>
  </sheetViews>
  <sheetFormatPr defaultColWidth="9.28515625" defaultRowHeight="13.5" x14ac:dyDescent="0.25"/>
  <cols>
    <col min="1" max="1" width="3.7109375" style="2" customWidth="1"/>
    <col min="2" max="2" width="4.28515625" style="113" customWidth="1"/>
    <col min="3" max="3" width="26" style="6" bestFit="1" customWidth="1"/>
    <col min="4" max="4" width="14.42578125" style="3" bestFit="1" customWidth="1"/>
    <col min="5" max="5" width="9" style="3" bestFit="1" customWidth="1"/>
    <col min="6" max="10" width="4.28515625" style="1" customWidth="1"/>
    <col min="11" max="11" width="4.28515625" style="5" customWidth="1"/>
    <col min="12" max="17" width="4.28515625" style="1" customWidth="1"/>
    <col min="18" max="19" width="4.28515625" style="5" customWidth="1"/>
    <col min="20" max="28" width="4.28515625" style="1" customWidth="1"/>
    <col min="29" max="35" width="4.28515625" style="5" customWidth="1"/>
    <col min="36" max="39" width="5.140625" style="142" bestFit="1" customWidth="1"/>
    <col min="40" max="40" width="5.140625" style="142" hidden="1" customWidth="1"/>
    <col min="41" max="41" width="4.7109375" style="142" customWidth="1"/>
    <col min="42" max="43" width="4.7109375" style="142" hidden="1" customWidth="1"/>
    <col min="44" max="44" width="5.28515625" style="142" hidden="1" customWidth="1"/>
    <col min="45" max="45" width="4.7109375" style="142" hidden="1" customWidth="1"/>
    <col min="46" max="46" width="7" style="142" bestFit="1" customWidth="1"/>
    <col min="47" max="47" width="7.28515625" style="142" bestFit="1" customWidth="1"/>
    <col min="48" max="48" width="7" style="142" bestFit="1" customWidth="1"/>
    <col min="49" max="49" width="7.5703125" style="1" customWidth="1"/>
    <col min="50" max="50" width="5.7109375" style="1" customWidth="1"/>
    <col min="51" max="51" width="7.5703125" style="1" bestFit="1" customWidth="1"/>
    <col min="52" max="52" width="6.28515625" style="1" customWidth="1"/>
    <col min="53" max="54" width="9.28515625" style="1" customWidth="1"/>
    <col min="55" max="55" width="6.42578125" style="1" customWidth="1"/>
    <col min="56" max="56" width="9.140625" style="1" customWidth="1"/>
    <col min="57" max="57" width="7.28515625" style="1" bestFit="1" customWidth="1"/>
    <col min="58" max="58" width="9.28515625" style="1" customWidth="1"/>
    <col min="59" max="59" width="7.140625" style="1" bestFit="1" customWidth="1"/>
    <col min="60" max="60" width="7.28515625" style="1" bestFit="1" customWidth="1"/>
    <col min="61" max="62" width="9.42578125" style="1" customWidth="1"/>
    <col min="63" max="63" width="7" style="1" customWidth="1"/>
    <col min="64" max="66" width="8.42578125" style="1" customWidth="1"/>
    <col min="67" max="67" width="9.140625" style="1" bestFit="1" customWidth="1"/>
    <col min="68" max="68" width="6.7109375" style="1" customWidth="1"/>
    <col min="69" max="69" width="7.5703125" style="1" customWidth="1"/>
    <col min="70" max="70" width="8.140625" style="1" bestFit="1" customWidth="1"/>
    <col min="71" max="75" width="8.28515625" style="142" hidden="1" customWidth="1"/>
    <col min="76" max="76" width="9.28515625" style="142" hidden="1" customWidth="1"/>
    <col min="77" max="78" width="8.28515625" style="142" hidden="1" customWidth="1"/>
    <col min="79" max="79" width="8.7109375" style="142" hidden="1" customWidth="1"/>
    <col min="80" max="82" width="8.28515625" style="142" hidden="1" customWidth="1"/>
    <col min="83" max="83" width="9" style="142" hidden="1" customWidth="1"/>
    <col min="84" max="86" width="8.28515625" style="142" hidden="1" customWidth="1"/>
    <col min="87" max="87" width="8.7109375" style="142" hidden="1" customWidth="1"/>
    <col min="88" max="90" width="8.28515625" style="142" hidden="1" customWidth="1"/>
    <col min="91" max="91" width="8.42578125" style="142" hidden="1" customWidth="1"/>
    <col min="92" max="96" width="8.28515625" style="142" hidden="1" customWidth="1"/>
    <col min="97" max="97" width="8.7109375" style="142" hidden="1" customWidth="1"/>
    <col min="98" max="125" width="8.28515625" style="142" hidden="1" customWidth="1"/>
    <col min="126" max="128" width="9.28515625" style="142" hidden="1" customWidth="1"/>
    <col min="129" max="129" width="8.28515625" style="142" hidden="1" customWidth="1"/>
    <col min="130" max="130" width="9.28515625" style="142" hidden="1" customWidth="1"/>
    <col min="131" max="131" width="8.7109375" style="142" hidden="1" customWidth="1"/>
    <col min="132" max="132" width="9.28515625" style="142" hidden="1" customWidth="1"/>
    <col min="133" max="133" width="8.28515625" style="142" hidden="1" customWidth="1"/>
    <col min="134" max="134" width="9.28515625" style="142" hidden="1" customWidth="1"/>
    <col min="135" max="135" width="14.140625" style="1" bestFit="1" customWidth="1"/>
    <col min="136" max="136" width="21" style="1" bestFit="1" customWidth="1"/>
    <col min="137" max="16384" width="9.28515625" style="1"/>
  </cols>
  <sheetData>
    <row r="1" spans="1:136" s="10" customFormat="1" ht="28.5" customHeight="1" thickBot="1" x14ac:dyDescent="0.25">
      <c r="A1" s="174" t="s">
        <v>16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6"/>
      <c r="AZ1" s="174" t="s">
        <v>602</v>
      </c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6"/>
      <c r="BS1" s="8"/>
      <c r="BT1" s="9">
        <v>0.5</v>
      </c>
      <c r="BU1" s="9"/>
      <c r="BV1" s="9">
        <v>1</v>
      </c>
      <c r="BW1" s="9"/>
      <c r="BX1" s="9">
        <v>1.5</v>
      </c>
      <c r="BY1" s="9"/>
      <c r="BZ1" s="9">
        <v>2</v>
      </c>
      <c r="CA1" s="9"/>
      <c r="CB1" s="9">
        <v>2.5</v>
      </c>
      <c r="CC1" s="9"/>
      <c r="CD1" s="9">
        <v>3</v>
      </c>
      <c r="CE1" s="9"/>
      <c r="CF1" s="9">
        <v>3.5</v>
      </c>
      <c r="CG1" s="9"/>
      <c r="CH1" s="9">
        <v>4</v>
      </c>
      <c r="CI1" s="9"/>
      <c r="CJ1" s="9" t="s">
        <v>2</v>
      </c>
      <c r="CK1" s="9"/>
      <c r="CL1" s="9">
        <v>5</v>
      </c>
      <c r="CM1" s="9"/>
      <c r="CN1" s="9">
        <v>5.5</v>
      </c>
      <c r="CO1" s="9"/>
      <c r="CP1" s="9">
        <v>6</v>
      </c>
      <c r="CQ1" s="9"/>
      <c r="CR1" s="9">
        <v>6.5</v>
      </c>
      <c r="CS1" s="9"/>
      <c r="CT1" s="9">
        <v>7</v>
      </c>
      <c r="CU1" s="9"/>
      <c r="CV1" s="9">
        <v>7.5</v>
      </c>
      <c r="CW1" s="9"/>
      <c r="CX1" s="9">
        <v>8</v>
      </c>
      <c r="CY1" s="9"/>
      <c r="CZ1" s="9">
        <v>8.5</v>
      </c>
      <c r="DA1" s="9"/>
      <c r="DB1" s="9">
        <v>9</v>
      </c>
      <c r="DC1" s="9"/>
      <c r="DD1" s="9">
        <v>9.5</v>
      </c>
      <c r="DE1" s="9"/>
      <c r="DF1" s="9">
        <v>10</v>
      </c>
      <c r="DG1" s="9"/>
      <c r="DH1" s="9">
        <v>10.5</v>
      </c>
      <c r="DI1" s="9"/>
      <c r="DJ1" s="9">
        <v>11</v>
      </c>
      <c r="DK1" s="9"/>
      <c r="DL1" s="9">
        <v>11.5</v>
      </c>
      <c r="DM1" s="9"/>
      <c r="DN1" s="9">
        <v>12</v>
      </c>
      <c r="DO1" s="9"/>
      <c r="DP1" s="9">
        <v>12.5</v>
      </c>
      <c r="DQ1" s="9"/>
      <c r="DR1" s="9">
        <v>13</v>
      </c>
      <c r="DS1" s="9"/>
      <c r="DT1" s="9">
        <v>13.5</v>
      </c>
      <c r="DU1" s="9"/>
      <c r="DV1" s="9">
        <v>14</v>
      </c>
      <c r="DW1" s="9"/>
      <c r="DX1" s="9" t="s">
        <v>18</v>
      </c>
      <c r="DY1" s="9"/>
      <c r="DZ1" s="9">
        <v>15</v>
      </c>
      <c r="EA1" s="9"/>
      <c r="EB1" s="9">
        <v>15.5</v>
      </c>
      <c r="EC1" s="9"/>
      <c r="ED1" s="9">
        <v>16</v>
      </c>
    </row>
    <row r="2" spans="1:136" ht="54" customHeight="1" x14ac:dyDescent="0.25">
      <c r="A2" s="183" t="s">
        <v>3</v>
      </c>
      <c r="B2" s="184" t="s">
        <v>4</v>
      </c>
      <c r="C2" s="186" t="s">
        <v>0</v>
      </c>
      <c r="D2" s="186" t="s">
        <v>314</v>
      </c>
      <c r="E2" s="186" t="s">
        <v>1</v>
      </c>
      <c r="F2" s="58">
        <v>45901</v>
      </c>
      <c r="G2" s="58">
        <v>45902</v>
      </c>
      <c r="H2" s="58">
        <v>45903</v>
      </c>
      <c r="I2" s="58">
        <v>45904</v>
      </c>
      <c r="J2" s="140">
        <v>45905</v>
      </c>
      <c r="K2" s="58">
        <v>45906</v>
      </c>
      <c r="L2" s="59">
        <v>45907</v>
      </c>
      <c r="M2" s="58">
        <v>45908</v>
      </c>
      <c r="N2" s="58">
        <v>45909</v>
      </c>
      <c r="O2" s="58">
        <v>45910</v>
      </c>
      <c r="P2" s="58">
        <v>45911</v>
      </c>
      <c r="Q2" s="58">
        <v>45912</v>
      </c>
      <c r="R2" s="58">
        <v>45913</v>
      </c>
      <c r="S2" s="59">
        <v>45914</v>
      </c>
      <c r="T2" s="58">
        <v>45915</v>
      </c>
      <c r="U2" s="58">
        <v>45916</v>
      </c>
      <c r="V2" s="58">
        <v>45917</v>
      </c>
      <c r="W2" s="58">
        <v>45918</v>
      </c>
      <c r="X2" s="58">
        <v>45919</v>
      </c>
      <c r="Y2" s="58">
        <v>45920</v>
      </c>
      <c r="Z2" s="59">
        <v>45921</v>
      </c>
      <c r="AA2" s="58">
        <v>45922</v>
      </c>
      <c r="AB2" s="58">
        <v>45923</v>
      </c>
      <c r="AC2" s="58">
        <v>45924</v>
      </c>
      <c r="AD2" s="58">
        <v>45925</v>
      </c>
      <c r="AE2" s="58">
        <v>45926</v>
      </c>
      <c r="AF2" s="58">
        <v>45927</v>
      </c>
      <c r="AG2" s="59">
        <v>45928</v>
      </c>
      <c r="AH2" s="58">
        <v>45929</v>
      </c>
      <c r="AI2" s="58">
        <v>45930</v>
      </c>
      <c r="AJ2" s="173" t="s">
        <v>608</v>
      </c>
      <c r="AK2" s="173" t="s">
        <v>609</v>
      </c>
      <c r="AL2" s="173" t="s">
        <v>610</v>
      </c>
      <c r="AM2" s="173" t="s">
        <v>611</v>
      </c>
      <c r="AN2" s="181" t="s">
        <v>612</v>
      </c>
      <c r="AO2" s="182" t="s">
        <v>560</v>
      </c>
      <c r="AP2" s="182" t="s">
        <v>561</v>
      </c>
      <c r="AQ2" s="166" t="s">
        <v>562</v>
      </c>
      <c r="AR2" s="166" t="s">
        <v>576</v>
      </c>
      <c r="AS2" s="166" t="s">
        <v>309</v>
      </c>
      <c r="AT2" s="188" t="s">
        <v>5</v>
      </c>
      <c r="AU2" s="189" t="s">
        <v>17</v>
      </c>
      <c r="AV2" s="166" t="s">
        <v>564</v>
      </c>
      <c r="AW2" s="187" t="s">
        <v>6</v>
      </c>
      <c r="AX2" s="187" t="s">
        <v>7</v>
      </c>
      <c r="AY2" s="193" t="s">
        <v>58</v>
      </c>
      <c r="AZ2" s="195" t="s">
        <v>47</v>
      </c>
      <c r="BA2" s="197" t="s">
        <v>48</v>
      </c>
      <c r="BB2" s="197" t="s">
        <v>49</v>
      </c>
      <c r="BC2" s="199" t="s">
        <v>47</v>
      </c>
      <c r="BD2" s="199" t="s">
        <v>48</v>
      </c>
      <c r="BE2" s="199" t="s">
        <v>50</v>
      </c>
      <c r="BF2" s="199" t="s">
        <v>49</v>
      </c>
      <c r="BG2" s="199" t="s">
        <v>105</v>
      </c>
      <c r="BH2" s="199" t="s">
        <v>106</v>
      </c>
      <c r="BI2" s="199" t="s">
        <v>563</v>
      </c>
      <c r="BJ2" s="191" t="s">
        <v>170</v>
      </c>
      <c r="BK2" s="199" t="s">
        <v>318</v>
      </c>
      <c r="BL2" s="191" t="s">
        <v>52</v>
      </c>
      <c r="BM2" s="191" t="s">
        <v>149</v>
      </c>
      <c r="BN2" s="199" t="s">
        <v>53</v>
      </c>
      <c r="BO2" s="199" t="s">
        <v>54</v>
      </c>
      <c r="BP2" s="191" t="s">
        <v>55</v>
      </c>
      <c r="BQ2" s="191" t="s">
        <v>56</v>
      </c>
      <c r="BR2" s="201" t="s">
        <v>57</v>
      </c>
      <c r="BS2" s="11" t="s">
        <v>8</v>
      </c>
      <c r="BT2" s="12"/>
      <c r="BU2" s="12" t="s">
        <v>9</v>
      </c>
      <c r="BV2" s="12"/>
      <c r="BW2" s="12" t="s">
        <v>10</v>
      </c>
      <c r="BX2" s="12"/>
      <c r="BY2" s="12" t="s">
        <v>11</v>
      </c>
      <c r="BZ2" s="12"/>
      <c r="CA2" s="12" t="s">
        <v>19</v>
      </c>
      <c r="CB2" s="12"/>
      <c r="CC2" s="12" t="s">
        <v>20</v>
      </c>
      <c r="CD2" s="12"/>
      <c r="CE2" s="12" t="s">
        <v>21</v>
      </c>
      <c r="CF2" s="12"/>
      <c r="CG2" s="12" t="s">
        <v>22</v>
      </c>
      <c r="CH2" s="12"/>
      <c r="CI2" s="12" t="s">
        <v>23</v>
      </c>
      <c r="CJ2" s="12"/>
      <c r="CK2" s="12" t="s">
        <v>24</v>
      </c>
      <c r="CL2" s="12"/>
      <c r="CM2" s="12" t="s">
        <v>25</v>
      </c>
      <c r="CN2" s="12"/>
      <c r="CO2" s="12" t="s">
        <v>26</v>
      </c>
      <c r="CP2" s="12"/>
      <c r="CQ2" s="12" t="s">
        <v>27</v>
      </c>
      <c r="CR2" s="12"/>
      <c r="CS2" s="12" t="s">
        <v>28</v>
      </c>
      <c r="CT2" s="12"/>
      <c r="CU2" s="12" t="s">
        <v>29</v>
      </c>
      <c r="CV2" s="12"/>
      <c r="CW2" s="12" t="s">
        <v>30</v>
      </c>
      <c r="CX2" s="12"/>
      <c r="CY2" s="12" t="s">
        <v>31</v>
      </c>
      <c r="CZ2" s="12"/>
      <c r="DA2" s="12" t="s">
        <v>32</v>
      </c>
      <c r="DB2" s="12"/>
      <c r="DC2" s="12" t="s">
        <v>33</v>
      </c>
      <c r="DD2" s="12"/>
      <c r="DE2" s="12" t="s">
        <v>34</v>
      </c>
      <c r="DF2" s="12"/>
      <c r="DG2" s="12" t="s">
        <v>35</v>
      </c>
      <c r="DH2" s="12"/>
      <c r="DI2" s="12" t="s">
        <v>36</v>
      </c>
      <c r="DJ2" s="12"/>
      <c r="DK2" s="12" t="s">
        <v>37</v>
      </c>
      <c r="DL2" s="12"/>
      <c r="DM2" s="12" t="s">
        <v>38</v>
      </c>
      <c r="DN2" s="12"/>
      <c r="DO2" s="12" t="s">
        <v>39</v>
      </c>
      <c r="DP2" s="12"/>
      <c r="DQ2" s="12" t="s">
        <v>40</v>
      </c>
      <c r="DR2" s="12"/>
      <c r="DS2" s="12" t="s">
        <v>41</v>
      </c>
      <c r="DT2" s="12"/>
      <c r="DU2" s="12" t="s">
        <v>42</v>
      </c>
      <c r="DV2" s="12"/>
      <c r="DW2" s="12" t="s">
        <v>43</v>
      </c>
      <c r="DX2" s="12"/>
      <c r="DY2" s="12" t="s">
        <v>44</v>
      </c>
      <c r="DZ2" s="12"/>
      <c r="EA2" s="12" t="s">
        <v>45</v>
      </c>
      <c r="EB2" s="12"/>
      <c r="EC2" s="12" t="s">
        <v>46</v>
      </c>
      <c r="ED2" s="12"/>
      <c r="EE2" s="10"/>
    </row>
    <row r="3" spans="1:136" ht="20.25" customHeight="1" x14ac:dyDescent="0.25">
      <c r="A3" s="177"/>
      <c r="B3" s="185"/>
      <c r="C3" s="179"/>
      <c r="D3" s="179"/>
      <c r="E3" s="179"/>
      <c r="F3" s="13" t="s">
        <v>12</v>
      </c>
      <c r="G3" s="13" t="s">
        <v>13</v>
      </c>
      <c r="H3" s="13" t="s">
        <v>14</v>
      </c>
      <c r="I3" s="13" t="s">
        <v>13</v>
      </c>
      <c r="J3" s="141" t="s">
        <v>2</v>
      </c>
      <c r="K3" s="13" t="s">
        <v>15</v>
      </c>
      <c r="L3" s="14" t="s">
        <v>15</v>
      </c>
      <c r="M3" s="13" t="s">
        <v>12</v>
      </c>
      <c r="N3" s="13" t="s">
        <v>13</v>
      </c>
      <c r="O3" s="13" t="s">
        <v>14</v>
      </c>
      <c r="P3" s="13" t="s">
        <v>13</v>
      </c>
      <c r="Q3" s="13" t="s">
        <v>2</v>
      </c>
      <c r="R3" s="13" t="s">
        <v>15</v>
      </c>
      <c r="S3" s="14" t="s">
        <v>15</v>
      </c>
      <c r="T3" s="13" t="s">
        <v>12</v>
      </c>
      <c r="U3" s="13" t="s">
        <v>13</v>
      </c>
      <c r="V3" s="13" t="s">
        <v>14</v>
      </c>
      <c r="W3" s="13" t="s">
        <v>13</v>
      </c>
      <c r="X3" s="13" t="s">
        <v>2</v>
      </c>
      <c r="Y3" s="13" t="s">
        <v>15</v>
      </c>
      <c r="Z3" s="14" t="s">
        <v>15</v>
      </c>
      <c r="AA3" s="13" t="s">
        <v>12</v>
      </c>
      <c r="AB3" s="13" t="s">
        <v>13</v>
      </c>
      <c r="AC3" s="13" t="s">
        <v>14</v>
      </c>
      <c r="AD3" s="13" t="s">
        <v>13</v>
      </c>
      <c r="AE3" s="13" t="s">
        <v>2</v>
      </c>
      <c r="AF3" s="13" t="s">
        <v>15</v>
      </c>
      <c r="AG3" s="14" t="s">
        <v>15</v>
      </c>
      <c r="AH3" s="13" t="s">
        <v>12</v>
      </c>
      <c r="AI3" s="13" t="s">
        <v>13</v>
      </c>
      <c r="AJ3" s="171"/>
      <c r="AK3" s="171"/>
      <c r="AL3" s="171"/>
      <c r="AM3" s="171"/>
      <c r="AN3" s="171"/>
      <c r="AO3" s="167"/>
      <c r="AP3" s="167"/>
      <c r="AQ3" s="167"/>
      <c r="AR3" s="167"/>
      <c r="AS3" s="167"/>
      <c r="AT3" s="169"/>
      <c r="AU3" s="190"/>
      <c r="AV3" s="167"/>
      <c r="AW3" s="160"/>
      <c r="AX3" s="160"/>
      <c r="AY3" s="194"/>
      <c r="AZ3" s="196"/>
      <c r="BA3" s="198"/>
      <c r="BB3" s="198"/>
      <c r="BC3" s="200"/>
      <c r="BD3" s="200"/>
      <c r="BE3" s="200"/>
      <c r="BF3" s="200"/>
      <c r="BG3" s="200"/>
      <c r="BH3" s="200"/>
      <c r="BI3" s="200"/>
      <c r="BJ3" s="192"/>
      <c r="BK3" s="200"/>
      <c r="BL3" s="192"/>
      <c r="BM3" s="192"/>
      <c r="BN3" s="200"/>
      <c r="BO3" s="200"/>
      <c r="BP3" s="192"/>
      <c r="BQ3" s="192"/>
      <c r="BR3" s="202"/>
      <c r="BS3" s="11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0"/>
    </row>
    <row r="4" spans="1:136" s="2" customFormat="1" ht="18" customHeight="1" x14ac:dyDescent="0.25">
      <c r="A4" s="15">
        <v>1</v>
      </c>
      <c r="B4" s="108" t="s">
        <v>108</v>
      </c>
      <c r="C4" s="134" t="s">
        <v>109</v>
      </c>
      <c r="D4" s="16" t="s">
        <v>107</v>
      </c>
      <c r="E4" s="18">
        <v>44970</v>
      </c>
      <c r="F4" s="19">
        <v>10</v>
      </c>
      <c r="G4" s="19">
        <v>8</v>
      </c>
      <c r="H4" s="19">
        <v>10</v>
      </c>
      <c r="I4" s="19">
        <v>8</v>
      </c>
      <c r="J4" s="19" t="s">
        <v>603</v>
      </c>
      <c r="K4" s="19">
        <v>8</v>
      </c>
      <c r="L4" s="19" t="s">
        <v>15</v>
      </c>
      <c r="M4" s="19">
        <v>9</v>
      </c>
      <c r="N4" s="19">
        <v>10</v>
      </c>
      <c r="O4" s="19">
        <v>10</v>
      </c>
      <c r="P4" s="19">
        <v>10</v>
      </c>
      <c r="Q4" s="19">
        <v>10</v>
      </c>
      <c r="R4" s="19">
        <v>10</v>
      </c>
      <c r="S4" s="19" t="s">
        <v>15</v>
      </c>
      <c r="T4" s="19">
        <v>10</v>
      </c>
      <c r="U4" s="19">
        <v>10</v>
      </c>
      <c r="V4" s="19">
        <v>10</v>
      </c>
      <c r="W4" s="19">
        <v>10</v>
      </c>
      <c r="X4" s="19">
        <v>10</v>
      </c>
      <c r="Y4" s="19">
        <v>10</v>
      </c>
      <c r="Z4" s="19" t="s">
        <v>15</v>
      </c>
      <c r="AA4" s="19" t="s">
        <v>316</v>
      </c>
      <c r="AB4" s="19">
        <v>10</v>
      </c>
      <c r="AC4" s="19">
        <v>10</v>
      </c>
      <c r="AD4" s="19">
        <v>10</v>
      </c>
      <c r="AE4" s="19">
        <v>10</v>
      </c>
      <c r="AF4" s="19">
        <v>10</v>
      </c>
      <c r="AG4" s="19" t="s">
        <v>316</v>
      </c>
      <c r="AH4" s="19">
        <v>10</v>
      </c>
      <c r="AI4" s="19">
        <v>10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f t="shared" ref="AT4:AT26" si="0">SUM(BT4+BV4+BX4+BZ4+CB4+CD4+CF4+CH4+CJ4+CL4+CN4+CP4+CR4+CT4+CV4+CX4+CZ4+DB4+DD4+DF4+DH4+DJ4+DL4+DN4+DP4+DR4+DT4+DV4+DX4+DZ4+EB4+ED4)</f>
        <v>41</v>
      </c>
      <c r="AU4" s="19">
        <f t="shared" ref="AU4:AU26" si="1">SUM(AJ4:AN4)</f>
        <v>0</v>
      </c>
      <c r="AV4" s="19">
        <f t="shared" ref="AV4:AV26" si="2">SUM(AO4:AS4)</f>
        <v>0</v>
      </c>
      <c r="AW4" s="16">
        <f t="shared" ref="AW4:AW30" si="3">COUNTIF(F4:AI4,"8")+COUNTIF(F4:AI4,"8.5")+COUNTIF(F4:AI4,"9")+COUNTIF(F4:AI4,"9.5")+COUNTIF(F4:AI4,"10")+COUNTIF(F4:AI4,"10.5")+COUNTIF(F4:AI4,"11")+COUNTIF(F4:AI4,"11.5")+COUNTIF(F4:AI4,"12")+COUNTIF(F4:AI4,"12.5")+COUNTIF(F4:AI4,"13")+COUNTIF(F4:AI4,"13.5")+COUNTIF(F4:AI4,"14")+COUNTIF(F4:AI4,"14.5")+COUNTIF(F4:AI4,"15")+COUNTIF(F4:AI4,"15.5")+COUNTIF(F4:AI4,"16")+COUNTIF(F4:AI4,"16.5")+COUNTIF(F4:AI4,"17")+COUNTIF(F4:AI4,"17.5")+COUNTIF(F4:AI4,"18")+COUNTIF(F4:AI4,"18.5")+COUNTIF(F4:AI4,"19")+COUNTIF(F4:AI4,"19.5")+COUNTIF(F4:AI4,"20")+COUNTIF(F4:AI4,"20.5")+COUNTIF(F4:AI4,"21")+COUNTIF(F4:AI4,"21.5")+COUNTIF(F4:AI4,"22")+COUNTIF(F4:AI4,"22.5")+COUNTIF(F4:AI4,"23")+COUNTIF(F4:AI4,"23.5")+COUNTIF(F4:AI4,"24")+COUNTIF(F4:AI4,"S")+COUNTIF(F4:AI4,"PH")+COUNTIF(F4:AI4,"ML")+COUNTIF(F4:AI4,"OD")</f>
        <v>28</v>
      </c>
      <c r="AX4" s="16">
        <f t="shared" ref="AX4:AX30" si="4">COUNTIF(F4:AI4,"A")</f>
        <v>2</v>
      </c>
      <c r="AY4" s="38">
        <f t="shared" ref="AY4:AY30" si="5">COUNTIF(F4:AI4,"ID")</f>
        <v>0</v>
      </c>
      <c r="AZ4" s="35">
        <v>1100</v>
      </c>
      <c r="BA4" s="20">
        <v>200</v>
      </c>
      <c r="BB4" s="21">
        <v>0</v>
      </c>
      <c r="BC4" s="19">
        <f>MROUND(AZ4/30*AW4, 1)</f>
        <v>1027</v>
      </c>
      <c r="BD4" s="19">
        <f>MROUND(BA4/30*AW4, 1)</f>
        <v>187</v>
      </c>
      <c r="BE4" s="19">
        <f>MROUND((AZ4/30/8*1.25*AT4)+(AZ4/30/8*1.5*AU4)+(AZ4/30/8*1.5*AV4), 1)</f>
        <v>235</v>
      </c>
      <c r="BF4" s="19">
        <f>MROUND(BB4/30*AW4, 1)</f>
        <v>0</v>
      </c>
      <c r="BG4" s="19">
        <f>MROUND(AZ4/30*AY4, 1)</f>
        <v>0</v>
      </c>
      <c r="BH4" s="19">
        <f>MROUND(BA4/30*AY4, 1)</f>
        <v>0</v>
      </c>
      <c r="BI4" s="19">
        <v>0</v>
      </c>
      <c r="BJ4" s="19">
        <v>0</v>
      </c>
      <c r="BK4" s="19">
        <f t="shared" ref="BK4:BK26" si="6">SUM(BC4:BJ4)</f>
        <v>1449</v>
      </c>
      <c r="BL4" s="19">
        <v>0</v>
      </c>
      <c r="BM4" s="19">
        <v>0</v>
      </c>
      <c r="BN4" s="19">
        <f t="shared" ref="BN4:BN26" si="7">BL4+BM4</f>
        <v>0</v>
      </c>
      <c r="BO4" s="19">
        <f t="shared" ref="BO4:BO26" si="8">BK4-BN4</f>
        <v>1449</v>
      </c>
      <c r="BP4" s="19">
        <v>0</v>
      </c>
      <c r="BQ4" s="19">
        <v>0</v>
      </c>
      <c r="BR4" s="22">
        <f t="shared" ref="BR4:BR26" si="9">SUM(BO4:BP4)-BQ4</f>
        <v>1449</v>
      </c>
      <c r="BS4" s="23">
        <f t="shared" ref="BS4:BS30" si="10">COUNTIF(F4:AI4, "8.5")</f>
        <v>0</v>
      </c>
      <c r="BT4" s="24">
        <f t="shared" ref="BT4:BT26" si="11">BS4*0.5</f>
        <v>0</v>
      </c>
      <c r="BU4" s="24">
        <f t="shared" ref="BU4:BU30" si="12">COUNTIF(F4:AI4, "9")</f>
        <v>1</v>
      </c>
      <c r="BV4" s="24">
        <f t="shared" ref="BV4:BV26" si="13">BU4*1</f>
        <v>1</v>
      </c>
      <c r="BW4" s="24">
        <f t="shared" ref="BW4:BW30" si="14">COUNTIF(F4:AI4, "9.5")</f>
        <v>0</v>
      </c>
      <c r="BX4" s="24">
        <f t="shared" ref="BX4:BX26" si="15">BW4*1.5</f>
        <v>0</v>
      </c>
      <c r="BY4" s="24">
        <f t="shared" ref="BY4:BY30" si="16">COUNTIF(F4:AI4, "10")</f>
        <v>20</v>
      </c>
      <c r="BZ4" s="24">
        <f t="shared" ref="BZ4:BZ26" si="17">BY4*2</f>
        <v>40</v>
      </c>
      <c r="CA4" s="24">
        <f t="shared" ref="CA4:CA30" si="18">COUNTIF(F4:AI4, "10.5")</f>
        <v>0</v>
      </c>
      <c r="CB4" s="24">
        <f t="shared" ref="CB4:CB26" si="19">CA4*2.5</f>
        <v>0</v>
      </c>
      <c r="CC4" s="24">
        <f t="shared" ref="CC4:CC30" si="20">COUNTIF(F4:AI4, "11")</f>
        <v>0</v>
      </c>
      <c r="CD4" s="24">
        <f t="shared" ref="CD4:CD26" si="21">CC4*3</f>
        <v>0</v>
      </c>
      <c r="CE4" s="24">
        <f t="shared" ref="CE4:CE30" si="22">COUNTIF(F4:AI4, "11.5")</f>
        <v>0</v>
      </c>
      <c r="CF4" s="24">
        <f t="shared" ref="CF4:CF26" si="23">CE4*3.5</f>
        <v>0</v>
      </c>
      <c r="CG4" s="24">
        <f t="shared" ref="CG4:CG30" si="24">COUNTIF(F4:AI4, "12")</f>
        <v>0</v>
      </c>
      <c r="CH4" s="24">
        <f t="shared" ref="CH4:CH26" si="25">CG4*4</f>
        <v>0</v>
      </c>
      <c r="CI4" s="24">
        <f t="shared" ref="CI4:CI30" si="26">COUNTIF(F4:AI4, "12.5")</f>
        <v>0</v>
      </c>
      <c r="CJ4" s="24">
        <f t="shared" ref="CJ4:CJ26" si="27">CI4*4.5</f>
        <v>0</v>
      </c>
      <c r="CK4" s="24">
        <f t="shared" ref="CK4:CK30" si="28">COUNTIF(F4:AI4, "13")</f>
        <v>0</v>
      </c>
      <c r="CL4" s="24">
        <f t="shared" ref="CL4:CL26" si="29">CK4*5</f>
        <v>0</v>
      </c>
      <c r="CM4" s="24">
        <f t="shared" ref="CM4:CM30" si="30">COUNTIF(F4:AI4, "13.5")</f>
        <v>0</v>
      </c>
      <c r="CN4" s="24">
        <f t="shared" ref="CN4:CN26" si="31">CM4*5.5</f>
        <v>0</v>
      </c>
      <c r="CO4" s="24">
        <f t="shared" ref="CO4:CO30" si="32">COUNTIF(F4:AI4, "14")</f>
        <v>0</v>
      </c>
      <c r="CP4" s="24">
        <f t="shared" ref="CP4:CP26" si="33">CO4*6</f>
        <v>0</v>
      </c>
      <c r="CQ4" s="24">
        <f t="shared" ref="CQ4:CQ30" si="34">COUNTIF(F4:AI4, "14.5")</f>
        <v>0</v>
      </c>
      <c r="CR4" s="24">
        <f t="shared" ref="CR4:CR26" si="35">CQ4*6.5</f>
        <v>0</v>
      </c>
      <c r="CS4" s="24">
        <f t="shared" ref="CS4:CS30" si="36">COUNTIF(F4:AI4, "15")</f>
        <v>0</v>
      </c>
      <c r="CT4" s="24">
        <f t="shared" ref="CT4:CT26" si="37">CS4*7</f>
        <v>0</v>
      </c>
      <c r="CU4" s="24">
        <f t="shared" ref="CU4:CU30" si="38">COUNTIF(F4:AI4, "15.5")</f>
        <v>0</v>
      </c>
      <c r="CV4" s="24">
        <f t="shared" ref="CV4:CV26" si="39">CU4*7.5</f>
        <v>0</v>
      </c>
      <c r="CW4" s="24">
        <f t="shared" ref="CW4:CW30" si="40">COUNTIF(F4:AI4, "16")</f>
        <v>0</v>
      </c>
      <c r="CX4" s="24">
        <f t="shared" ref="CX4:CX26" si="41">CW4*8</f>
        <v>0</v>
      </c>
      <c r="CY4" s="24">
        <f t="shared" ref="CY4:CY30" si="42">COUNTIF(F4:AI4, "16.5")</f>
        <v>0</v>
      </c>
      <c r="CZ4" s="24">
        <f t="shared" ref="CZ4:CZ26" si="43">CY4*8.5</f>
        <v>0</v>
      </c>
      <c r="DA4" s="24">
        <f t="shared" ref="DA4:DA30" si="44">COUNTIF(F4:AI4, "17")</f>
        <v>0</v>
      </c>
      <c r="DB4" s="24">
        <f t="shared" ref="DB4:DB26" si="45">DA4*9</f>
        <v>0</v>
      </c>
      <c r="DC4" s="24">
        <f t="shared" ref="DC4:DC30" si="46">COUNTIF(F4:AI4, "17.5")</f>
        <v>0</v>
      </c>
      <c r="DD4" s="24">
        <f t="shared" ref="DD4:DD26" si="47">DC4*9.5</f>
        <v>0</v>
      </c>
      <c r="DE4" s="24">
        <f t="shared" ref="DE4:DE30" si="48">COUNTIF(F4:AI4, "18")</f>
        <v>0</v>
      </c>
      <c r="DF4" s="24">
        <f t="shared" ref="DF4:DF26" si="49">DE4*10</f>
        <v>0</v>
      </c>
      <c r="DG4" s="24">
        <f t="shared" ref="DG4:DG30" si="50">COUNTIF(F4:AI4, "18.5")</f>
        <v>0</v>
      </c>
      <c r="DH4" s="24">
        <f t="shared" ref="DH4:DH26" si="51">DG4*10.5</f>
        <v>0</v>
      </c>
      <c r="DI4" s="24">
        <f t="shared" ref="DI4:DI30" si="52">COUNTIF(F4:AI4, "19")</f>
        <v>0</v>
      </c>
      <c r="DJ4" s="24">
        <f t="shared" ref="DJ4:DJ26" si="53">DI4*11</f>
        <v>0</v>
      </c>
      <c r="DK4" s="24">
        <f t="shared" ref="DK4:DK30" si="54">COUNTIF(F4:AI4, "19.5")</f>
        <v>0</v>
      </c>
      <c r="DL4" s="24">
        <f t="shared" ref="DL4:DL26" si="55">DK4*11.5</f>
        <v>0</v>
      </c>
      <c r="DM4" s="24">
        <f t="shared" ref="DM4:DM30" si="56">COUNTIF(F4:AI4, "20")</f>
        <v>0</v>
      </c>
      <c r="DN4" s="24">
        <f t="shared" ref="DN4:DN26" si="57">DM4*12</f>
        <v>0</v>
      </c>
      <c r="DO4" s="24">
        <f t="shared" ref="DO4:DO30" si="58">COUNTIF(F4:AI4, "20.5")</f>
        <v>0</v>
      </c>
      <c r="DP4" s="24">
        <f t="shared" ref="DP4:DP26" si="59">DO4*12.5</f>
        <v>0</v>
      </c>
      <c r="DQ4" s="24">
        <f t="shared" ref="DQ4:DQ30" si="60">COUNTIF(F4:AI4, "21")</f>
        <v>0</v>
      </c>
      <c r="DR4" s="24">
        <f t="shared" ref="DR4:DR26" si="61">DQ4*13</f>
        <v>0</v>
      </c>
      <c r="DS4" s="24">
        <f t="shared" ref="DS4:DS30" si="62">COUNTIF(F4:AI4, "21.5")</f>
        <v>0</v>
      </c>
      <c r="DT4" s="24">
        <f t="shared" ref="DT4:DT26" si="63">DS4*13.5</f>
        <v>0</v>
      </c>
      <c r="DU4" s="24">
        <f t="shared" ref="DU4:DU30" si="64">COUNTIF(F4:AI4, "22")</f>
        <v>0</v>
      </c>
      <c r="DV4" s="24">
        <f t="shared" ref="DV4:DV26" si="65">DU4*14</f>
        <v>0</v>
      </c>
      <c r="DW4" s="24">
        <f t="shared" ref="DW4:DW30" si="66">COUNTIF(F4:AI4, "22.5")</f>
        <v>0</v>
      </c>
      <c r="DX4" s="24">
        <f t="shared" ref="DX4:DX26" si="67">DW4*14.5</f>
        <v>0</v>
      </c>
      <c r="DY4" s="24">
        <f t="shared" ref="DY4:DY30" si="68">COUNTIF(F4:AI4, "23")</f>
        <v>0</v>
      </c>
      <c r="DZ4" s="24">
        <f t="shared" ref="DZ4:DZ26" si="69">DY4*15</f>
        <v>0</v>
      </c>
      <c r="EA4" s="24">
        <f t="shared" ref="EA4:EA30" si="70">COUNTIF(F4:AI4, "23.5")</f>
        <v>0</v>
      </c>
      <c r="EB4" s="24">
        <f t="shared" ref="EB4:EB26" si="71">EA4*15.5</f>
        <v>0</v>
      </c>
      <c r="EC4" s="24">
        <f t="shared" ref="EC4:EC30" si="72">COUNTIF(F4:AI4, "24")</f>
        <v>0</v>
      </c>
      <c r="ED4" s="24">
        <f t="shared" ref="ED4:ED26" si="73">EC4*16</f>
        <v>0</v>
      </c>
      <c r="EE4" s="25"/>
      <c r="EF4" s="25"/>
    </row>
    <row r="5" spans="1:136" s="2" customFormat="1" ht="18" customHeight="1" x14ac:dyDescent="0.25">
      <c r="A5" s="15">
        <v>2</v>
      </c>
      <c r="B5" s="108" t="s">
        <v>112</v>
      </c>
      <c r="C5" s="17" t="s">
        <v>113</v>
      </c>
      <c r="D5" s="16" t="s">
        <v>107</v>
      </c>
      <c r="E5" s="18">
        <v>44986</v>
      </c>
      <c r="F5" s="19">
        <v>11</v>
      </c>
      <c r="G5" s="19">
        <v>11</v>
      </c>
      <c r="H5" s="19">
        <v>11</v>
      </c>
      <c r="I5" s="19">
        <v>11</v>
      </c>
      <c r="J5" s="19" t="s">
        <v>603</v>
      </c>
      <c r="K5" s="19">
        <v>11</v>
      </c>
      <c r="L5" s="19" t="s">
        <v>15</v>
      </c>
      <c r="M5" s="19">
        <v>11</v>
      </c>
      <c r="N5" s="19">
        <v>11</v>
      </c>
      <c r="O5" s="19">
        <v>11</v>
      </c>
      <c r="P5" s="19">
        <v>11</v>
      </c>
      <c r="Q5" s="19">
        <v>11</v>
      </c>
      <c r="R5" s="19">
        <v>11</v>
      </c>
      <c r="S5" s="19" t="s">
        <v>15</v>
      </c>
      <c r="T5" s="19">
        <v>11</v>
      </c>
      <c r="U5" s="19">
        <v>11</v>
      </c>
      <c r="V5" s="19" t="s">
        <v>148</v>
      </c>
      <c r="W5" s="19">
        <v>8</v>
      </c>
      <c r="X5" s="19">
        <v>10</v>
      </c>
      <c r="Y5" s="19">
        <v>10</v>
      </c>
      <c r="Z5" s="19" t="s">
        <v>15</v>
      </c>
      <c r="AA5" s="19">
        <v>10</v>
      </c>
      <c r="AB5" s="19">
        <v>10</v>
      </c>
      <c r="AC5" s="19">
        <v>10</v>
      </c>
      <c r="AD5" s="19">
        <v>10</v>
      </c>
      <c r="AE5" s="19">
        <v>10</v>
      </c>
      <c r="AF5" s="19">
        <v>10</v>
      </c>
      <c r="AG5" s="19" t="s">
        <v>15</v>
      </c>
      <c r="AH5" s="19">
        <v>10</v>
      </c>
      <c r="AI5" s="19">
        <v>10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f t="shared" si="0"/>
        <v>59</v>
      </c>
      <c r="AU5" s="19">
        <f t="shared" si="1"/>
        <v>0</v>
      </c>
      <c r="AV5" s="19">
        <f t="shared" si="2"/>
        <v>0</v>
      </c>
      <c r="AW5" s="16">
        <f t="shared" si="3"/>
        <v>29</v>
      </c>
      <c r="AX5" s="16">
        <f t="shared" si="4"/>
        <v>0</v>
      </c>
      <c r="AY5" s="38">
        <f t="shared" si="5"/>
        <v>1</v>
      </c>
      <c r="AZ5" s="37">
        <v>1100</v>
      </c>
      <c r="BA5" s="20">
        <v>200</v>
      </c>
      <c r="BB5" s="21">
        <v>0</v>
      </c>
      <c r="BC5" s="19">
        <f t="shared" ref="BC5:BC64" si="74">MROUND(AZ5/30*AW5, 1)</f>
        <v>1063</v>
      </c>
      <c r="BD5" s="19">
        <f t="shared" ref="BD5:BD64" si="75">MROUND(BA5/30*AW5, 1)</f>
        <v>193</v>
      </c>
      <c r="BE5" s="19">
        <f t="shared" ref="BE5:BE64" si="76">MROUND((AZ5/30/8*1.25*AT5)+(AZ5/30/8*1.5*AU5)+(AZ5/30/8*1.5*AV5), 1)</f>
        <v>338</v>
      </c>
      <c r="BF5" s="19">
        <f t="shared" ref="BF5:BF64" si="77">MROUND(BB5/30*AW5, 1)</f>
        <v>0</v>
      </c>
      <c r="BG5" s="19">
        <f t="shared" ref="BG5:BG64" si="78">MROUND(AZ5/30*AY5, 1)</f>
        <v>37</v>
      </c>
      <c r="BH5" s="19">
        <f t="shared" ref="BH5:BH64" si="79">MROUND(BA5/30*AY5, 1)</f>
        <v>7</v>
      </c>
      <c r="BI5" s="19">
        <v>0</v>
      </c>
      <c r="BJ5" s="19">
        <v>0</v>
      </c>
      <c r="BK5" s="19">
        <f t="shared" si="6"/>
        <v>1638</v>
      </c>
      <c r="BL5" s="19">
        <v>0</v>
      </c>
      <c r="BM5" s="19">
        <v>0</v>
      </c>
      <c r="BN5" s="19">
        <f t="shared" si="7"/>
        <v>0</v>
      </c>
      <c r="BO5" s="19">
        <f t="shared" si="8"/>
        <v>1638</v>
      </c>
      <c r="BP5" s="19">
        <v>0</v>
      </c>
      <c r="BQ5" s="19">
        <v>0</v>
      </c>
      <c r="BR5" s="22">
        <f t="shared" si="9"/>
        <v>1638</v>
      </c>
      <c r="BS5" s="23">
        <f t="shared" si="10"/>
        <v>0</v>
      </c>
      <c r="BT5" s="24">
        <f t="shared" si="11"/>
        <v>0</v>
      </c>
      <c r="BU5" s="24">
        <f t="shared" si="12"/>
        <v>0</v>
      </c>
      <c r="BV5" s="24">
        <f t="shared" si="13"/>
        <v>0</v>
      </c>
      <c r="BW5" s="24">
        <f t="shared" si="14"/>
        <v>0</v>
      </c>
      <c r="BX5" s="24">
        <f t="shared" si="15"/>
        <v>0</v>
      </c>
      <c r="BY5" s="24">
        <f t="shared" si="16"/>
        <v>10</v>
      </c>
      <c r="BZ5" s="24">
        <f t="shared" si="17"/>
        <v>20</v>
      </c>
      <c r="CA5" s="24">
        <f t="shared" si="18"/>
        <v>0</v>
      </c>
      <c r="CB5" s="24">
        <f t="shared" si="19"/>
        <v>0</v>
      </c>
      <c r="CC5" s="24">
        <f t="shared" si="20"/>
        <v>13</v>
      </c>
      <c r="CD5" s="24">
        <f t="shared" si="21"/>
        <v>39</v>
      </c>
      <c r="CE5" s="24">
        <f t="shared" si="22"/>
        <v>0</v>
      </c>
      <c r="CF5" s="24">
        <f t="shared" si="23"/>
        <v>0</v>
      </c>
      <c r="CG5" s="24">
        <f t="shared" si="24"/>
        <v>0</v>
      </c>
      <c r="CH5" s="24">
        <f t="shared" si="25"/>
        <v>0</v>
      </c>
      <c r="CI5" s="24">
        <f t="shared" si="26"/>
        <v>0</v>
      </c>
      <c r="CJ5" s="24">
        <f t="shared" si="27"/>
        <v>0</v>
      </c>
      <c r="CK5" s="24">
        <f t="shared" si="28"/>
        <v>0</v>
      </c>
      <c r="CL5" s="24">
        <f t="shared" si="29"/>
        <v>0</v>
      </c>
      <c r="CM5" s="24">
        <f t="shared" si="30"/>
        <v>0</v>
      </c>
      <c r="CN5" s="24">
        <f t="shared" si="31"/>
        <v>0</v>
      </c>
      <c r="CO5" s="24">
        <f t="shared" si="32"/>
        <v>0</v>
      </c>
      <c r="CP5" s="24">
        <f t="shared" si="33"/>
        <v>0</v>
      </c>
      <c r="CQ5" s="24">
        <f t="shared" si="34"/>
        <v>0</v>
      </c>
      <c r="CR5" s="24">
        <f t="shared" si="35"/>
        <v>0</v>
      </c>
      <c r="CS5" s="24">
        <f t="shared" si="36"/>
        <v>0</v>
      </c>
      <c r="CT5" s="24">
        <f t="shared" si="37"/>
        <v>0</v>
      </c>
      <c r="CU5" s="24">
        <f t="shared" si="38"/>
        <v>0</v>
      </c>
      <c r="CV5" s="24">
        <f t="shared" si="39"/>
        <v>0</v>
      </c>
      <c r="CW5" s="24">
        <f t="shared" si="40"/>
        <v>0</v>
      </c>
      <c r="CX5" s="24">
        <f t="shared" si="41"/>
        <v>0</v>
      </c>
      <c r="CY5" s="24">
        <f t="shared" si="42"/>
        <v>0</v>
      </c>
      <c r="CZ5" s="24">
        <f t="shared" si="43"/>
        <v>0</v>
      </c>
      <c r="DA5" s="24">
        <f t="shared" si="44"/>
        <v>0</v>
      </c>
      <c r="DB5" s="24">
        <f t="shared" si="45"/>
        <v>0</v>
      </c>
      <c r="DC5" s="24">
        <f t="shared" si="46"/>
        <v>0</v>
      </c>
      <c r="DD5" s="24">
        <f t="shared" si="47"/>
        <v>0</v>
      </c>
      <c r="DE5" s="24">
        <f t="shared" si="48"/>
        <v>0</v>
      </c>
      <c r="DF5" s="24">
        <f t="shared" si="49"/>
        <v>0</v>
      </c>
      <c r="DG5" s="24">
        <f t="shared" si="50"/>
        <v>0</v>
      </c>
      <c r="DH5" s="24">
        <f t="shared" si="51"/>
        <v>0</v>
      </c>
      <c r="DI5" s="24">
        <f t="shared" si="52"/>
        <v>0</v>
      </c>
      <c r="DJ5" s="24">
        <f t="shared" si="53"/>
        <v>0</v>
      </c>
      <c r="DK5" s="24">
        <f t="shared" si="54"/>
        <v>0</v>
      </c>
      <c r="DL5" s="24">
        <f t="shared" si="55"/>
        <v>0</v>
      </c>
      <c r="DM5" s="24">
        <f t="shared" si="56"/>
        <v>0</v>
      </c>
      <c r="DN5" s="24">
        <f t="shared" si="57"/>
        <v>0</v>
      </c>
      <c r="DO5" s="24">
        <f t="shared" si="58"/>
        <v>0</v>
      </c>
      <c r="DP5" s="24">
        <f t="shared" si="59"/>
        <v>0</v>
      </c>
      <c r="DQ5" s="24">
        <f t="shared" si="60"/>
        <v>0</v>
      </c>
      <c r="DR5" s="24">
        <f t="shared" si="61"/>
        <v>0</v>
      </c>
      <c r="DS5" s="24">
        <f t="shared" si="62"/>
        <v>0</v>
      </c>
      <c r="DT5" s="24">
        <f t="shared" si="63"/>
        <v>0</v>
      </c>
      <c r="DU5" s="24">
        <f t="shared" si="64"/>
        <v>0</v>
      </c>
      <c r="DV5" s="24">
        <f t="shared" si="65"/>
        <v>0</v>
      </c>
      <c r="DW5" s="24">
        <f t="shared" si="66"/>
        <v>0</v>
      </c>
      <c r="DX5" s="24">
        <f t="shared" si="67"/>
        <v>0</v>
      </c>
      <c r="DY5" s="24">
        <f t="shared" si="68"/>
        <v>0</v>
      </c>
      <c r="DZ5" s="24">
        <f t="shared" si="69"/>
        <v>0</v>
      </c>
      <c r="EA5" s="24">
        <f t="shared" si="70"/>
        <v>0</v>
      </c>
      <c r="EB5" s="24">
        <f t="shared" si="71"/>
        <v>0</v>
      </c>
      <c r="EC5" s="24">
        <f t="shared" si="72"/>
        <v>0</v>
      </c>
      <c r="ED5" s="24">
        <f t="shared" si="73"/>
        <v>0</v>
      </c>
      <c r="EE5" s="25"/>
    </row>
    <row r="6" spans="1:136" s="2" customFormat="1" ht="18" customHeight="1" x14ac:dyDescent="0.25">
      <c r="A6" s="15">
        <v>3</v>
      </c>
      <c r="B6" s="108" t="s">
        <v>114</v>
      </c>
      <c r="C6" s="134" t="s">
        <v>115</v>
      </c>
      <c r="D6" s="16" t="s">
        <v>107</v>
      </c>
      <c r="E6" s="18">
        <v>45013</v>
      </c>
      <c r="F6" s="19">
        <v>11</v>
      </c>
      <c r="G6" s="19">
        <v>11</v>
      </c>
      <c r="H6" s="19">
        <v>11</v>
      </c>
      <c r="I6" s="19">
        <v>11</v>
      </c>
      <c r="J6" s="19" t="s">
        <v>603</v>
      </c>
      <c r="K6" s="19">
        <v>11</v>
      </c>
      <c r="L6" s="19" t="s">
        <v>15</v>
      </c>
      <c r="M6" s="19">
        <v>11</v>
      </c>
      <c r="N6" s="19">
        <v>11</v>
      </c>
      <c r="O6" s="19">
        <v>11</v>
      </c>
      <c r="P6" s="19">
        <v>11</v>
      </c>
      <c r="Q6" s="19">
        <v>11</v>
      </c>
      <c r="R6" s="19">
        <v>11</v>
      </c>
      <c r="S6" s="19" t="s">
        <v>15</v>
      </c>
      <c r="T6" s="19">
        <v>11</v>
      </c>
      <c r="U6" s="19">
        <v>11</v>
      </c>
      <c r="V6" s="19">
        <v>11</v>
      </c>
      <c r="W6" s="19">
        <v>11</v>
      </c>
      <c r="X6" s="19">
        <v>11</v>
      </c>
      <c r="Y6" s="19">
        <v>11</v>
      </c>
      <c r="Z6" s="19" t="s">
        <v>15</v>
      </c>
      <c r="AA6" s="19">
        <v>11</v>
      </c>
      <c r="AB6" s="19">
        <v>11</v>
      </c>
      <c r="AC6" s="19">
        <v>11</v>
      </c>
      <c r="AD6" s="19">
        <v>11</v>
      </c>
      <c r="AE6" s="19">
        <v>11</v>
      </c>
      <c r="AF6" s="19">
        <v>11</v>
      </c>
      <c r="AG6" s="19" t="s">
        <v>15</v>
      </c>
      <c r="AH6" s="19">
        <v>11</v>
      </c>
      <c r="AI6" s="19">
        <v>11</v>
      </c>
      <c r="AJ6" s="19">
        <v>0</v>
      </c>
      <c r="AK6" s="19">
        <v>0</v>
      </c>
      <c r="AL6" s="19">
        <v>0</v>
      </c>
      <c r="AM6" s="19">
        <v>11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f t="shared" ref="AT6:AT7" si="80">SUM(BT6+BV6+BX6+BZ6+CB6+CD6+CF6+CH6+CJ6+CL6+CN6+CP6+CR6+CT6+CV6+CX6+CZ6+DB6+DD6+DF6+DH6+DJ6+DL6+DN6+DP6+DR6+DT6+DV6+DX6+DZ6+EB6+ED6)</f>
        <v>75</v>
      </c>
      <c r="AU6" s="19">
        <f t="shared" ref="AU6:AU7" si="81">SUM(AJ6:AN6)</f>
        <v>11</v>
      </c>
      <c r="AV6" s="19">
        <f t="shared" ref="AV6:AV7" si="82">SUM(AO6:AS6)</f>
        <v>0</v>
      </c>
      <c r="AW6" s="16">
        <f t="shared" si="3"/>
        <v>30</v>
      </c>
      <c r="AX6" s="16">
        <f t="shared" si="4"/>
        <v>0</v>
      </c>
      <c r="AY6" s="38">
        <f t="shared" si="5"/>
        <v>0</v>
      </c>
      <c r="AZ6" s="36">
        <v>1100</v>
      </c>
      <c r="BA6" s="20">
        <v>200</v>
      </c>
      <c r="BB6" s="21">
        <v>0</v>
      </c>
      <c r="BC6" s="19">
        <f t="shared" si="74"/>
        <v>1100</v>
      </c>
      <c r="BD6" s="19">
        <f t="shared" si="75"/>
        <v>200</v>
      </c>
      <c r="BE6" s="19">
        <f t="shared" si="76"/>
        <v>505</v>
      </c>
      <c r="BF6" s="19">
        <f t="shared" si="77"/>
        <v>0</v>
      </c>
      <c r="BG6" s="19">
        <f t="shared" si="78"/>
        <v>0</v>
      </c>
      <c r="BH6" s="19">
        <f t="shared" si="79"/>
        <v>0</v>
      </c>
      <c r="BI6" s="19">
        <v>0</v>
      </c>
      <c r="BJ6" s="19">
        <v>95</v>
      </c>
      <c r="BK6" s="19">
        <f t="shared" ref="BK6:BK7" si="83">SUM(BC6:BJ6)</f>
        <v>1900</v>
      </c>
      <c r="BL6" s="19">
        <v>0</v>
      </c>
      <c r="BM6" s="19">
        <v>0</v>
      </c>
      <c r="BN6" s="19">
        <f t="shared" ref="BN6:BN7" si="84">BL6+BM6</f>
        <v>0</v>
      </c>
      <c r="BO6" s="19">
        <f t="shared" ref="BO6:BO7" si="85">BK6-BN6</f>
        <v>1900</v>
      </c>
      <c r="BP6" s="19">
        <v>0</v>
      </c>
      <c r="BQ6" s="19">
        <v>0</v>
      </c>
      <c r="BR6" s="22">
        <f t="shared" ref="BR6:BR7" si="86">SUM(BO6:BP6)-BQ6</f>
        <v>1900</v>
      </c>
      <c r="BS6" s="23">
        <f t="shared" si="10"/>
        <v>0</v>
      </c>
      <c r="BT6" s="24">
        <f t="shared" ref="BT6:BT7" si="87">BS6*0.5</f>
        <v>0</v>
      </c>
      <c r="BU6" s="24">
        <f t="shared" si="12"/>
        <v>0</v>
      </c>
      <c r="BV6" s="24">
        <f t="shared" ref="BV6:BV7" si="88">BU6*1</f>
        <v>0</v>
      </c>
      <c r="BW6" s="24">
        <f t="shared" si="14"/>
        <v>0</v>
      </c>
      <c r="BX6" s="24">
        <f t="shared" ref="BX6:BX7" si="89">BW6*1.5</f>
        <v>0</v>
      </c>
      <c r="BY6" s="24">
        <f t="shared" si="16"/>
        <v>0</v>
      </c>
      <c r="BZ6" s="24">
        <f t="shared" ref="BZ6:BZ7" si="90">BY6*2</f>
        <v>0</v>
      </c>
      <c r="CA6" s="24">
        <f t="shared" si="18"/>
        <v>0</v>
      </c>
      <c r="CB6" s="24">
        <f t="shared" ref="CB6:CB7" si="91">CA6*2.5</f>
        <v>0</v>
      </c>
      <c r="CC6" s="24">
        <f t="shared" si="20"/>
        <v>25</v>
      </c>
      <c r="CD6" s="24">
        <f t="shared" ref="CD6:CD7" si="92">CC6*3</f>
        <v>75</v>
      </c>
      <c r="CE6" s="24">
        <f t="shared" si="22"/>
        <v>0</v>
      </c>
      <c r="CF6" s="24">
        <f t="shared" ref="CF6:CF7" si="93">CE6*3.5</f>
        <v>0</v>
      </c>
      <c r="CG6" s="24">
        <f t="shared" si="24"/>
        <v>0</v>
      </c>
      <c r="CH6" s="24">
        <f t="shared" ref="CH6:CH7" si="94">CG6*4</f>
        <v>0</v>
      </c>
      <c r="CI6" s="24">
        <f t="shared" si="26"/>
        <v>0</v>
      </c>
      <c r="CJ6" s="24">
        <f t="shared" ref="CJ6:CJ7" si="95">CI6*4.5</f>
        <v>0</v>
      </c>
      <c r="CK6" s="24">
        <f t="shared" si="28"/>
        <v>0</v>
      </c>
      <c r="CL6" s="24">
        <f t="shared" ref="CL6:CL7" si="96">CK6*5</f>
        <v>0</v>
      </c>
      <c r="CM6" s="24">
        <f t="shared" si="30"/>
        <v>0</v>
      </c>
      <c r="CN6" s="24">
        <f t="shared" ref="CN6:CN7" si="97">CM6*5.5</f>
        <v>0</v>
      </c>
      <c r="CO6" s="24">
        <f t="shared" si="32"/>
        <v>0</v>
      </c>
      <c r="CP6" s="24">
        <f t="shared" ref="CP6:CP7" si="98">CO6*6</f>
        <v>0</v>
      </c>
      <c r="CQ6" s="24">
        <f t="shared" si="34"/>
        <v>0</v>
      </c>
      <c r="CR6" s="24">
        <f t="shared" ref="CR6:CR7" si="99">CQ6*6.5</f>
        <v>0</v>
      </c>
      <c r="CS6" s="24">
        <f t="shared" si="36"/>
        <v>0</v>
      </c>
      <c r="CT6" s="24">
        <f t="shared" ref="CT6:CT7" si="100">CS6*7</f>
        <v>0</v>
      </c>
      <c r="CU6" s="24">
        <f t="shared" si="38"/>
        <v>0</v>
      </c>
      <c r="CV6" s="24">
        <f t="shared" ref="CV6:CV7" si="101">CU6*7.5</f>
        <v>0</v>
      </c>
      <c r="CW6" s="24">
        <f t="shared" si="40"/>
        <v>0</v>
      </c>
      <c r="CX6" s="24">
        <f t="shared" ref="CX6:CX7" si="102">CW6*8</f>
        <v>0</v>
      </c>
      <c r="CY6" s="24">
        <f t="shared" si="42"/>
        <v>0</v>
      </c>
      <c r="CZ6" s="24">
        <f t="shared" ref="CZ6:CZ7" si="103">CY6*8.5</f>
        <v>0</v>
      </c>
      <c r="DA6" s="24">
        <f t="shared" si="44"/>
        <v>0</v>
      </c>
      <c r="DB6" s="24">
        <f t="shared" ref="DB6:DB7" si="104">DA6*9</f>
        <v>0</v>
      </c>
      <c r="DC6" s="24">
        <f t="shared" si="46"/>
        <v>0</v>
      </c>
      <c r="DD6" s="24">
        <f t="shared" ref="DD6:DD7" si="105">DC6*9.5</f>
        <v>0</v>
      </c>
      <c r="DE6" s="24">
        <f t="shared" si="48"/>
        <v>0</v>
      </c>
      <c r="DF6" s="24">
        <f t="shared" ref="DF6:DF7" si="106">DE6*10</f>
        <v>0</v>
      </c>
      <c r="DG6" s="24">
        <f t="shared" si="50"/>
        <v>0</v>
      </c>
      <c r="DH6" s="24">
        <f t="shared" ref="DH6:DH7" si="107">DG6*10.5</f>
        <v>0</v>
      </c>
      <c r="DI6" s="24">
        <f t="shared" si="52"/>
        <v>0</v>
      </c>
      <c r="DJ6" s="24">
        <f t="shared" ref="DJ6:DJ7" si="108">DI6*11</f>
        <v>0</v>
      </c>
      <c r="DK6" s="24">
        <f t="shared" si="54"/>
        <v>0</v>
      </c>
      <c r="DL6" s="24">
        <f t="shared" ref="DL6:DL7" si="109">DK6*11.5</f>
        <v>0</v>
      </c>
      <c r="DM6" s="24">
        <f t="shared" si="56"/>
        <v>0</v>
      </c>
      <c r="DN6" s="24">
        <f t="shared" ref="DN6:DN7" si="110">DM6*12</f>
        <v>0</v>
      </c>
      <c r="DO6" s="24">
        <f t="shared" si="58"/>
        <v>0</v>
      </c>
      <c r="DP6" s="24">
        <f t="shared" ref="DP6:DP7" si="111">DO6*12.5</f>
        <v>0</v>
      </c>
      <c r="DQ6" s="24">
        <f t="shared" si="60"/>
        <v>0</v>
      </c>
      <c r="DR6" s="24">
        <f t="shared" ref="DR6:DR7" si="112">DQ6*13</f>
        <v>0</v>
      </c>
      <c r="DS6" s="24">
        <f t="shared" si="62"/>
        <v>0</v>
      </c>
      <c r="DT6" s="24">
        <f t="shared" ref="DT6:DT7" si="113">DS6*13.5</f>
        <v>0</v>
      </c>
      <c r="DU6" s="24">
        <f t="shared" si="64"/>
        <v>0</v>
      </c>
      <c r="DV6" s="24">
        <f t="shared" ref="DV6:DV7" si="114">DU6*14</f>
        <v>0</v>
      </c>
      <c r="DW6" s="24">
        <f t="shared" si="66"/>
        <v>0</v>
      </c>
      <c r="DX6" s="24">
        <f t="shared" ref="DX6:DX7" si="115">DW6*14.5</f>
        <v>0</v>
      </c>
      <c r="DY6" s="24">
        <f t="shared" si="68"/>
        <v>0</v>
      </c>
      <c r="DZ6" s="24">
        <f t="shared" ref="DZ6:DZ7" si="116">DY6*15</f>
        <v>0</v>
      </c>
      <c r="EA6" s="24">
        <f t="shared" si="70"/>
        <v>0</v>
      </c>
      <c r="EB6" s="24">
        <f t="shared" ref="EB6:EB7" si="117">EA6*15.5</f>
        <v>0</v>
      </c>
      <c r="EC6" s="24">
        <f t="shared" si="72"/>
        <v>0</v>
      </c>
      <c r="ED6" s="24">
        <f t="shared" ref="ED6:ED7" si="118">EC6*16</f>
        <v>0</v>
      </c>
      <c r="EE6" s="153"/>
    </row>
    <row r="7" spans="1:136" s="2" customFormat="1" ht="18" customHeight="1" x14ac:dyDescent="0.25">
      <c r="A7" s="15">
        <v>4</v>
      </c>
      <c r="B7" s="108" t="s">
        <v>116</v>
      </c>
      <c r="C7" s="134" t="s">
        <v>117</v>
      </c>
      <c r="D7" s="16" t="s">
        <v>107</v>
      </c>
      <c r="E7" s="18">
        <v>45013</v>
      </c>
      <c r="F7" s="19">
        <v>11</v>
      </c>
      <c r="G7" s="19">
        <v>11</v>
      </c>
      <c r="H7" s="19">
        <v>11</v>
      </c>
      <c r="I7" s="19">
        <v>11</v>
      </c>
      <c r="J7" s="19" t="s">
        <v>603</v>
      </c>
      <c r="K7" s="19">
        <v>11</v>
      </c>
      <c r="L7" s="19" t="s">
        <v>15</v>
      </c>
      <c r="M7" s="19">
        <v>11</v>
      </c>
      <c r="N7" s="19">
        <v>11</v>
      </c>
      <c r="O7" s="19">
        <v>11</v>
      </c>
      <c r="P7" s="19">
        <v>11</v>
      </c>
      <c r="Q7" s="19">
        <v>11</v>
      </c>
      <c r="R7" s="19">
        <v>11</v>
      </c>
      <c r="S7" s="19" t="s">
        <v>15</v>
      </c>
      <c r="T7" s="19">
        <v>11</v>
      </c>
      <c r="U7" s="19">
        <v>11</v>
      </c>
      <c r="V7" s="19">
        <v>11</v>
      </c>
      <c r="W7" s="19">
        <v>11</v>
      </c>
      <c r="X7" s="19">
        <v>11</v>
      </c>
      <c r="Y7" s="19">
        <v>11</v>
      </c>
      <c r="Z7" s="19" t="s">
        <v>15</v>
      </c>
      <c r="AA7" s="19">
        <v>11</v>
      </c>
      <c r="AB7" s="19">
        <v>11</v>
      </c>
      <c r="AC7" s="19">
        <v>11</v>
      </c>
      <c r="AD7" s="19">
        <v>11</v>
      </c>
      <c r="AE7" s="19">
        <v>11</v>
      </c>
      <c r="AF7" s="19">
        <v>11</v>
      </c>
      <c r="AG7" s="19" t="s">
        <v>15</v>
      </c>
      <c r="AH7" s="19">
        <v>11</v>
      </c>
      <c r="AI7" s="19">
        <v>11</v>
      </c>
      <c r="AJ7" s="19">
        <v>0</v>
      </c>
      <c r="AK7" s="19">
        <v>0</v>
      </c>
      <c r="AL7" s="19">
        <v>0</v>
      </c>
      <c r="AM7" s="19">
        <v>11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f t="shared" si="80"/>
        <v>75</v>
      </c>
      <c r="AU7" s="19">
        <f t="shared" si="81"/>
        <v>11</v>
      </c>
      <c r="AV7" s="19">
        <f t="shared" si="82"/>
        <v>0</v>
      </c>
      <c r="AW7" s="16">
        <f t="shared" si="3"/>
        <v>30</v>
      </c>
      <c r="AX7" s="16">
        <f t="shared" si="4"/>
        <v>0</v>
      </c>
      <c r="AY7" s="38">
        <f t="shared" si="5"/>
        <v>0</v>
      </c>
      <c r="AZ7" s="36">
        <v>1100</v>
      </c>
      <c r="BA7" s="20">
        <v>200</v>
      </c>
      <c r="BB7" s="21">
        <v>0</v>
      </c>
      <c r="BC7" s="19">
        <f t="shared" si="74"/>
        <v>1100</v>
      </c>
      <c r="BD7" s="19">
        <f t="shared" si="75"/>
        <v>200</v>
      </c>
      <c r="BE7" s="19">
        <f t="shared" si="76"/>
        <v>505</v>
      </c>
      <c r="BF7" s="19">
        <f t="shared" si="77"/>
        <v>0</v>
      </c>
      <c r="BG7" s="19">
        <f t="shared" si="78"/>
        <v>0</v>
      </c>
      <c r="BH7" s="19">
        <f t="shared" si="79"/>
        <v>0</v>
      </c>
      <c r="BI7" s="19">
        <v>0</v>
      </c>
      <c r="BJ7" s="19">
        <v>95</v>
      </c>
      <c r="BK7" s="19">
        <f t="shared" si="83"/>
        <v>1900</v>
      </c>
      <c r="BL7" s="19">
        <v>0</v>
      </c>
      <c r="BM7" s="19">
        <v>0</v>
      </c>
      <c r="BN7" s="19">
        <f t="shared" si="84"/>
        <v>0</v>
      </c>
      <c r="BO7" s="19">
        <f t="shared" si="85"/>
        <v>1900</v>
      </c>
      <c r="BP7" s="19">
        <v>0</v>
      </c>
      <c r="BQ7" s="19">
        <v>0</v>
      </c>
      <c r="BR7" s="22">
        <f t="shared" si="86"/>
        <v>1900</v>
      </c>
      <c r="BS7" s="23">
        <f t="shared" si="10"/>
        <v>0</v>
      </c>
      <c r="BT7" s="24">
        <f t="shared" si="87"/>
        <v>0</v>
      </c>
      <c r="BU7" s="24">
        <f t="shared" si="12"/>
        <v>0</v>
      </c>
      <c r="BV7" s="24">
        <f t="shared" si="88"/>
        <v>0</v>
      </c>
      <c r="BW7" s="24">
        <f t="shared" si="14"/>
        <v>0</v>
      </c>
      <c r="BX7" s="24">
        <f t="shared" si="89"/>
        <v>0</v>
      </c>
      <c r="BY7" s="24">
        <f t="shared" si="16"/>
        <v>0</v>
      </c>
      <c r="BZ7" s="24">
        <f t="shared" si="90"/>
        <v>0</v>
      </c>
      <c r="CA7" s="24">
        <f t="shared" si="18"/>
        <v>0</v>
      </c>
      <c r="CB7" s="24">
        <f t="shared" si="91"/>
        <v>0</v>
      </c>
      <c r="CC7" s="24">
        <f t="shared" si="20"/>
        <v>25</v>
      </c>
      <c r="CD7" s="24">
        <f t="shared" si="92"/>
        <v>75</v>
      </c>
      <c r="CE7" s="24">
        <f t="shared" si="22"/>
        <v>0</v>
      </c>
      <c r="CF7" s="24">
        <f t="shared" si="93"/>
        <v>0</v>
      </c>
      <c r="CG7" s="24">
        <f t="shared" si="24"/>
        <v>0</v>
      </c>
      <c r="CH7" s="24">
        <f t="shared" si="94"/>
        <v>0</v>
      </c>
      <c r="CI7" s="24">
        <f t="shared" si="26"/>
        <v>0</v>
      </c>
      <c r="CJ7" s="24">
        <f t="shared" si="95"/>
        <v>0</v>
      </c>
      <c r="CK7" s="24">
        <f t="shared" si="28"/>
        <v>0</v>
      </c>
      <c r="CL7" s="24">
        <f t="shared" si="96"/>
        <v>0</v>
      </c>
      <c r="CM7" s="24">
        <f t="shared" si="30"/>
        <v>0</v>
      </c>
      <c r="CN7" s="24">
        <f t="shared" si="97"/>
        <v>0</v>
      </c>
      <c r="CO7" s="24">
        <f t="shared" si="32"/>
        <v>0</v>
      </c>
      <c r="CP7" s="24">
        <f t="shared" si="98"/>
        <v>0</v>
      </c>
      <c r="CQ7" s="24">
        <f t="shared" si="34"/>
        <v>0</v>
      </c>
      <c r="CR7" s="24">
        <f t="shared" si="99"/>
        <v>0</v>
      </c>
      <c r="CS7" s="24">
        <f t="shared" si="36"/>
        <v>0</v>
      </c>
      <c r="CT7" s="24">
        <f t="shared" si="100"/>
        <v>0</v>
      </c>
      <c r="CU7" s="24">
        <f t="shared" si="38"/>
        <v>0</v>
      </c>
      <c r="CV7" s="24">
        <f t="shared" si="101"/>
        <v>0</v>
      </c>
      <c r="CW7" s="24">
        <f t="shared" si="40"/>
        <v>0</v>
      </c>
      <c r="CX7" s="24">
        <f t="shared" si="102"/>
        <v>0</v>
      </c>
      <c r="CY7" s="24">
        <f t="shared" si="42"/>
        <v>0</v>
      </c>
      <c r="CZ7" s="24">
        <f t="shared" si="103"/>
        <v>0</v>
      </c>
      <c r="DA7" s="24">
        <f t="shared" si="44"/>
        <v>0</v>
      </c>
      <c r="DB7" s="24">
        <f t="shared" si="104"/>
        <v>0</v>
      </c>
      <c r="DC7" s="24">
        <f t="shared" si="46"/>
        <v>0</v>
      </c>
      <c r="DD7" s="24">
        <f t="shared" si="105"/>
        <v>0</v>
      </c>
      <c r="DE7" s="24">
        <f t="shared" si="48"/>
        <v>0</v>
      </c>
      <c r="DF7" s="24">
        <f t="shared" si="106"/>
        <v>0</v>
      </c>
      <c r="DG7" s="24">
        <f t="shared" si="50"/>
        <v>0</v>
      </c>
      <c r="DH7" s="24">
        <f t="shared" si="107"/>
        <v>0</v>
      </c>
      <c r="DI7" s="24">
        <f t="shared" si="52"/>
        <v>0</v>
      </c>
      <c r="DJ7" s="24">
        <f t="shared" si="108"/>
        <v>0</v>
      </c>
      <c r="DK7" s="24">
        <f t="shared" si="54"/>
        <v>0</v>
      </c>
      <c r="DL7" s="24">
        <f t="shared" si="109"/>
        <v>0</v>
      </c>
      <c r="DM7" s="24">
        <f t="shared" si="56"/>
        <v>0</v>
      </c>
      <c r="DN7" s="24">
        <f t="shared" si="110"/>
        <v>0</v>
      </c>
      <c r="DO7" s="24">
        <f t="shared" si="58"/>
        <v>0</v>
      </c>
      <c r="DP7" s="24">
        <f t="shared" si="111"/>
        <v>0</v>
      </c>
      <c r="DQ7" s="24">
        <f t="shared" si="60"/>
        <v>0</v>
      </c>
      <c r="DR7" s="24">
        <f t="shared" si="112"/>
        <v>0</v>
      </c>
      <c r="DS7" s="24">
        <f t="shared" si="62"/>
        <v>0</v>
      </c>
      <c r="DT7" s="24">
        <f t="shared" si="113"/>
        <v>0</v>
      </c>
      <c r="DU7" s="24">
        <f t="shared" si="64"/>
        <v>0</v>
      </c>
      <c r="DV7" s="24">
        <f t="shared" si="114"/>
        <v>0</v>
      </c>
      <c r="DW7" s="24">
        <f t="shared" si="66"/>
        <v>0</v>
      </c>
      <c r="DX7" s="24">
        <f t="shared" si="115"/>
        <v>0</v>
      </c>
      <c r="DY7" s="24">
        <f t="shared" si="68"/>
        <v>0</v>
      </c>
      <c r="DZ7" s="24">
        <f t="shared" si="116"/>
        <v>0</v>
      </c>
      <c r="EA7" s="24">
        <f t="shared" si="70"/>
        <v>0</v>
      </c>
      <c r="EB7" s="24">
        <f t="shared" si="117"/>
        <v>0</v>
      </c>
      <c r="EC7" s="24">
        <f t="shared" si="72"/>
        <v>0</v>
      </c>
      <c r="ED7" s="24">
        <f t="shared" si="118"/>
        <v>0</v>
      </c>
      <c r="EE7" s="153"/>
    </row>
    <row r="8" spans="1:136" s="2" customFormat="1" ht="18" customHeight="1" x14ac:dyDescent="0.25">
      <c r="A8" s="15">
        <v>5</v>
      </c>
      <c r="B8" s="108" t="s">
        <v>118</v>
      </c>
      <c r="C8" s="17" t="s">
        <v>119</v>
      </c>
      <c r="D8" s="16" t="s">
        <v>107</v>
      </c>
      <c r="E8" s="18">
        <v>45013</v>
      </c>
      <c r="F8" s="19">
        <v>10</v>
      </c>
      <c r="G8" s="19">
        <v>8</v>
      </c>
      <c r="H8" s="19">
        <v>10</v>
      </c>
      <c r="I8" s="19">
        <v>10</v>
      </c>
      <c r="J8" s="19" t="s">
        <v>603</v>
      </c>
      <c r="K8" s="19">
        <v>10</v>
      </c>
      <c r="L8" s="19" t="s">
        <v>15</v>
      </c>
      <c r="M8" s="19">
        <v>10</v>
      </c>
      <c r="N8" s="19">
        <v>10</v>
      </c>
      <c r="O8" s="19">
        <v>10</v>
      </c>
      <c r="P8" s="19">
        <v>10</v>
      </c>
      <c r="Q8" s="19">
        <v>10</v>
      </c>
      <c r="R8" s="19">
        <v>10</v>
      </c>
      <c r="S8" s="19" t="s">
        <v>15</v>
      </c>
      <c r="T8" s="19">
        <v>10</v>
      </c>
      <c r="U8" s="19">
        <v>10</v>
      </c>
      <c r="V8" s="19">
        <v>10</v>
      </c>
      <c r="W8" s="19">
        <v>10</v>
      </c>
      <c r="X8" s="19">
        <v>10</v>
      </c>
      <c r="Y8" s="19">
        <v>10</v>
      </c>
      <c r="Z8" s="19" t="s">
        <v>15</v>
      </c>
      <c r="AA8" s="19">
        <v>11</v>
      </c>
      <c r="AB8" s="19">
        <v>11</v>
      </c>
      <c r="AC8" s="19">
        <v>11</v>
      </c>
      <c r="AD8" s="19">
        <v>11</v>
      </c>
      <c r="AE8" s="19">
        <v>11</v>
      </c>
      <c r="AF8" s="19">
        <v>11</v>
      </c>
      <c r="AG8" s="19" t="s">
        <v>15</v>
      </c>
      <c r="AH8" s="19">
        <v>11</v>
      </c>
      <c r="AI8" s="19">
        <v>11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f t="shared" si="0"/>
        <v>56</v>
      </c>
      <c r="AU8" s="19">
        <f t="shared" si="1"/>
        <v>0</v>
      </c>
      <c r="AV8" s="19">
        <f t="shared" si="2"/>
        <v>0</v>
      </c>
      <c r="AW8" s="16">
        <f t="shared" si="3"/>
        <v>30</v>
      </c>
      <c r="AX8" s="16">
        <f t="shared" si="4"/>
        <v>0</v>
      </c>
      <c r="AY8" s="38">
        <f t="shared" si="5"/>
        <v>0</v>
      </c>
      <c r="AZ8" s="36">
        <v>1100</v>
      </c>
      <c r="BA8" s="20">
        <v>200</v>
      </c>
      <c r="BB8" s="21">
        <v>0</v>
      </c>
      <c r="BC8" s="19">
        <f t="shared" si="74"/>
        <v>1100</v>
      </c>
      <c r="BD8" s="19">
        <f t="shared" si="75"/>
        <v>200</v>
      </c>
      <c r="BE8" s="19">
        <f t="shared" si="76"/>
        <v>321</v>
      </c>
      <c r="BF8" s="19">
        <f t="shared" si="77"/>
        <v>0</v>
      </c>
      <c r="BG8" s="19">
        <f t="shared" si="78"/>
        <v>0</v>
      </c>
      <c r="BH8" s="19">
        <f t="shared" si="79"/>
        <v>0</v>
      </c>
      <c r="BI8" s="19">
        <v>0</v>
      </c>
      <c r="BJ8" s="19">
        <v>95</v>
      </c>
      <c r="BK8" s="19">
        <f t="shared" si="6"/>
        <v>1716</v>
      </c>
      <c r="BL8" s="19">
        <v>0</v>
      </c>
      <c r="BM8" s="19">
        <v>0</v>
      </c>
      <c r="BN8" s="19">
        <f t="shared" si="7"/>
        <v>0</v>
      </c>
      <c r="BO8" s="19">
        <f t="shared" si="8"/>
        <v>1716</v>
      </c>
      <c r="BP8" s="19">
        <v>0</v>
      </c>
      <c r="BQ8" s="19">
        <v>0</v>
      </c>
      <c r="BR8" s="22">
        <f t="shared" si="9"/>
        <v>1716</v>
      </c>
      <c r="BS8" s="23">
        <f t="shared" si="10"/>
        <v>0</v>
      </c>
      <c r="BT8" s="24">
        <f t="shared" si="11"/>
        <v>0</v>
      </c>
      <c r="BU8" s="24">
        <f t="shared" si="12"/>
        <v>0</v>
      </c>
      <c r="BV8" s="24">
        <f t="shared" si="13"/>
        <v>0</v>
      </c>
      <c r="BW8" s="24">
        <f t="shared" si="14"/>
        <v>0</v>
      </c>
      <c r="BX8" s="24">
        <f t="shared" si="15"/>
        <v>0</v>
      </c>
      <c r="BY8" s="24">
        <f t="shared" si="16"/>
        <v>16</v>
      </c>
      <c r="BZ8" s="24">
        <f t="shared" si="17"/>
        <v>32</v>
      </c>
      <c r="CA8" s="24">
        <f t="shared" si="18"/>
        <v>0</v>
      </c>
      <c r="CB8" s="24">
        <f t="shared" si="19"/>
        <v>0</v>
      </c>
      <c r="CC8" s="24">
        <f t="shared" si="20"/>
        <v>8</v>
      </c>
      <c r="CD8" s="24">
        <f t="shared" si="21"/>
        <v>24</v>
      </c>
      <c r="CE8" s="24">
        <f t="shared" si="22"/>
        <v>0</v>
      </c>
      <c r="CF8" s="24">
        <f t="shared" si="23"/>
        <v>0</v>
      </c>
      <c r="CG8" s="24">
        <f t="shared" si="24"/>
        <v>0</v>
      </c>
      <c r="CH8" s="24">
        <f t="shared" si="25"/>
        <v>0</v>
      </c>
      <c r="CI8" s="24">
        <f t="shared" si="26"/>
        <v>0</v>
      </c>
      <c r="CJ8" s="24">
        <f t="shared" si="27"/>
        <v>0</v>
      </c>
      <c r="CK8" s="24">
        <f t="shared" si="28"/>
        <v>0</v>
      </c>
      <c r="CL8" s="24">
        <f t="shared" si="29"/>
        <v>0</v>
      </c>
      <c r="CM8" s="24">
        <f t="shared" si="30"/>
        <v>0</v>
      </c>
      <c r="CN8" s="24">
        <f t="shared" si="31"/>
        <v>0</v>
      </c>
      <c r="CO8" s="24">
        <f t="shared" si="32"/>
        <v>0</v>
      </c>
      <c r="CP8" s="24">
        <f t="shared" si="33"/>
        <v>0</v>
      </c>
      <c r="CQ8" s="24">
        <f t="shared" si="34"/>
        <v>0</v>
      </c>
      <c r="CR8" s="24">
        <f t="shared" si="35"/>
        <v>0</v>
      </c>
      <c r="CS8" s="24">
        <f t="shared" si="36"/>
        <v>0</v>
      </c>
      <c r="CT8" s="24">
        <f t="shared" si="37"/>
        <v>0</v>
      </c>
      <c r="CU8" s="24">
        <f t="shared" si="38"/>
        <v>0</v>
      </c>
      <c r="CV8" s="24">
        <f t="shared" si="39"/>
        <v>0</v>
      </c>
      <c r="CW8" s="24">
        <f t="shared" si="40"/>
        <v>0</v>
      </c>
      <c r="CX8" s="24">
        <f t="shared" si="41"/>
        <v>0</v>
      </c>
      <c r="CY8" s="24">
        <f t="shared" si="42"/>
        <v>0</v>
      </c>
      <c r="CZ8" s="24">
        <f t="shared" si="43"/>
        <v>0</v>
      </c>
      <c r="DA8" s="24">
        <f t="shared" si="44"/>
        <v>0</v>
      </c>
      <c r="DB8" s="24">
        <f t="shared" si="45"/>
        <v>0</v>
      </c>
      <c r="DC8" s="24">
        <f t="shared" si="46"/>
        <v>0</v>
      </c>
      <c r="DD8" s="24">
        <f t="shared" si="47"/>
        <v>0</v>
      </c>
      <c r="DE8" s="24">
        <f t="shared" si="48"/>
        <v>0</v>
      </c>
      <c r="DF8" s="24">
        <f t="shared" si="49"/>
        <v>0</v>
      </c>
      <c r="DG8" s="24">
        <f t="shared" si="50"/>
        <v>0</v>
      </c>
      <c r="DH8" s="24">
        <f t="shared" si="51"/>
        <v>0</v>
      </c>
      <c r="DI8" s="24">
        <f t="shared" si="52"/>
        <v>0</v>
      </c>
      <c r="DJ8" s="24">
        <f t="shared" si="53"/>
        <v>0</v>
      </c>
      <c r="DK8" s="24">
        <f t="shared" si="54"/>
        <v>0</v>
      </c>
      <c r="DL8" s="24">
        <f t="shared" si="55"/>
        <v>0</v>
      </c>
      <c r="DM8" s="24">
        <f t="shared" si="56"/>
        <v>0</v>
      </c>
      <c r="DN8" s="24">
        <f t="shared" si="57"/>
        <v>0</v>
      </c>
      <c r="DO8" s="24">
        <f t="shared" si="58"/>
        <v>0</v>
      </c>
      <c r="DP8" s="24">
        <f t="shared" si="59"/>
        <v>0</v>
      </c>
      <c r="DQ8" s="24">
        <f t="shared" si="60"/>
        <v>0</v>
      </c>
      <c r="DR8" s="24">
        <f t="shared" si="61"/>
        <v>0</v>
      </c>
      <c r="DS8" s="24">
        <f t="shared" si="62"/>
        <v>0</v>
      </c>
      <c r="DT8" s="24">
        <f t="shared" si="63"/>
        <v>0</v>
      </c>
      <c r="DU8" s="24">
        <f t="shared" si="64"/>
        <v>0</v>
      </c>
      <c r="DV8" s="24">
        <f t="shared" si="65"/>
        <v>0</v>
      </c>
      <c r="DW8" s="24">
        <f t="shared" si="66"/>
        <v>0</v>
      </c>
      <c r="DX8" s="24">
        <f t="shared" si="67"/>
        <v>0</v>
      </c>
      <c r="DY8" s="24">
        <f t="shared" si="68"/>
        <v>0</v>
      </c>
      <c r="DZ8" s="24">
        <f t="shared" si="69"/>
        <v>0</v>
      </c>
      <c r="EA8" s="24">
        <f t="shared" si="70"/>
        <v>0</v>
      </c>
      <c r="EB8" s="24">
        <f t="shared" si="71"/>
        <v>0</v>
      </c>
      <c r="EC8" s="24">
        <f t="shared" si="72"/>
        <v>0</v>
      </c>
      <c r="ED8" s="24">
        <f t="shared" si="73"/>
        <v>0</v>
      </c>
      <c r="EE8" s="25"/>
    </row>
    <row r="9" spans="1:136" s="2" customFormat="1" ht="18" customHeight="1" x14ac:dyDescent="0.25">
      <c r="A9" s="15">
        <v>6</v>
      </c>
      <c r="B9" s="108" t="s">
        <v>166</v>
      </c>
      <c r="C9" s="26" t="s">
        <v>168</v>
      </c>
      <c r="D9" s="16" t="s">
        <v>167</v>
      </c>
      <c r="E9" s="18">
        <v>45203</v>
      </c>
      <c r="F9" s="19">
        <v>10</v>
      </c>
      <c r="G9" s="19">
        <v>10</v>
      </c>
      <c r="H9" s="19">
        <v>10</v>
      </c>
      <c r="I9" s="19">
        <v>10</v>
      </c>
      <c r="J9" s="19" t="s">
        <v>603</v>
      </c>
      <c r="K9" s="19">
        <v>10</v>
      </c>
      <c r="L9" s="19" t="s">
        <v>15</v>
      </c>
      <c r="M9" s="19">
        <v>10</v>
      </c>
      <c r="N9" s="19">
        <v>10</v>
      </c>
      <c r="O9" s="19">
        <v>10</v>
      </c>
      <c r="P9" s="19">
        <v>10</v>
      </c>
      <c r="Q9" s="19">
        <v>10</v>
      </c>
      <c r="R9" s="19">
        <v>10</v>
      </c>
      <c r="S9" s="19" t="s">
        <v>15</v>
      </c>
      <c r="T9" s="19">
        <v>10</v>
      </c>
      <c r="U9" s="19">
        <v>10</v>
      </c>
      <c r="V9" s="19">
        <v>10</v>
      </c>
      <c r="W9" s="19">
        <v>10</v>
      </c>
      <c r="X9" s="19">
        <v>10</v>
      </c>
      <c r="Y9" s="19">
        <v>10</v>
      </c>
      <c r="Z9" s="19" t="s">
        <v>15</v>
      </c>
      <c r="AA9" s="19">
        <v>10</v>
      </c>
      <c r="AB9" s="19">
        <v>10</v>
      </c>
      <c r="AC9" s="19">
        <v>10</v>
      </c>
      <c r="AD9" s="19">
        <v>12</v>
      </c>
      <c r="AE9" s="19">
        <v>10</v>
      </c>
      <c r="AF9" s="19">
        <v>10</v>
      </c>
      <c r="AG9" s="19" t="s">
        <v>15</v>
      </c>
      <c r="AH9" s="19">
        <v>10</v>
      </c>
      <c r="AI9" s="19">
        <v>10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10</v>
      </c>
      <c r="AP9" s="19">
        <v>0</v>
      </c>
      <c r="AQ9" s="19">
        <v>0</v>
      </c>
      <c r="AR9" s="19">
        <v>0</v>
      </c>
      <c r="AS9" s="19">
        <v>0</v>
      </c>
      <c r="AT9" s="19">
        <f t="shared" si="0"/>
        <v>52</v>
      </c>
      <c r="AU9" s="19">
        <f t="shared" si="1"/>
        <v>0</v>
      </c>
      <c r="AV9" s="19">
        <f t="shared" si="2"/>
        <v>10</v>
      </c>
      <c r="AW9" s="16">
        <f t="shared" si="3"/>
        <v>30</v>
      </c>
      <c r="AX9" s="16">
        <f t="shared" si="4"/>
        <v>0</v>
      </c>
      <c r="AY9" s="38">
        <f t="shared" si="5"/>
        <v>0</v>
      </c>
      <c r="AZ9" s="36">
        <v>1000</v>
      </c>
      <c r="BA9" s="20">
        <v>100</v>
      </c>
      <c r="BB9" s="21">
        <v>0</v>
      </c>
      <c r="BC9" s="19">
        <f t="shared" si="74"/>
        <v>1000</v>
      </c>
      <c r="BD9" s="19">
        <f t="shared" si="75"/>
        <v>100</v>
      </c>
      <c r="BE9" s="19">
        <f t="shared" si="76"/>
        <v>333</v>
      </c>
      <c r="BF9" s="19">
        <f t="shared" si="77"/>
        <v>0</v>
      </c>
      <c r="BG9" s="19">
        <f t="shared" si="78"/>
        <v>0</v>
      </c>
      <c r="BH9" s="19">
        <f t="shared" si="79"/>
        <v>0</v>
      </c>
      <c r="BI9" s="19">
        <v>0</v>
      </c>
      <c r="BJ9" s="19">
        <v>95</v>
      </c>
      <c r="BK9" s="19">
        <f t="shared" si="6"/>
        <v>1528</v>
      </c>
      <c r="BL9" s="19">
        <v>0</v>
      </c>
      <c r="BM9" s="19">
        <v>0</v>
      </c>
      <c r="BN9" s="19">
        <f t="shared" si="7"/>
        <v>0</v>
      </c>
      <c r="BO9" s="19">
        <f t="shared" si="8"/>
        <v>1528</v>
      </c>
      <c r="BP9" s="19">
        <v>0</v>
      </c>
      <c r="BQ9" s="19">
        <v>0</v>
      </c>
      <c r="BR9" s="22">
        <f t="shared" si="9"/>
        <v>1528</v>
      </c>
      <c r="BS9" s="23">
        <f t="shared" si="10"/>
        <v>0</v>
      </c>
      <c r="BT9" s="24">
        <f t="shared" si="11"/>
        <v>0</v>
      </c>
      <c r="BU9" s="24">
        <f t="shared" si="12"/>
        <v>0</v>
      </c>
      <c r="BV9" s="24">
        <f t="shared" si="13"/>
        <v>0</v>
      </c>
      <c r="BW9" s="24">
        <f t="shared" si="14"/>
        <v>0</v>
      </c>
      <c r="BX9" s="24">
        <f t="shared" si="15"/>
        <v>0</v>
      </c>
      <c r="BY9" s="24">
        <f t="shared" si="16"/>
        <v>24</v>
      </c>
      <c r="BZ9" s="24">
        <f t="shared" si="17"/>
        <v>48</v>
      </c>
      <c r="CA9" s="24">
        <f t="shared" si="18"/>
        <v>0</v>
      </c>
      <c r="CB9" s="24">
        <f t="shared" si="19"/>
        <v>0</v>
      </c>
      <c r="CC9" s="24">
        <f t="shared" si="20"/>
        <v>0</v>
      </c>
      <c r="CD9" s="24">
        <f t="shared" si="21"/>
        <v>0</v>
      </c>
      <c r="CE9" s="24">
        <f t="shared" si="22"/>
        <v>0</v>
      </c>
      <c r="CF9" s="24">
        <f t="shared" si="23"/>
        <v>0</v>
      </c>
      <c r="CG9" s="24">
        <f t="shared" si="24"/>
        <v>1</v>
      </c>
      <c r="CH9" s="24">
        <f t="shared" si="25"/>
        <v>4</v>
      </c>
      <c r="CI9" s="24">
        <f t="shared" si="26"/>
        <v>0</v>
      </c>
      <c r="CJ9" s="24">
        <f t="shared" si="27"/>
        <v>0</v>
      </c>
      <c r="CK9" s="24">
        <f t="shared" si="28"/>
        <v>0</v>
      </c>
      <c r="CL9" s="24">
        <f t="shared" si="29"/>
        <v>0</v>
      </c>
      <c r="CM9" s="24">
        <f t="shared" si="30"/>
        <v>0</v>
      </c>
      <c r="CN9" s="24">
        <f t="shared" si="31"/>
        <v>0</v>
      </c>
      <c r="CO9" s="24">
        <f t="shared" si="32"/>
        <v>0</v>
      </c>
      <c r="CP9" s="24">
        <f t="shared" si="33"/>
        <v>0</v>
      </c>
      <c r="CQ9" s="24">
        <f t="shared" si="34"/>
        <v>0</v>
      </c>
      <c r="CR9" s="24">
        <f t="shared" si="35"/>
        <v>0</v>
      </c>
      <c r="CS9" s="24">
        <f t="shared" si="36"/>
        <v>0</v>
      </c>
      <c r="CT9" s="24">
        <f t="shared" si="37"/>
        <v>0</v>
      </c>
      <c r="CU9" s="24">
        <f t="shared" si="38"/>
        <v>0</v>
      </c>
      <c r="CV9" s="24">
        <f t="shared" si="39"/>
        <v>0</v>
      </c>
      <c r="CW9" s="24">
        <f t="shared" si="40"/>
        <v>0</v>
      </c>
      <c r="CX9" s="24">
        <f t="shared" si="41"/>
        <v>0</v>
      </c>
      <c r="CY9" s="24">
        <f t="shared" si="42"/>
        <v>0</v>
      </c>
      <c r="CZ9" s="24">
        <f t="shared" si="43"/>
        <v>0</v>
      </c>
      <c r="DA9" s="24">
        <f t="shared" si="44"/>
        <v>0</v>
      </c>
      <c r="DB9" s="24">
        <f t="shared" si="45"/>
        <v>0</v>
      </c>
      <c r="DC9" s="24">
        <f t="shared" si="46"/>
        <v>0</v>
      </c>
      <c r="DD9" s="24">
        <f t="shared" si="47"/>
        <v>0</v>
      </c>
      <c r="DE9" s="24">
        <f t="shared" si="48"/>
        <v>0</v>
      </c>
      <c r="DF9" s="24">
        <f t="shared" si="49"/>
        <v>0</v>
      </c>
      <c r="DG9" s="24">
        <f t="shared" si="50"/>
        <v>0</v>
      </c>
      <c r="DH9" s="24">
        <f t="shared" si="51"/>
        <v>0</v>
      </c>
      <c r="DI9" s="24">
        <f t="shared" si="52"/>
        <v>0</v>
      </c>
      <c r="DJ9" s="24">
        <f t="shared" si="53"/>
        <v>0</v>
      </c>
      <c r="DK9" s="24">
        <f t="shared" si="54"/>
        <v>0</v>
      </c>
      <c r="DL9" s="24">
        <f t="shared" si="55"/>
        <v>0</v>
      </c>
      <c r="DM9" s="24">
        <f t="shared" si="56"/>
        <v>0</v>
      </c>
      <c r="DN9" s="24">
        <f t="shared" si="57"/>
        <v>0</v>
      </c>
      <c r="DO9" s="24">
        <f t="shared" si="58"/>
        <v>0</v>
      </c>
      <c r="DP9" s="24">
        <f t="shared" si="59"/>
        <v>0</v>
      </c>
      <c r="DQ9" s="24">
        <f t="shared" si="60"/>
        <v>0</v>
      </c>
      <c r="DR9" s="24">
        <f t="shared" si="61"/>
        <v>0</v>
      </c>
      <c r="DS9" s="24">
        <f t="shared" si="62"/>
        <v>0</v>
      </c>
      <c r="DT9" s="24">
        <f t="shared" si="63"/>
        <v>0</v>
      </c>
      <c r="DU9" s="24">
        <f t="shared" si="64"/>
        <v>0</v>
      </c>
      <c r="DV9" s="24">
        <f t="shared" si="65"/>
        <v>0</v>
      </c>
      <c r="DW9" s="24">
        <f t="shared" si="66"/>
        <v>0</v>
      </c>
      <c r="DX9" s="24">
        <f t="shared" si="67"/>
        <v>0</v>
      </c>
      <c r="DY9" s="24">
        <f t="shared" si="68"/>
        <v>0</v>
      </c>
      <c r="DZ9" s="24">
        <f t="shared" si="69"/>
        <v>0</v>
      </c>
      <c r="EA9" s="24">
        <f t="shared" si="70"/>
        <v>0</v>
      </c>
      <c r="EB9" s="24">
        <f t="shared" si="71"/>
        <v>0</v>
      </c>
      <c r="EC9" s="24">
        <f t="shared" si="72"/>
        <v>0</v>
      </c>
      <c r="ED9" s="24">
        <f t="shared" si="73"/>
        <v>0</v>
      </c>
      <c r="EE9" s="25"/>
    </row>
    <row r="10" spans="1:136" s="2" customFormat="1" ht="18" customHeight="1" x14ac:dyDescent="0.25">
      <c r="A10" s="15">
        <v>7</v>
      </c>
      <c r="B10" s="108" t="s">
        <v>165</v>
      </c>
      <c r="C10" s="74" t="s">
        <v>169</v>
      </c>
      <c r="D10" s="16" t="s">
        <v>107</v>
      </c>
      <c r="E10" s="18">
        <v>45214</v>
      </c>
      <c r="F10" s="19">
        <v>11</v>
      </c>
      <c r="G10" s="19">
        <v>11</v>
      </c>
      <c r="H10" s="19">
        <v>11</v>
      </c>
      <c r="I10" s="19">
        <v>11</v>
      </c>
      <c r="J10" s="19" t="s">
        <v>603</v>
      </c>
      <c r="K10" s="19">
        <v>11</v>
      </c>
      <c r="L10" s="19" t="s">
        <v>15</v>
      </c>
      <c r="M10" s="19">
        <v>11</v>
      </c>
      <c r="N10" s="19">
        <v>11</v>
      </c>
      <c r="O10" s="19">
        <v>11</v>
      </c>
      <c r="P10" s="19">
        <v>11</v>
      </c>
      <c r="Q10" s="19">
        <v>11</v>
      </c>
      <c r="R10" s="19">
        <v>11</v>
      </c>
      <c r="S10" s="19" t="s">
        <v>15</v>
      </c>
      <c r="T10" s="19">
        <v>11</v>
      </c>
      <c r="U10" s="19">
        <v>11</v>
      </c>
      <c r="V10" s="19">
        <v>11</v>
      </c>
      <c r="W10" s="19">
        <v>11</v>
      </c>
      <c r="X10" s="19">
        <v>11</v>
      </c>
      <c r="Y10" s="19">
        <v>11</v>
      </c>
      <c r="Z10" s="19" t="s">
        <v>15</v>
      </c>
      <c r="AA10" s="19">
        <v>11</v>
      </c>
      <c r="AB10" s="19">
        <v>11</v>
      </c>
      <c r="AC10" s="19">
        <v>11</v>
      </c>
      <c r="AD10" s="19">
        <v>11</v>
      </c>
      <c r="AE10" s="19">
        <v>11</v>
      </c>
      <c r="AF10" s="19">
        <v>11</v>
      </c>
      <c r="AG10" s="19" t="s">
        <v>15</v>
      </c>
      <c r="AH10" s="19">
        <v>11</v>
      </c>
      <c r="AI10" s="19">
        <v>11</v>
      </c>
      <c r="AJ10" s="19">
        <v>0</v>
      </c>
      <c r="AK10" s="19">
        <v>0</v>
      </c>
      <c r="AL10" s="19">
        <v>11</v>
      </c>
      <c r="AM10" s="19">
        <v>11</v>
      </c>
      <c r="AN10" s="19">
        <v>0</v>
      </c>
      <c r="AO10" s="19">
        <v>11</v>
      </c>
      <c r="AP10" s="19">
        <v>0</v>
      </c>
      <c r="AQ10" s="19">
        <v>0</v>
      </c>
      <c r="AR10" s="19">
        <v>0</v>
      </c>
      <c r="AS10" s="19">
        <v>0</v>
      </c>
      <c r="AT10" s="19">
        <f t="shared" si="0"/>
        <v>75</v>
      </c>
      <c r="AU10" s="19">
        <f t="shared" si="1"/>
        <v>22</v>
      </c>
      <c r="AV10" s="19">
        <f t="shared" si="2"/>
        <v>11</v>
      </c>
      <c r="AW10" s="16">
        <f t="shared" si="3"/>
        <v>30</v>
      </c>
      <c r="AX10" s="16">
        <f t="shared" si="4"/>
        <v>0</v>
      </c>
      <c r="AY10" s="38">
        <f t="shared" si="5"/>
        <v>0</v>
      </c>
      <c r="AZ10" s="36">
        <v>1000</v>
      </c>
      <c r="BA10" s="20">
        <v>100</v>
      </c>
      <c r="BB10" s="21">
        <v>0</v>
      </c>
      <c r="BC10" s="19">
        <f t="shared" si="74"/>
        <v>1000</v>
      </c>
      <c r="BD10" s="19">
        <f t="shared" si="75"/>
        <v>100</v>
      </c>
      <c r="BE10" s="19">
        <f t="shared" si="76"/>
        <v>597</v>
      </c>
      <c r="BF10" s="19">
        <f t="shared" si="77"/>
        <v>0</v>
      </c>
      <c r="BG10" s="19">
        <f t="shared" si="78"/>
        <v>0</v>
      </c>
      <c r="BH10" s="19">
        <f t="shared" si="79"/>
        <v>0</v>
      </c>
      <c r="BI10" s="19">
        <v>0</v>
      </c>
      <c r="BJ10" s="19">
        <v>95</v>
      </c>
      <c r="BK10" s="19">
        <f t="shared" si="6"/>
        <v>1792</v>
      </c>
      <c r="BL10" s="19">
        <v>0</v>
      </c>
      <c r="BM10" s="19">
        <v>0</v>
      </c>
      <c r="BN10" s="19">
        <f t="shared" si="7"/>
        <v>0</v>
      </c>
      <c r="BO10" s="19">
        <f t="shared" si="8"/>
        <v>1792</v>
      </c>
      <c r="BP10" s="19">
        <v>0</v>
      </c>
      <c r="BQ10" s="19">
        <v>0</v>
      </c>
      <c r="BR10" s="22">
        <f t="shared" si="9"/>
        <v>1792</v>
      </c>
      <c r="BS10" s="23">
        <f t="shared" si="10"/>
        <v>0</v>
      </c>
      <c r="BT10" s="24">
        <f t="shared" si="11"/>
        <v>0</v>
      </c>
      <c r="BU10" s="24">
        <f t="shared" si="12"/>
        <v>0</v>
      </c>
      <c r="BV10" s="24">
        <f t="shared" si="13"/>
        <v>0</v>
      </c>
      <c r="BW10" s="24">
        <f t="shared" si="14"/>
        <v>0</v>
      </c>
      <c r="BX10" s="24">
        <f t="shared" si="15"/>
        <v>0</v>
      </c>
      <c r="BY10" s="24">
        <f t="shared" si="16"/>
        <v>0</v>
      </c>
      <c r="BZ10" s="24">
        <f t="shared" si="17"/>
        <v>0</v>
      </c>
      <c r="CA10" s="24">
        <f t="shared" si="18"/>
        <v>0</v>
      </c>
      <c r="CB10" s="24">
        <f t="shared" si="19"/>
        <v>0</v>
      </c>
      <c r="CC10" s="24">
        <f t="shared" si="20"/>
        <v>25</v>
      </c>
      <c r="CD10" s="24">
        <f t="shared" si="21"/>
        <v>75</v>
      </c>
      <c r="CE10" s="24">
        <f t="shared" si="22"/>
        <v>0</v>
      </c>
      <c r="CF10" s="24">
        <f t="shared" si="23"/>
        <v>0</v>
      </c>
      <c r="CG10" s="24">
        <f t="shared" si="24"/>
        <v>0</v>
      </c>
      <c r="CH10" s="24">
        <f t="shared" si="25"/>
        <v>0</v>
      </c>
      <c r="CI10" s="24">
        <f t="shared" si="26"/>
        <v>0</v>
      </c>
      <c r="CJ10" s="24">
        <f t="shared" si="27"/>
        <v>0</v>
      </c>
      <c r="CK10" s="24">
        <f t="shared" si="28"/>
        <v>0</v>
      </c>
      <c r="CL10" s="24">
        <f t="shared" si="29"/>
        <v>0</v>
      </c>
      <c r="CM10" s="24">
        <f t="shared" si="30"/>
        <v>0</v>
      </c>
      <c r="CN10" s="24">
        <f t="shared" si="31"/>
        <v>0</v>
      </c>
      <c r="CO10" s="24">
        <f t="shared" si="32"/>
        <v>0</v>
      </c>
      <c r="CP10" s="24">
        <f t="shared" si="33"/>
        <v>0</v>
      </c>
      <c r="CQ10" s="24">
        <f t="shared" si="34"/>
        <v>0</v>
      </c>
      <c r="CR10" s="24">
        <f t="shared" si="35"/>
        <v>0</v>
      </c>
      <c r="CS10" s="24">
        <f t="shared" si="36"/>
        <v>0</v>
      </c>
      <c r="CT10" s="24">
        <f t="shared" si="37"/>
        <v>0</v>
      </c>
      <c r="CU10" s="24">
        <f t="shared" si="38"/>
        <v>0</v>
      </c>
      <c r="CV10" s="24">
        <f t="shared" si="39"/>
        <v>0</v>
      </c>
      <c r="CW10" s="24">
        <f t="shared" si="40"/>
        <v>0</v>
      </c>
      <c r="CX10" s="24">
        <f t="shared" si="41"/>
        <v>0</v>
      </c>
      <c r="CY10" s="24">
        <f t="shared" si="42"/>
        <v>0</v>
      </c>
      <c r="CZ10" s="24">
        <f t="shared" si="43"/>
        <v>0</v>
      </c>
      <c r="DA10" s="24">
        <f t="shared" si="44"/>
        <v>0</v>
      </c>
      <c r="DB10" s="24">
        <f t="shared" si="45"/>
        <v>0</v>
      </c>
      <c r="DC10" s="24">
        <f t="shared" si="46"/>
        <v>0</v>
      </c>
      <c r="DD10" s="24">
        <f t="shared" si="47"/>
        <v>0</v>
      </c>
      <c r="DE10" s="24">
        <f t="shared" si="48"/>
        <v>0</v>
      </c>
      <c r="DF10" s="24">
        <f t="shared" si="49"/>
        <v>0</v>
      </c>
      <c r="DG10" s="24">
        <f t="shared" si="50"/>
        <v>0</v>
      </c>
      <c r="DH10" s="24">
        <f t="shared" si="51"/>
        <v>0</v>
      </c>
      <c r="DI10" s="24">
        <f t="shared" si="52"/>
        <v>0</v>
      </c>
      <c r="DJ10" s="24">
        <f t="shared" si="53"/>
        <v>0</v>
      </c>
      <c r="DK10" s="24">
        <f t="shared" si="54"/>
        <v>0</v>
      </c>
      <c r="DL10" s="24">
        <f t="shared" si="55"/>
        <v>0</v>
      </c>
      <c r="DM10" s="24">
        <f t="shared" si="56"/>
        <v>0</v>
      </c>
      <c r="DN10" s="24">
        <f t="shared" si="57"/>
        <v>0</v>
      </c>
      <c r="DO10" s="24">
        <f t="shared" si="58"/>
        <v>0</v>
      </c>
      <c r="DP10" s="24">
        <f t="shared" si="59"/>
        <v>0</v>
      </c>
      <c r="DQ10" s="24">
        <f t="shared" si="60"/>
        <v>0</v>
      </c>
      <c r="DR10" s="24">
        <f t="shared" si="61"/>
        <v>0</v>
      </c>
      <c r="DS10" s="24">
        <f t="shared" si="62"/>
        <v>0</v>
      </c>
      <c r="DT10" s="24">
        <f t="shared" si="63"/>
        <v>0</v>
      </c>
      <c r="DU10" s="24">
        <f t="shared" si="64"/>
        <v>0</v>
      </c>
      <c r="DV10" s="24">
        <f t="shared" si="65"/>
        <v>0</v>
      </c>
      <c r="DW10" s="24">
        <f t="shared" si="66"/>
        <v>0</v>
      </c>
      <c r="DX10" s="24">
        <f t="shared" si="67"/>
        <v>0</v>
      </c>
      <c r="DY10" s="24">
        <f t="shared" si="68"/>
        <v>0</v>
      </c>
      <c r="DZ10" s="24">
        <f t="shared" si="69"/>
        <v>0</v>
      </c>
      <c r="EA10" s="24">
        <f t="shared" si="70"/>
        <v>0</v>
      </c>
      <c r="EB10" s="24">
        <f t="shared" si="71"/>
        <v>0</v>
      </c>
      <c r="EC10" s="24">
        <f t="shared" si="72"/>
        <v>0</v>
      </c>
      <c r="ED10" s="24">
        <f t="shared" si="73"/>
        <v>0</v>
      </c>
      <c r="EE10" s="25"/>
    </row>
    <row r="11" spans="1:136" s="2" customFormat="1" ht="18" customHeight="1" x14ac:dyDescent="0.25">
      <c r="A11" s="15">
        <v>8</v>
      </c>
      <c r="B11" s="108" t="s">
        <v>179</v>
      </c>
      <c r="C11" s="26" t="s">
        <v>191</v>
      </c>
      <c r="D11" s="16" t="s">
        <v>107</v>
      </c>
      <c r="E11" s="18">
        <v>45233</v>
      </c>
      <c r="F11" s="19">
        <v>10</v>
      </c>
      <c r="G11" s="19">
        <v>10</v>
      </c>
      <c r="H11" s="19">
        <v>10</v>
      </c>
      <c r="I11" s="19">
        <v>10</v>
      </c>
      <c r="J11" s="19" t="s">
        <v>603</v>
      </c>
      <c r="K11" s="19">
        <v>10</v>
      </c>
      <c r="L11" s="19" t="s">
        <v>15</v>
      </c>
      <c r="M11" s="19">
        <v>10</v>
      </c>
      <c r="N11" s="19">
        <v>10</v>
      </c>
      <c r="O11" s="19">
        <v>10</v>
      </c>
      <c r="P11" s="19">
        <v>10</v>
      </c>
      <c r="Q11" s="19">
        <v>10</v>
      </c>
      <c r="R11" s="19">
        <v>10</v>
      </c>
      <c r="S11" s="19" t="s">
        <v>15</v>
      </c>
      <c r="T11" s="19">
        <v>10</v>
      </c>
      <c r="U11" s="19">
        <v>10</v>
      </c>
      <c r="V11" s="19">
        <v>10</v>
      </c>
      <c r="W11" s="19">
        <v>10</v>
      </c>
      <c r="X11" s="19">
        <v>10</v>
      </c>
      <c r="Y11" s="19">
        <v>10</v>
      </c>
      <c r="Z11" s="19" t="s">
        <v>15</v>
      </c>
      <c r="AA11" s="19">
        <v>10</v>
      </c>
      <c r="AB11" s="19">
        <v>10</v>
      </c>
      <c r="AC11" s="19">
        <v>10</v>
      </c>
      <c r="AD11" s="19">
        <v>10</v>
      </c>
      <c r="AE11" s="19">
        <v>10</v>
      </c>
      <c r="AF11" s="19">
        <v>10</v>
      </c>
      <c r="AG11" s="19" t="s">
        <v>15</v>
      </c>
      <c r="AH11" s="19">
        <v>10</v>
      </c>
      <c r="AI11" s="19">
        <v>10</v>
      </c>
      <c r="AJ11" s="19">
        <v>0</v>
      </c>
      <c r="AK11" s="19">
        <v>10</v>
      </c>
      <c r="AL11" s="19">
        <v>0</v>
      </c>
      <c r="AM11" s="19">
        <v>0</v>
      </c>
      <c r="AN11" s="19">
        <v>0</v>
      </c>
      <c r="AO11" s="19">
        <v>10</v>
      </c>
      <c r="AP11" s="19">
        <v>0</v>
      </c>
      <c r="AQ11" s="19">
        <v>0</v>
      </c>
      <c r="AR11" s="19">
        <v>0</v>
      </c>
      <c r="AS11" s="19">
        <v>0</v>
      </c>
      <c r="AT11" s="19">
        <f t="shared" si="0"/>
        <v>50</v>
      </c>
      <c r="AU11" s="19">
        <f t="shared" si="1"/>
        <v>10</v>
      </c>
      <c r="AV11" s="19">
        <f t="shared" si="2"/>
        <v>10</v>
      </c>
      <c r="AW11" s="16">
        <f t="shared" si="3"/>
        <v>30</v>
      </c>
      <c r="AX11" s="16">
        <f t="shared" si="4"/>
        <v>0</v>
      </c>
      <c r="AY11" s="38">
        <f t="shared" si="5"/>
        <v>0</v>
      </c>
      <c r="AZ11" s="36">
        <v>950</v>
      </c>
      <c r="BA11" s="20">
        <v>100</v>
      </c>
      <c r="BB11" s="21">
        <v>0</v>
      </c>
      <c r="BC11" s="19">
        <f t="shared" si="74"/>
        <v>950</v>
      </c>
      <c r="BD11" s="19">
        <f t="shared" si="75"/>
        <v>100</v>
      </c>
      <c r="BE11" s="19">
        <f t="shared" si="76"/>
        <v>366</v>
      </c>
      <c r="BF11" s="19">
        <f t="shared" si="77"/>
        <v>0</v>
      </c>
      <c r="BG11" s="19">
        <f t="shared" si="78"/>
        <v>0</v>
      </c>
      <c r="BH11" s="19">
        <f t="shared" si="79"/>
        <v>0</v>
      </c>
      <c r="BI11" s="19">
        <v>0</v>
      </c>
      <c r="BJ11" s="19">
        <v>95</v>
      </c>
      <c r="BK11" s="19">
        <f t="shared" si="6"/>
        <v>1511</v>
      </c>
      <c r="BL11" s="19">
        <v>0</v>
      </c>
      <c r="BM11" s="19">
        <v>0</v>
      </c>
      <c r="BN11" s="19">
        <f t="shared" si="7"/>
        <v>0</v>
      </c>
      <c r="BO11" s="19">
        <f t="shared" si="8"/>
        <v>1511</v>
      </c>
      <c r="BP11" s="19">
        <v>0</v>
      </c>
      <c r="BQ11" s="19">
        <v>0</v>
      </c>
      <c r="BR11" s="22">
        <f t="shared" si="9"/>
        <v>1511</v>
      </c>
      <c r="BS11" s="23">
        <f t="shared" si="10"/>
        <v>0</v>
      </c>
      <c r="BT11" s="24">
        <f t="shared" si="11"/>
        <v>0</v>
      </c>
      <c r="BU11" s="24">
        <f t="shared" si="12"/>
        <v>0</v>
      </c>
      <c r="BV11" s="24">
        <f t="shared" si="13"/>
        <v>0</v>
      </c>
      <c r="BW11" s="24">
        <f t="shared" si="14"/>
        <v>0</v>
      </c>
      <c r="BX11" s="24">
        <f t="shared" si="15"/>
        <v>0</v>
      </c>
      <c r="BY11" s="24">
        <f t="shared" si="16"/>
        <v>25</v>
      </c>
      <c r="BZ11" s="24">
        <f t="shared" si="17"/>
        <v>50</v>
      </c>
      <c r="CA11" s="24">
        <f t="shared" si="18"/>
        <v>0</v>
      </c>
      <c r="CB11" s="24">
        <f t="shared" si="19"/>
        <v>0</v>
      </c>
      <c r="CC11" s="24">
        <f t="shared" si="20"/>
        <v>0</v>
      </c>
      <c r="CD11" s="24">
        <f t="shared" si="21"/>
        <v>0</v>
      </c>
      <c r="CE11" s="24">
        <f t="shared" si="22"/>
        <v>0</v>
      </c>
      <c r="CF11" s="24">
        <f t="shared" si="23"/>
        <v>0</v>
      </c>
      <c r="CG11" s="24">
        <f t="shared" si="24"/>
        <v>0</v>
      </c>
      <c r="CH11" s="24">
        <f t="shared" si="25"/>
        <v>0</v>
      </c>
      <c r="CI11" s="24">
        <f t="shared" si="26"/>
        <v>0</v>
      </c>
      <c r="CJ11" s="24">
        <f t="shared" si="27"/>
        <v>0</v>
      </c>
      <c r="CK11" s="24">
        <f t="shared" si="28"/>
        <v>0</v>
      </c>
      <c r="CL11" s="24">
        <f t="shared" si="29"/>
        <v>0</v>
      </c>
      <c r="CM11" s="24">
        <f t="shared" si="30"/>
        <v>0</v>
      </c>
      <c r="CN11" s="24">
        <f t="shared" si="31"/>
        <v>0</v>
      </c>
      <c r="CO11" s="24">
        <f t="shared" si="32"/>
        <v>0</v>
      </c>
      <c r="CP11" s="24">
        <f t="shared" si="33"/>
        <v>0</v>
      </c>
      <c r="CQ11" s="24">
        <f t="shared" si="34"/>
        <v>0</v>
      </c>
      <c r="CR11" s="24">
        <f t="shared" si="35"/>
        <v>0</v>
      </c>
      <c r="CS11" s="24">
        <f t="shared" si="36"/>
        <v>0</v>
      </c>
      <c r="CT11" s="24">
        <f t="shared" si="37"/>
        <v>0</v>
      </c>
      <c r="CU11" s="24">
        <f t="shared" si="38"/>
        <v>0</v>
      </c>
      <c r="CV11" s="24">
        <f t="shared" si="39"/>
        <v>0</v>
      </c>
      <c r="CW11" s="24">
        <f t="shared" si="40"/>
        <v>0</v>
      </c>
      <c r="CX11" s="24">
        <f t="shared" si="41"/>
        <v>0</v>
      </c>
      <c r="CY11" s="24">
        <f t="shared" si="42"/>
        <v>0</v>
      </c>
      <c r="CZ11" s="24">
        <f t="shared" si="43"/>
        <v>0</v>
      </c>
      <c r="DA11" s="24">
        <f t="shared" si="44"/>
        <v>0</v>
      </c>
      <c r="DB11" s="24">
        <f t="shared" si="45"/>
        <v>0</v>
      </c>
      <c r="DC11" s="24">
        <f t="shared" si="46"/>
        <v>0</v>
      </c>
      <c r="DD11" s="24">
        <f t="shared" si="47"/>
        <v>0</v>
      </c>
      <c r="DE11" s="24">
        <f t="shared" si="48"/>
        <v>0</v>
      </c>
      <c r="DF11" s="24">
        <f t="shared" si="49"/>
        <v>0</v>
      </c>
      <c r="DG11" s="24">
        <f t="shared" si="50"/>
        <v>0</v>
      </c>
      <c r="DH11" s="24">
        <f t="shared" si="51"/>
        <v>0</v>
      </c>
      <c r="DI11" s="24">
        <f t="shared" si="52"/>
        <v>0</v>
      </c>
      <c r="DJ11" s="24">
        <f t="shared" si="53"/>
        <v>0</v>
      </c>
      <c r="DK11" s="24">
        <f t="shared" si="54"/>
        <v>0</v>
      </c>
      <c r="DL11" s="24">
        <f t="shared" si="55"/>
        <v>0</v>
      </c>
      <c r="DM11" s="24">
        <f t="shared" si="56"/>
        <v>0</v>
      </c>
      <c r="DN11" s="24">
        <f t="shared" si="57"/>
        <v>0</v>
      </c>
      <c r="DO11" s="24">
        <f t="shared" si="58"/>
        <v>0</v>
      </c>
      <c r="DP11" s="24">
        <f t="shared" si="59"/>
        <v>0</v>
      </c>
      <c r="DQ11" s="24">
        <f t="shared" si="60"/>
        <v>0</v>
      </c>
      <c r="DR11" s="24">
        <f t="shared" si="61"/>
        <v>0</v>
      </c>
      <c r="DS11" s="24">
        <f t="shared" si="62"/>
        <v>0</v>
      </c>
      <c r="DT11" s="24">
        <f t="shared" si="63"/>
        <v>0</v>
      </c>
      <c r="DU11" s="24">
        <f t="shared" si="64"/>
        <v>0</v>
      </c>
      <c r="DV11" s="24">
        <f t="shared" si="65"/>
        <v>0</v>
      </c>
      <c r="DW11" s="24">
        <f t="shared" si="66"/>
        <v>0</v>
      </c>
      <c r="DX11" s="24">
        <f t="shared" si="67"/>
        <v>0</v>
      </c>
      <c r="DY11" s="24">
        <f t="shared" si="68"/>
        <v>0</v>
      </c>
      <c r="DZ11" s="24">
        <f t="shared" si="69"/>
        <v>0</v>
      </c>
      <c r="EA11" s="24">
        <f t="shared" si="70"/>
        <v>0</v>
      </c>
      <c r="EB11" s="24">
        <f t="shared" si="71"/>
        <v>0</v>
      </c>
      <c r="EC11" s="24">
        <f t="shared" si="72"/>
        <v>0</v>
      </c>
      <c r="ED11" s="24">
        <f t="shared" si="73"/>
        <v>0</v>
      </c>
      <c r="EE11" s="25"/>
    </row>
    <row r="12" spans="1:136" s="2" customFormat="1" ht="18" customHeight="1" x14ac:dyDescent="0.25">
      <c r="A12" s="15">
        <v>9</v>
      </c>
      <c r="B12" s="108" t="s">
        <v>180</v>
      </c>
      <c r="C12" s="26" t="s">
        <v>192</v>
      </c>
      <c r="D12" s="90" t="s">
        <v>107</v>
      </c>
      <c r="E12" s="18">
        <v>45240</v>
      </c>
      <c r="F12" s="19">
        <v>10</v>
      </c>
      <c r="G12" s="19">
        <v>10</v>
      </c>
      <c r="H12" s="19">
        <v>10</v>
      </c>
      <c r="I12" s="19">
        <v>10</v>
      </c>
      <c r="J12" s="19" t="s">
        <v>603</v>
      </c>
      <c r="K12" s="19">
        <v>10</v>
      </c>
      <c r="L12" s="19" t="s">
        <v>15</v>
      </c>
      <c r="M12" s="19">
        <v>10</v>
      </c>
      <c r="N12" s="19">
        <v>10</v>
      </c>
      <c r="O12" s="19">
        <v>10</v>
      </c>
      <c r="P12" s="19">
        <v>10</v>
      </c>
      <c r="Q12" s="19">
        <v>10</v>
      </c>
      <c r="R12" s="19">
        <v>10</v>
      </c>
      <c r="S12" s="19" t="s">
        <v>15</v>
      </c>
      <c r="T12" s="19">
        <v>10</v>
      </c>
      <c r="U12" s="19">
        <v>10</v>
      </c>
      <c r="V12" s="19">
        <v>10</v>
      </c>
      <c r="W12" s="19">
        <v>10</v>
      </c>
      <c r="X12" s="19">
        <v>10</v>
      </c>
      <c r="Y12" s="19">
        <v>10</v>
      </c>
      <c r="Z12" s="19" t="s">
        <v>15</v>
      </c>
      <c r="AA12" s="19">
        <v>10</v>
      </c>
      <c r="AB12" s="19">
        <v>10</v>
      </c>
      <c r="AC12" s="19">
        <v>10</v>
      </c>
      <c r="AD12" s="19">
        <v>10</v>
      </c>
      <c r="AE12" s="19">
        <v>10</v>
      </c>
      <c r="AF12" s="19">
        <v>10</v>
      </c>
      <c r="AG12" s="19" t="s">
        <v>15</v>
      </c>
      <c r="AH12" s="19">
        <v>10</v>
      </c>
      <c r="AI12" s="19">
        <v>10</v>
      </c>
      <c r="AJ12" s="19">
        <v>0</v>
      </c>
      <c r="AK12" s="19">
        <v>0</v>
      </c>
      <c r="AL12" s="19">
        <v>10</v>
      </c>
      <c r="AM12" s="19">
        <v>10</v>
      </c>
      <c r="AN12" s="19">
        <v>0</v>
      </c>
      <c r="AO12" s="19">
        <v>10</v>
      </c>
      <c r="AP12" s="19">
        <v>0</v>
      </c>
      <c r="AQ12" s="19">
        <v>0</v>
      </c>
      <c r="AR12" s="19">
        <v>0</v>
      </c>
      <c r="AS12" s="19">
        <v>0</v>
      </c>
      <c r="AT12" s="19">
        <f t="shared" si="0"/>
        <v>50</v>
      </c>
      <c r="AU12" s="19">
        <f t="shared" si="1"/>
        <v>20</v>
      </c>
      <c r="AV12" s="19">
        <f t="shared" si="2"/>
        <v>10</v>
      </c>
      <c r="AW12" s="16">
        <f t="shared" si="3"/>
        <v>30</v>
      </c>
      <c r="AX12" s="16">
        <f t="shared" si="4"/>
        <v>0</v>
      </c>
      <c r="AY12" s="38">
        <f t="shared" si="5"/>
        <v>0</v>
      </c>
      <c r="AZ12" s="36">
        <v>1000</v>
      </c>
      <c r="BA12" s="20">
        <v>100</v>
      </c>
      <c r="BB12" s="21">
        <v>0</v>
      </c>
      <c r="BC12" s="19">
        <f t="shared" si="74"/>
        <v>1000</v>
      </c>
      <c r="BD12" s="19">
        <f t="shared" si="75"/>
        <v>100</v>
      </c>
      <c r="BE12" s="19">
        <f t="shared" si="76"/>
        <v>448</v>
      </c>
      <c r="BF12" s="19">
        <f t="shared" si="77"/>
        <v>0</v>
      </c>
      <c r="BG12" s="19">
        <f t="shared" si="78"/>
        <v>0</v>
      </c>
      <c r="BH12" s="19">
        <f t="shared" si="79"/>
        <v>0</v>
      </c>
      <c r="BI12" s="19">
        <v>0</v>
      </c>
      <c r="BJ12" s="19">
        <v>95</v>
      </c>
      <c r="BK12" s="19">
        <f t="shared" si="6"/>
        <v>1643</v>
      </c>
      <c r="BL12" s="19">
        <v>0</v>
      </c>
      <c r="BM12" s="19">
        <v>0</v>
      </c>
      <c r="BN12" s="19">
        <f t="shared" si="7"/>
        <v>0</v>
      </c>
      <c r="BO12" s="19">
        <f t="shared" si="8"/>
        <v>1643</v>
      </c>
      <c r="BP12" s="19">
        <v>0</v>
      </c>
      <c r="BQ12" s="19">
        <v>0</v>
      </c>
      <c r="BR12" s="22">
        <f t="shared" si="9"/>
        <v>1643</v>
      </c>
      <c r="BS12" s="23">
        <f t="shared" si="10"/>
        <v>0</v>
      </c>
      <c r="BT12" s="24">
        <f t="shared" si="11"/>
        <v>0</v>
      </c>
      <c r="BU12" s="24">
        <f t="shared" si="12"/>
        <v>0</v>
      </c>
      <c r="BV12" s="24">
        <f t="shared" si="13"/>
        <v>0</v>
      </c>
      <c r="BW12" s="24">
        <f t="shared" si="14"/>
        <v>0</v>
      </c>
      <c r="BX12" s="24">
        <f t="shared" si="15"/>
        <v>0</v>
      </c>
      <c r="BY12" s="24">
        <f t="shared" si="16"/>
        <v>25</v>
      </c>
      <c r="BZ12" s="24">
        <f t="shared" si="17"/>
        <v>50</v>
      </c>
      <c r="CA12" s="24">
        <f t="shared" si="18"/>
        <v>0</v>
      </c>
      <c r="CB12" s="24">
        <f t="shared" si="19"/>
        <v>0</v>
      </c>
      <c r="CC12" s="24">
        <f t="shared" si="20"/>
        <v>0</v>
      </c>
      <c r="CD12" s="24">
        <f t="shared" si="21"/>
        <v>0</v>
      </c>
      <c r="CE12" s="24">
        <f t="shared" si="22"/>
        <v>0</v>
      </c>
      <c r="CF12" s="24">
        <f t="shared" si="23"/>
        <v>0</v>
      </c>
      <c r="CG12" s="24">
        <f t="shared" si="24"/>
        <v>0</v>
      </c>
      <c r="CH12" s="24">
        <f t="shared" si="25"/>
        <v>0</v>
      </c>
      <c r="CI12" s="24">
        <f t="shared" si="26"/>
        <v>0</v>
      </c>
      <c r="CJ12" s="24">
        <f t="shared" si="27"/>
        <v>0</v>
      </c>
      <c r="CK12" s="24">
        <f t="shared" si="28"/>
        <v>0</v>
      </c>
      <c r="CL12" s="24">
        <f t="shared" si="29"/>
        <v>0</v>
      </c>
      <c r="CM12" s="24">
        <f t="shared" si="30"/>
        <v>0</v>
      </c>
      <c r="CN12" s="24">
        <f t="shared" si="31"/>
        <v>0</v>
      </c>
      <c r="CO12" s="24">
        <f t="shared" si="32"/>
        <v>0</v>
      </c>
      <c r="CP12" s="24">
        <f t="shared" si="33"/>
        <v>0</v>
      </c>
      <c r="CQ12" s="24">
        <f t="shared" si="34"/>
        <v>0</v>
      </c>
      <c r="CR12" s="24">
        <f t="shared" si="35"/>
        <v>0</v>
      </c>
      <c r="CS12" s="24">
        <f t="shared" si="36"/>
        <v>0</v>
      </c>
      <c r="CT12" s="24">
        <f t="shared" si="37"/>
        <v>0</v>
      </c>
      <c r="CU12" s="24">
        <f t="shared" si="38"/>
        <v>0</v>
      </c>
      <c r="CV12" s="24">
        <f t="shared" si="39"/>
        <v>0</v>
      </c>
      <c r="CW12" s="24">
        <f t="shared" si="40"/>
        <v>0</v>
      </c>
      <c r="CX12" s="24">
        <f t="shared" si="41"/>
        <v>0</v>
      </c>
      <c r="CY12" s="24">
        <f t="shared" si="42"/>
        <v>0</v>
      </c>
      <c r="CZ12" s="24">
        <f t="shared" si="43"/>
        <v>0</v>
      </c>
      <c r="DA12" s="24">
        <f t="shared" si="44"/>
        <v>0</v>
      </c>
      <c r="DB12" s="24">
        <f t="shared" si="45"/>
        <v>0</v>
      </c>
      <c r="DC12" s="24">
        <f t="shared" si="46"/>
        <v>0</v>
      </c>
      <c r="DD12" s="24">
        <f t="shared" si="47"/>
        <v>0</v>
      </c>
      <c r="DE12" s="24">
        <f t="shared" si="48"/>
        <v>0</v>
      </c>
      <c r="DF12" s="24">
        <f t="shared" si="49"/>
        <v>0</v>
      </c>
      <c r="DG12" s="24">
        <f t="shared" si="50"/>
        <v>0</v>
      </c>
      <c r="DH12" s="24">
        <f t="shared" si="51"/>
        <v>0</v>
      </c>
      <c r="DI12" s="24">
        <f t="shared" si="52"/>
        <v>0</v>
      </c>
      <c r="DJ12" s="24">
        <f t="shared" si="53"/>
        <v>0</v>
      </c>
      <c r="DK12" s="24">
        <f t="shared" si="54"/>
        <v>0</v>
      </c>
      <c r="DL12" s="24">
        <f t="shared" si="55"/>
        <v>0</v>
      </c>
      <c r="DM12" s="24">
        <f t="shared" si="56"/>
        <v>0</v>
      </c>
      <c r="DN12" s="24">
        <f t="shared" si="57"/>
        <v>0</v>
      </c>
      <c r="DO12" s="24">
        <f t="shared" si="58"/>
        <v>0</v>
      </c>
      <c r="DP12" s="24">
        <f t="shared" si="59"/>
        <v>0</v>
      </c>
      <c r="DQ12" s="24">
        <f t="shared" si="60"/>
        <v>0</v>
      </c>
      <c r="DR12" s="24">
        <f t="shared" si="61"/>
        <v>0</v>
      </c>
      <c r="DS12" s="24">
        <f t="shared" si="62"/>
        <v>0</v>
      </c>
      <c r="DT12" s="24">
        <f t="shared" si="63"/>
        <v>0</v>
      </c>
      <c r="DU12" s="24">
        <f t="shared" si="64"/>
        <v>0</v>
      </c>
      <c r="DV12" s="24">
        <f t="shared" si="65"/>
        <v>0</v>
      </c>
      <c r="DW12" s="24">
        <f t="shared" si="66"/>
        <v>0</v>
      </c>
      <c r="DX12" s="24">
        <f t="shared" si="67"/>
        <v>0</v>
      </c>
      <c r="DY12" s="24">
        <f t="shared" si="68"/>
        <v>0</v>
      </c>
      <c r="DZ12" s="24">
        <f t="shared" si="69"/>
        <v>0</v>
      </c>
      <c r="EA12" s="24">
        <f t="shared" si="70"/>
        <v>0</v>
      </c>
      <c r="EB12" s="24">
        <f t="shared" si="71"/>
        <v>0</v>
      </c>
      <c r="EC12" s="24">
        <f t="shared" si="72"/>
        <v>0</v>
      </c>
      <c r="ED12" s="24">
        <f t="shared" si="73"/>
        <v>0</v>
      </c>
      <c r="EE12" s="25"/>
    </row>
    <row r="13" spans="1:136" s="2" customFormat="1" ht="18" customHeight="1" x14ac:dyDescent="0.25">
      <c r="A13" s="15">
        <v>10</v>
      </c>
      <c r="B13" s="108" t="s">
        <v>181</v>
      </c>
      <c r="C13" s="26" t="s">
        <v>193</v>
      </c>
      <c r="D13" s="16" t="s">
        <v>107</v>
      </c>
      <c r="E13" s="18">
        <v>45240</v>
      </c>
      <c r="F13" s="19">
        <v>11</v>
      </c>
      <c r="G13" s="19">
        <v>11</v>
      </c>
      <c r="H13" s="19">
        <v>11</v>
      </c>
      <c r="I13" s="19">
        <v>11</v>
      </c>
      <c r="J13" s="19" t="s">
        <v>603</v>
      </c>
      <c r="K13" s="19">
        <v>11</v>
      </c>
      <c r="L13" s="19" t="s">
        <v>15</v>
      </c>
      <c r="M13" s="19">
        <v>11</v>
      </c>
      <c r="N13" s="19">
        <v>11</v>
      </c>
      <c r="O13" s="19">
        <v>11</v>
      </c>
      <c r="P13" s="19">
        <v>11</v>
      </c>
      <c r="Q13" s="19">
        <v>11</v>
      </c>
      <c r="R13" s="19">
        <v>11</v>
      </c>
      <c r="S13" s="19" t="s">
        <v>15</v>
      </c>
      <c r="T13" s="19">
        <v>11</v>
      </c>
      <c r="U13" s="19">
        <v>11</v>
      </c>
      <c r="V13" s="19">
        <v>11</v>
      </c>
      <c r="W13" s="19">
        <v>11</v>
      </c>
      <c r="X13" s="19">
        <v>11</v>
      </c>
      <c r="Y13" s="19">
        <v>11</v>
      </c>
      <c r="Z13" s="19" t="s">
        <v>15</v>
      </c>
      <c r="AA13" s="19">
        <v>11</v>
      </c>
      <c r="AB13" s="19">
        <v>11</v>
      </c>
      <c r="AC13" s="19">
        <v>11</v>
      </c>
      <c r="AD13" s="19">
        <v>11</v>
      </c>
      <c r="AE13" s="19">
        <v>11</v>
      </c>
      <c r="AF13" s="19">
        <v>11</v>
      </c>
      <c r="AG13" s="19" t="s">
        <v>15</v>
      </c>
      <c r="AH13" s="19">
        <v>11</v>
      </c>
      <c r="AI13" s="19">
        <v>11</v>
      </c>
      <c r="AJ13" s="19">
        <v>0</v>
      </c>
      <c r="AK13" s="19">
        <v>0</v>
      </c>
      <c r="AL13" s="19">
        <v>11</v>
      </c>
      <c r="AM13" s="19">
        <v>11</v>
      </c>
      <c r="AN13" s="19">
        <v>0</v>
      </c>
      <c r="AO13" s="19">
        <v>11</v>
      </c>
      <c r="AP13" s="19">
        <v>0</v>
      </c>
      <c r="AQ13" s="19">
        <v>0</v>
      </c>
      <c r="AR13" s="19">
        <v>0</v>
      </c>
      <c r="AS13" s="19">
        <v>0</v>
      </c>
      <c r="AT13" s="19">
        <f t="shared" si="0"/>
        <v>75</v>
      </c>
      <c r="AU13" s="19">
        <f t="shared" si="1"/>
        <v>22</v>
      </c>
      <c r="AV13" s="19">
        <f t="shared" si="2"/>
        <v>11</v>
      </c>
      <c r="AW13" s="16">
        <f t="shared" si="3"/>
        <v>30</v>
      </c>
      <c r="AX13" s="16">
        <f t="shared" si="4"/>
        <v>0</v>
      </c>
      <c r="AY13" s="38">
        <f t="shared" si="5"/>
        <v>0</v>
      </c>
      <c r="AZ13" s="36">
        <v>900</v>
      </c>
      <c r="BA13" s="20">
        <v>100</v>
      </c>
      <c r="BB13" s="21">
        <v>0</v>
      </c>
      <c r="BC13" s="19">
        <f t="shared" si="74"/>
        <v>900</v>
      </c>
      <c r="BD13" s="19">
        <f t="shared" si="75"/>
        <v>100</v>
      </c>
      <c r="BE13" s="19">
        <f t="shared" si="76"/>
        <v>537</v>
      </c>
      <c r="BF13" s="19">
        <f t="shared" si="77"/>
        <v>0</v>
      </c>
      <c r="BG13" s="19">
        <f t="shared" si="78"/>
        <v>0</v>
      </c>
      <c r="BH13" s="19">
        <f t="shared" si="79"/>
        <v>0</v>
      </c>
      <c r="BI13" s="19">
        <v>0</v>
      </c>
      <c r="BJ13" s="19">
        <v>95</v>
      </c>
      <c r="BK13" s="19">
        <f t="shared" si="6"/>
        <v>1632</v>
      </c>
      <c r="BL13" s="19">
        <v>0</v>
      </c>
      <c r="BM13" s="19">
        <v>0</v>
      </c>
      <c r="BN13" s="19">
        <f t="shared" si="7"/>
        <v>0</v>
      </c>
      <c r="BO13" s="19">
        <f t="shared" si="8"/>
        <v>1632</v>
      </c>
      <c r="BP13" s="19">
        <v>0</v>
      </c>
      <c r="BQ13" s="19">
        <v>0</v>
      </c>
      <c r="BR13" s="22">
        <f t="shared" si="9"/>
        <v>1632</v>
      </c>
      <c r="BS13" s="23">
        <f t="shared" si="10"/>
        <v>0</v>
      </c>
      <c r="BT13" s="24">
        <f t="shared" si="11"/>
        <v>0</v>
      </c>
      <c r="BU13" s="24">
        <f t="shared" si="12"/>
        <v>0</v>
      </c>
      <c r="BV13" s="24">
        <f t="shared" si="13"/>
        <v>0</v>
      </c>
      <c r="BW13" s="24">
        <f t="shared" si="14"/>
        <v>0</v>
      </c>
      <c r="BX13" s="24">
        <f t="shared" si="15"/>
        <v>0</v>
      </c>
      <c r="BY13" s="24">
        <f t="shared" si="16"/>
        <v>0</v>
      </c>
      <c r="BZ13" s="24">
        <f t="shared" si="17"/>
        <v>0</v>
      </c>
      <c r="CA13" s="24">
        <f t="shared" si="18"/>
        <v>0</v>
      </c>
      <c r="CB13" s="24">
        <f t="shared" si="19"/>
        <v>0</v>
      </c>
      <c r="CC13" s="24">
        <f t="shared" si="20"/>
        <v>25</v>
      </c>
      <c r="CD13" s="24">
        <f t="shared" si="21"/>
        <v>75</v>
      </c>
      <c r="CE13" s="24">
        <f t="shared" si="22"/>
        <v>0</v>
      </c>
      <c r="CF13" s="24">
        <f t="shared" si="23"/>
        <v>0</v>
      </c>
      <c r="CG13" s="24">
        <f t="shared" si="24"/>
        <v>0</v>
      </c>
      <c r="CH13" s="24">
        <f t="shared" si="25"/>
        <v>0</v>
      </c>
      <c r="CI13" s="24">
        <f t="shared" si="26"/>
        <v>0</v>
      </c>
      <c r="CJ13" s="24">
        <f t="shared" si="27"/>
        <v>0</v>
      </c>
      <c r="CK13" s="24">
        <f t="shared" si="28"/>
        <v>0</v>
      </c>
      <c r="CL13" s="24">
        <f t="shared" si="29"/>
        <v>0</v>
      </c>
      <c r="CM13" s="24">
        <f t="shared" si="30"/>
        <v>0</v>
      </c>
      <c r="CN13" s="24">
        <f t="shared" si="31"/>
        <v>0</v>
      </c>
      <c r="CO13" s="24">
        <f t="shared" si="32"/>
        <v>0</v>
      </c>
      <c r="CP13" s="24">
        <f t="shared" si="33"/>
        <v>0</v>
      </c>
      <c r="CQ13" s="24">
        <f t="shared" si="34"/>
        <v>0</v>
      </c>
      <c r="CR13" s="24">
        <f t="shared" si="35"/>
        <v>0</v>
      </c>
      <c r="CS13" s="24">
        <f t="shared" si="36"/>
        <v>0</v>
      </c>
      <c r="CT13" s="24">
        <f t="shared" si="37"/>
        <v>0</v>
      </c>
      <c r="CU13" s="24">
        <f t="shared" si="38"/>
        <v>0</v>
      </c>
      <c r="CV13" s="24">
        <f t="shared" si="39"/>
        <v>0</v>
      </c>
      <c r="CW13" s="24">
        <f t="shared" si="40"/>
        <v>0</v>
      </c>
      <c r="CX13" s="24">
        <f t="shared" si="41"/>
        <v>0</v>
      </c>
      <c r="CY13" s="24">
        <f t="shared" si="42"/>
        <v>0</v>
      </c>
      <c r="CZ13" s="24">
        <f t="shared" si="43"/>
        <v>0</v>
      </c>
      <c r="DA13" s="24">
        <f t="shared" si="44"/>
        <v>0</v>
      </c>
      <c r="DB13" s="24">
        <f t="shared" si="45"/>
        <v>0</v>
      </c>
      <c r="DC13" s="24">
        <f t="shared" si="46"/>
        <v>0</v>
      </c>
      <c r="DD13" s="24">
        <f t="shared" si="47"/>
        <v>0</v>
      </c>
      <c r="DE13" s="24">
        <f t="shared" si="48"/>
        <v>0</v>
      </c>
      <c r="DF13" s="24">
        <f t="shared" si="49"/>
        <v>0</v>
      </c>
      <c r="DG13" s="24">
        <f t="shared" si="50"/>
        <v>0</v>
      </c>
      <c r="DH13" s="24">
        <f t="shared" si="51"/>
        <v>0</v>
      </c>
      <c r="DI13" s="24">
        <f t="shared" si="52"/>
        <v>0</v>
      </c>
      <c r="DJ13" s="24">
        <f t="shared" si="53"/>
        <v>0</v>
      </c>
      <c r="DK13" s="24">
        <f t="shared" si="54"/>
        <v>0</v>
      </c>
      <c r="DL13" s="24">
        <f t="shared" si="55"/>
        <v>0</v>
      </c>
      <c r="DM13" s="24">
        <f t="shared" si="56"/>
        <v>0</v>
      </c>
      <c r="DN13" s="24">
        <f t="shared" si="57"/>
        <v>0</v>
      </c>
      <c r="DO13" s="24">
        <f t="shared" si="58"/>
        <v>0</v>
      </c>
      <c r="DP13" s="24">
        <f t="shared" si="59"/>
        <v>0</v>
      </c>
      <c r="DQ13" s="24">
        <f t="shared" si="60"/>
        <v>0</v>
      </c>
      <c r="DR13" s="24">
        <f t="shared" si="61"/>
        <v>0</v>
      </c>
      <c r="DS13" s="24">
        <f t="shared" si="62"/>
        <v>0</v>
      </c>
      <c r="DT13" s="24">
        <f t="shared" si="63"/>
        <v>0</v>
      </c>
      <c r="DU13" s="24">
        <f t="shared" si="64"/>
        <v>0</v>
      </c>
      <c r="DV13" s="24">
        <f t="shared" si="65"/>
        <v>0</v>
      </c>
      <c r="DW13" s="24">
        <f t="shared" si="66"/>
        <v>0</v>
      </c>
      <c r="DX13" s="24">
        <f t="shared" si="67"/>
        <v>0</v>
      </c>
      <c r="DY13" s="24">
        <f t="shared" si="68"/>
        <v>0</v>
      </c>
      <c r="DZ13" s="24">
        <f t="shared" si="69"/>
        <v>0</v>
      </c>
      <c r="EA13" s="24">
        <f t="shared" si="70"/>
        <v>0</v>
      </c>
      <c r="EB13" s="24">
        <f t="shared" si="71"/>
        <v>0</v>
      </c>
      <c r="EC13" s="24">
        <f t="shared" si="72"/>
        <v>0</v>
      </c>
      <c r="ED13" s="24">
        <f t="shared" si="73"/>
        <v>0</v>
      </c>
      <c r="EE13" s="25"/>
    </row>
    <row r="14" spans="1:136" s="2" customFormat="1" ht="18" customHeight="1" x14ac:dyDescent="0.25">
      <c r="A14" s="15">
        <v>11</v>
      </c>
      <c r="B14" s="108" t="s">
        <v>183</v>
      </c>
      <c r="C14" s="26" t="s">
        <v>194</v>
      </c>
      <c r="D14" s="16" t="s">
        <v>107</v>
      </c>
      <c r="E14" s="18">
        <v>45240</v>
      </c>
      <c r="F14" s="19">
        <v>11</v>
      </c>
      <c r="G14" s="19">
        <v>11</v>
      </c>
      <c r="H14" s="19">
        <v>11</v>
      </c>
      <c r="I14" s="19">
        <v>11</v>
      </c>
      <c r="J14" s="19" t="s">
        <v>603</v>
      </c>
      <c r="K14" s="19">
        <v>11</v>
      </c>
      <c r="L14" s="19" t="s">
        <v>15</v>
      </c>
      <c r="M14" s="19">
        <v>11</v>
      </c>
      <c r="N14" s="19">
        <v>11</v>
      </c>
      <c r="O14" s="19">
        <v>11</v>
      </c>
      <c r="P14" s="19">
        <v>11</v>
      </c>
      <c r="Q14" s="19">
        <v>11</v>
      </c>
      <c r="R14" s="19">
        <v>11</v>
      </c>
      <c r="S14" s="19" t="s">
        <v>15</v>
      </c>
      <c r="T14" s="19">
        <v>11</v>
      </c>
      <c r="U14" s="19">
        <v>11</v>
      </c>
      <c r="V14" s="19">
        <v>11</v>
      </c>
      <c r="W14" s="19">
        <v>11</v>
      </c>
      <c r="X14" s="19">
        <v>11</v>
      </c>
      <c r="Y14" s="19">
        <v>11</v>
      </c>
      <c r="Z14" s="19" t="s">
        <v>15</v>
      </c>
      <c r="AA14" s="19">
        <v>11</v>
      </c>
      <c r="AB14" s="19">
        <v>11</v>
      </c>
      <c r="AC14" s="19">
        <v>11</v>
      </c>
      <c r="AD14" s="19">
        <v>11</v>
      </c>
      <c r="AE14" s="19">
        <v>11</v>
      </c>
      <c r="AF14" s="19">
        <v>11</v>
      </c>
      <c r="AG14" s="19" t="s">
        <v>15</v>
      </c>
      <c r="AH14" s="19">
        <v>11</v>
      </c>
      <c r="AI14" s="19">
        <v>11</v>
      </c>
      <c r="AJ14" s="19">
        <v>0</v>
      </c>
      <c r="AK14" s="19">
        <v>0</v>
      </c>
      <c r="AL14" s="19">
        <v>11</v>
      </c>
      <c r="AM14" s="19">
        <v>11</v>
      </c>
      <c r="AN14" s="19">
        <v>0</v>
      </c>
      <c r="AO14" s="19">
        <v>11</v>
      </c>
      <c r="AP14" s="19">
        <v>0</v>
      </c>
      <c r="AQ14" s="19">
        <v>0</v>
      </c>
      <c r="AR14" s="19">
        <v>0</v>
      </c>
      <c r="AS14" s="19">
        <v>0</v>
      </c>
      <c r="AT14" s="19">
        <f t="shared" si="0"/>
        <v>75</v>
      </c>
      <c r="AU14" s="19">
        <f t="shared" si="1"/>
        <v>22</v>
      </c>
      <c r="AV14" s="19">
        <f t="shared" si="2"/>
        <v>11</v>
      </c>
      <c r="AW14" s="16">
        <f t="shared" si="3"/>
        <v>30</v>
      </c>
      <c r="AX14" s="16">
        <f t="shared" si="4"/>
        <v>0</v>
      </c>
      <c r="AY14" s="38">
        <f t="shared" si="5"/>
        <v>0</v>
      </c>
      <c r="AZ14" s="36">
        <v>900</v>
      </c>
      <c r="BA14" s="20">
        <v>100</v>
      </c>
      <c r="BB14" s="21">
        <v>0</v>
      </c>
      <c r="BC14" s="19">
        <f t="shared" si="74"/>
        <v>900</v>
      </c>
      <c r="BD14" s="19">
        <f t="shared" si="75"/>
        <v>100</v>
      </c>
      <c r="BE14" s="19">
        <f t="shared" si="76"/>
        <v>537</v>
      </c>
      <c r="BF14" s="19">
        <f t="shared" si="77"/>
        <v>0</v>
      </c>
      <c r="BG14" s="19">
        <f t="shared" si="78"/>
        <v>0</v>
      </c>
      <c r="BH14" s="19">
        <f t="shared" si="79"/>
        <v>0</v>
      </c>
      <c r="BI14" s="19">
        <v>0</v>
      </c>
      <c r="BJ14" s="19">
        <v>95</v>
      </c>
      <c r="BK14" s="19">
        <f t="shared" si="6"/>
        <v>1632</v>
      </c>
      <c r="BL14" s="19">
        <v>0</v>
      </c>
      <c r="BM14" s="19">
        <v>0</v>
      </c>
      <c r="BN14" s="19">
        <f t="shared" si="7"/>
        <v>0</v>
      </c>
      <c r="BO14" s="19">
        <f t="shared" si="8"/>
        <v>1632</v>
      </c>
      <c r="BP14" s="19">
        <v>0</v>
      </c>
      <c r="BQ14" s="19">
        <v>0</v>
      </c>
      <c r="BR14" s="22">
        <f t="shared" si="9"/>
        <v>1632</v>
      </c>
      <c r="BS14" s="23">
        <f t="shared" si="10"/>
        <v>0</v>
      </c>
      <c r="BT14" s="24">
        <f t="shared" si="11"/>
        <v>0</v>
      </c>
      <c r="BU14" s="24">
        <f t="shared" si="12"/>
        <v>0</v>
      </c>
      <c r="BV14" s="24">
        <f t="shared" si="13"/>
        <v>0</v>
      </c>
      <c r="BW14" s="24">
        <f t="shared" si="14"/>
        <v>0</v>
      </c>
      <c r="BX14" s="24">
        <f t="shared" si="15"/>
        <v>0</v>
      </c>
      <c r="BY14" s="24">
        <f t="shared" si="16"/>
        <v>0</v>
      </c>
      <c r="BZ14" s="24">
        <f t="shared" si="17"/>
        <v>0</v>
      </c>
      <c r="CA14" s="24">
        <f t="shared" si="18"/>
        <v>0</v>
      </c>
      <c r="CB14" s="24">
        <f t="shared" si="19"/>
        <v>0</v>
      </c>
      <c r="CC14" s="24">
        <f t="shared" si="20"/>
        <v>25</v>
      </c>
      <c r="CD14" s="24">
        <f t="shared" si="21"/>
        <v>75</v>
      </c>
      <c r="CE14" s="24">
        <f t="shared" si="22"/>
        <v>0</v>
      </c>
      <c r="CF14" s="24">
        <f t="shared" si="23"/>
        <v>0</v>
      </c>
      <c r="CG14" s="24">
        <f t="shared" si="24"/>
        <v>0</v>
      </c>
      <c r="CH14" s="24">
        <f t="shared" si="25"/>
        <v>0</v>
      </c>
      <c r="CI14" s="24">
        <f t="shared" si="26"/>
        <v>0</v>
      </c>
      <c r="CJ14" s="24">
        <f t="shared" si="27"/>
        <v>0</v>
      </c>
      <c r="CK14" s="24">
        <f t="shared" si="28"/>
        <v>0</v>
      </c>
      <c r="CL14" s="24">
        <f t="shared" si="29"/>
        <v>0</v>
      </c>
      <c r="CM14" s="24">
        <f t="shared" si="30"/>
        <v>0</v>
      </c>
      <c r="CN14" s="24">
        <f t="shared" si="31"/>
        <v>0</v>
      </c>
      <c r="CO14" s="24">
        <f t="shared" si="32"/>
        <v>0</v>
      </c>
      <c r="CP14" s="24">
        <f t="shared" si="33"/>
        <v>0</v>
      </c>
      <c r="CQ14" s="24">
        <f t="shared" si="34"/>
        <v>0</v>
      </c>
      <c r="CR14" s="24">
        <f t="shared" si="35"/>
        <v>0</v>
      </c>
      <c r="CS14" s="24">
        <f t="shared" si="36"/>
        <v>0</v>
      </c>
      <c r="CT14" s="24">
        <f t="shared" si="37"/>
        <v>0</v>
      </c>
      <c r="CU14" s="24">
        <f t="shared" si="38"/>
        <v>0</v>
      </c>
      <c r="CV14" s="24">
        <f t="shared" si="39"/>
        <v>0</v>
      </c>
      <c r="CW14" s="24">
        <f t="shared" si="40"/>
        <v>0</v>
      </c>
      <c r="CX14" s="24">
        <f t="shared" si="41"/>
        <v>0</v>
      </c>
      <c r="CY14" s="24">
        <f t="shared" si="42"/>
        <v>0</v>
      </c>
      <c r="CZ14" s="24">
        <f t="shared" si="43"/>
        <v>0</v>
      </c>
      <c r="DA14" s="24">
        <f t="shared" si="44"/>
        <v>0</v>
      </c>
      <c r="DB14" s="24">
        <f t="shared" si="45"/>
        <v>0</v>
      </c>
      <c r="DC14" s="24">
        <f t="shared" si="46"/>
        <v>0</v>
      </c>
      <c r="DD14" s="24">
        <f t="shared" si="47"/>
        <v>0</v>
      </c>
      <c r="DE14" s="24">
        <f t="shared" si="48"/>
        <v>0</v>
      </c>
      <c r="DF14" s="24">
        <f t="shared" si="49"/>
        <v>0</v>
      </c>
      <c r="DG14" s="24">
        <f t="shared" si="50"/>
        <v>0</v>
      </c>
      <c r="DH14" s="24">
        <f t="shared" si="51"/>
        <v>0</v>
      </c>
      <c r="DI14" s="24">
        <f t="shared" si="52"/>
        <v>0</v>
      </c>
      <c r="DJ14" s="24">
        <f t="shared" si="53"/>
        <v>0</v>
      </c>
      <c r="DK14" s="24">
        <f t="shared" si="54"/>
        <v>0</v>
      </c>
      <c r="DL14" s="24">
        <f t="shared" si="55"/>
        <v>0</v>
      </c>
      <c r="DM14" s="24">
        <f t="shared" si="56"/>
        <v>0</v>
      </c>
      <c r="DN14" s="24">
        <f t="shared" si="57"/>
        <v>0</v>
      </c>
      <c r="DO14" s="24">
        <f t="shared" si="58"/>
        <v>0</v>
      </c>
      <c r="DP14" s="24">
        <f t="shared" si="59"/>
        <v>0</v>
      </c>
      <c r="DQ14" s="24">
        <f t="shared" si="60"/>
        <v>0</v>
      </c>
      <c r="DR14" s="24">
        <f t="shared" si="61"/>
        <v>0</v>
      </c>
      <c r="DS14" s="24">
        <f t="shared" si="62"/>
        <v>0</v>
      </c>
      <c r="DT14" s="24">
        <f t="shared" si="63"/>
        <v>0</v>
      </c>
      <c r="DU14" s="24">
        <f t="shared" si="64"/>
        <v>0</v>
      </c>
      <c r="DV14" s="24">
        <f t="shared" si="65"/>
        <v>0</v>
      </c>
      <c r="DW14" s="24">
        <f t="shared" si="66"/>
        <v>0</v>
      </c>
      <c r="DX14" s="24">
        <f t="shared" si="67"/>
        <v>0</v>
      </c>
      <c r="DY14" s="24">
        <f t="shared" si="68"/>
        <v>0</v>
      </c>
      <c r="DZ14" s="24">
        <f t="shared" si="69"/>
        <v>0</v>
      </c>
      <c r="EA14" s="24">
        <f t="shared" si="70"/>
        <v>0</v>
      </c>
      <c r="EB14" s="24">
        <f t="shared" si="71"/>
        <v>0</v>
      </c>
      <c r="EC14" s="24">
        <f t="shared" si="72"/>
        <v>0</v>
      </c>
      <c r="ED14" s="24">
        <f t="shared" si="73"/>
        <v>0</v>
      </c>
      <c r="EE14" s="25"/>
    </row>
    <row r="15" spans="1:136" s="2" customFormat="1" ht="18" customHeight="1" x14ac:dyDescent="0.25">
      <c r="A15" s="15">
        <v>12</v>
      </c>
      <c r="B15" s="108" t="s">
        <v>178</v>
      </c>
      <c r="C15" s="26" t="s">
        <v>236</v>
      </c>
      <c r="D15" s="16" t="s">
        <v>158</v>
      </c>
      <c r="E15" s="18">
        <v>45248</v>
      </c>
      <c r="F15" s="19">
        <v>10</v>
      </c>
      <c r="G15" s="19">
        <v>10</v>
      </c>
      <c r="H15" s="19">
        <v>10</v>
      </c>
      <c r="I15" s="19">
        <v>10</v>
      </c>
      <c r="J15" s="19" t="s">
        <v>603</v>
      </c>
      <c r="K15" s="19">
        <v>10</v>
      </c>
      <c r="L15" s="19" t="s">
        <v>15</v>
      </c>
      <c r="M15" s="19">
        <v>10</v>
      </c>
      <c r="N15" s="19">
        <v>10</v>
      </c>
      <c r="O15" s="19">
        <v>10</v>
      </c>
      <c r="P15" s="19">
        <v>10</v>
      </c>
      <c r="Q15" s="19">
        <v>10</v>
      </c>
      <c r="R15" s="19">
        <v>10</v>
      </c>
      <c r="S15" s="19" t="s">
        <v>15</v>
      </c>
      <c r="T15" s="19">
        <v>10</v>
      </c>
      <c r="U15" s="19">
        <v>10</v>
      </c>
      <c r="V15" s="19">
        <v>10</v>
      </c>
      <c r="W15" s="19">
        <v>10</v>
      </c>
      <c r="X15" s="19">
        <v>10</v>
      </c>
      <c r="Y15" s="19">
        <v>10</v>
      </c>
      <c r="Z15" s="19" t="s">
        <v>15</v>
      </c>
      <c r="AA15" s="19">
        <v>10</v>
      </c>
      <c r="AB15" s="19">
        <v>10</v>
      </c>
      <c r="AC15" s="19">
        <v>10</v>
      </c>
      <c r="AD15" s="19">
        <v>10</v>
      </c>
      <c r="AE15" s="19">
        <v>10</v>
      </c>
      <c r="AF15" s="19">
        <v>10</v>
      </c>
      <c r="AG15" s="19" t="s">
        <v>15</v>
      </c>
      <c r="AH15" s="19">
        <v>10</v>
      </c>
      <c r="AI15" s="19">
        <v>10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10</v>
      </c>
      <c r="AP15" s="19">
        <v>0</v>
      </c>
      <c r="AQ15" s="19">
        <v>0</v>
      </c>
      <c r="AR15" s="19">
        <v>0</v>
      </c>
      <c r="AS15" s="19">
        <v>0</v>
      </c>
      <c r="AT15" s="19">
        <f t="shared" si="0"/>
        <v>50</v>
      </c>
      <c r="AU15" s="19">
        <f t="shared" si="1"/>
        <v>0</v>
      </c>
      <c r="AV15" s="19">
        <f t="shared" si="2"/>
        <v>10</v>
      </c>
      <c r="AW15" s="16">
        <f t="shared" si="3"/>
        <v>30</v>
      </c>
      <c r="AX15" s="16">
        <f t="shared" si="4"/>
        <v>0</v>
      </c>
      <c r="AY15" s="38">
        <f t="shared" si="5"/>
        <v>0</v>
      </c>
      <c r="AZ15" s="36">
        <v>1200</v>
      </c>
      <c r="BA15" s="20">
        <v>100</v>
      </c>
      <c r="BB15" s="21">
        <v>300</v>
      </c>
      <c r="BC15" s="19">
        <f t="shared" si="74"/>
        <v>1200</v>
      </c>
      <c r="BD15" s="19">
        <f t="shared" si="75"/>
        <v>100</v>
      </c>
      <c r="BE15" s="19">
        <f t="shared" si="76"/>
        <v>388</v>
      </c>
      <c r="BF15" s="19">
        <f t="shared" si="77"/>
        <v>300</v>
      </c>
      <c r="BG15" s="19">
        <f t="shared" si="78"/>
        <v>0</v>
      </c>
      <c r="BH15" s="19">
        <f t="shared" si="79"/>
        <v>0</v>
      </c>
      <c r="BI15" s="19">
        <v>0</v>
      </c>
      <c r="BJ15" s="19">
        <v>95</v>
      </c>
      <c r="BK15" s="19">
        <f t="shared" si="6"/>
        <v>2083</v>
      </c>
      <c r="BL15" s="19">
        <v>0</v>
      </c>
      <c r="BM15" s="19">
        <v>0</v>
      </c>
      <c r="BN15" s="19">
        <f t="shared" si="7"/>
        <v>0</v>
      </c>
      <c r="BO15" s="19">
        <f t="shared" si="8"/>
        <v>2083</v>
      </c>
      <c r="BP15" s="19">
        <v>0</v>
      </c>
      <c r="BQ15" s="19">
        <v>0</v>
      </c>
      <c r="BR15" s="22">
        <f t="shared" si="9"/>
        <v>2083</v>
      </c>
      <c r="BS15" s="23">
        <f t="shared" si="10"/>
        <v>0</v>
      </c>
      <c r="BT15" s="24">
        <f t="shared" si="11"/>
        <v>0</v>
      </c>
      <c r="BU15" s="24">
        <f t="shared" si="12"/>
        <v>0</v>
      </c>
      <c r="BV15" s="24">
        <f t="shared" si="13"/>
        <v>0</v>
      </c>
      <c r="BW15" s="24">
        <f t="shared" si="14"/>
        <v>0</v>
      </c>
      <c r="BX15" s="24">
        <f t="shared" si="15"/>
        <v>0</v>
      </c>
      <c r="BY15" s="24">
        <f t="shared" si="16"/>
        <v>25</v>
      </c>
      <c r="BZ15" s="24">
        <f t="shared" si="17"/>
        <v>50</v>
      </c>
      <c r="CA15" s="24">
        <f t="shared" si="18"/>
        <v>0</v>
      </c>
      <c r="CB15" s="24">
        <f t="shared" si="19"/>
        <v>0</v>
      </c>
      <c r="CC15" s="24">
        <f t="shared" si="20"/>
        <v>0</v>
      </c>
      <c r="CD15" s="24">
        <f t="shared" si="21"/>
        <v>0</v>
      </c>
      <c r="CE15" s="24">
        <f t="shared" si="22"/>
        <v>0</v>
      </c>
      <c r="CF15" s="24">
        <f t="shared" si="23"/>
        <v>0</v>
      </c>
      <c r="CG15" s="24">
        <f t="shared" si="24"/>
        <v>0</v>
      </c>
      <c r="CH15" s="24">
        <f t="shared" si="25"/>
        <v>0</v>
      </c>
      <c r="CI15" s="24">
        <f t="shared" si="26"/>
        <v>0</v>
      </c>
      <c r="CJ15" s="24">
        <f t="shared" si="27"/>
        <v>0</v>
      </c>
      <c r="CK15" s="24">
        <f t="shared" si="28"/>
        <v>0</v>
      </c>
      <c r="CL15" s="24">
        <f t="shared" si="29"/>
        <v>0</v>
      </c>
      <c r="CM15" s="24">
        <f t="shared" si="30"/>
        <v>0</v>
      </c>
      <c r="CN15" s="24">
        <f t="shared" si="31"/>
        <v>0</v>
      </c>
      <c r="CO15" s="24">
        <f t="shared" si="32"/>
        <v>0</v>
      </c>
      <c r="CP15" s="24">
        <f t="shared" si="33"/>
        <v>0</v>
      </c>
      <c r="CQ15" s="24">
        <f t="shared" si="34"/>
        <v>0</v>
      </c>
      <c r="CR15" s="24">
        <f t="shared" si="35"/>
        <v>0</v>
      </c>
      <c r="CS15" s="24">
        <f t="shared" si="36"/>
        <v>0</v>
      </c>
      <c r="CT15" s="24">
        <f t="shared" si="37"/>
        <v>0</v>
      </c>
      <c r="CU15" s="24">
        <f t="shared" si="38"/>
        <v>0</v>
      </c>
      <c r="CV15" s="24">
        <f t="shared" si="39"/>
        <v>0</v>
      </c>
      <c r="CW15" s="24">
        <f t="shared" si="40"/>
        <v>0</v>
      </c>
      <c r="CX15" s="24">
        <f t="shared" si="41"/>
        <v>0</v>
      </c>
      <c r="CY15" s="24">
        <f t="shared" si="42"/>
        <v>0</v>
      </c>
      <c r="CZ15" s="24">
        <f t="shared" si="43"/>
        <v>0</v>
      </c>
      <c r="DA15" s="24">
        <f t="shared" si="44"/>
        <v>0</v>
      </c>
      <c r="DB15" s="24">
        <f t="shared" si="45"/>
        <v>0</v>
      </c>
      <c r="DC15" s="24">
        <f t="shared" si="46"/>
        <v>0</v>
      </c>
      <c r="DD15" s="24">
        <f t="shared" si="47"/>
        <v>0</v>
      </c>
      <c r="DE15" s="24">
        <f t="shared" si="48"/>
        <v>0</v>
      </c>
      <c r="DF15" s="24">
        <f t="shared" si="49"/>
        <v>0</v>
      </c>
      <c r="DG15" s="24">
        <f t="shared" si="50"/>
        <v>0</v>
      </c>
      <c r="DH15" s="24">
        <f t="shared" si="51"/>
        <v>0</v>
      </c>
      <c r="DI15" s="24">
        <f t="shared" si="52"/>
        <v>0</v>
      </c>
      <c r="DJ15" s="24">
        <f t="shared" si="53"/>
        <v>0</v>
      </c>
      <c r="DK15" s="24">
        <f t="shared" si="54"/>
        <v>0</v>
      </c>
      <c r="DL15" s="24">
        <f t="shared" si="55"/>
        <v>0</v>
      </c>
      <c r="DM15" s="24">
        <f t="shared" si="56"/>
        <v>0</v>
      </c>
      <c r="DN15" s="24">
        <f t="shared" si="57"/>
        <v>0</v>
      </c>
      <c r="DO15" s="24">
        <f t="shared" si="58"/>
        <v>0</v>
      </c>
      <c r="DP15" s="24">
        <f t="shared" si="59"/>
        <v>0</v>
      </c>
      <c r="DQ15" s="24">
        <f t="shared" si="60"/>
        <v>0</v>
      </c>
      <c r="DR15" s="24">
        <f t="shared" si="61"/>
        <v>0</v>
      </c>
      <c r="DS15" s="24">
        <f t="shared" si="62"/>
        <v>0</v>
      </c>
      <c r="DT15" s="24">
        <f t="shared" si="63"/>
        <v>0</v>
      </c>
      <c r="DU15" s="24">
        <f t="shared" si="64"/>
        <v>0</v>
      </c>
      <c r="DV15" s="24">
        <f t="shared" si="65"/>
        <v>0</v>
      </c>
      <c r="DW15" s="24">
        <f t="shared" si="66"/>
        <v>0</v>
      </c>
      <c r="DX15" s="24">
        <f t="shared" si="67"/>
        <v>0</v>
      </c>
      <c r="DY15" s="24">
        <f t="shared" si="68"/>
        <v>0</v>
      </c>
      <c r="DZ15" s="24">
        <f t="shared" si="69"/>
        <v>0</v>
      </c>
      <c r="EA15" s="24">
        <f t="shared" si="70"/>
        <v>0</v>
      </c>
      <c r="EB15" s="24">
        <f t="shared" si="71"/>
        <v>0</v>
      </c>
      <c r="EC15" s="24">
        <f t="shared" si="72"/>
        <v>0</v>
      </c>
      <c r="ED15" s="24">
        <f t="shared" si="73"/>
        <v>0</v>
      </c>
      <c r="EE15" s="25"/>
    </row>
    <row r="16" spans="1:136" s="2" customFormat="1" ht="18" customHeight="1" x14ac:dyDescent="0.25">
      <c r="A16" s="15">
        <v>13</v>
      </c>
      <c r="B16" s="109" t="s">
        <v>201</v>
      </c>
      <c r="C16" s="91" t="s">
        <v>202</v>
      </c>
      <c r="D16" s="16" t="s">
        <v>107</v>
      </c>
      <c r="E16" s="18">
        <v>45254</v>
      </c>
      <c r="F16" s="19">
        <v>10</v>
      </c>
      <c r="G16" s="19">
        <v>8</v>
      </c>
      <c r="H16" s="19">
        <v>10</v>
      </c>
      <c r="I16" s="19">
        <v>10</v>
      </c>
      <c r="J16" s="19" t="s">
        <v>603</v>
      </c>
      <c r="K16" s="19">
        <v>10</v>
      </c>
      <c r="L16" s="19" t="s">
        <v>15</v>
      </c>
      <c r="M16" s="19">
        <v>10</v>
      </c>
      <c r="N16" s="19">
        <v>10</v>
      </c>
      <c r="O16" s="19">
        <v>10</v>
      </c>
      <c r="P16" s="19">
        <v>10</v>
      </c>
      <c r="Q16" s="19">
        <v>10</v>
      </c>
      <c r="R16" s="19">
        <v>10</v>
      </c>
      <c r="S16" s="19" t="s">
        <v>15</v>
      </c>
      <c r="T16" s="19">
        <v>10</v>
      </c>
      <c r="U16" s="19">
        <v>10</v>
      </c>
      <c r="V16" s="19">
        <v>10</v>
      </c>
      <c r="W16" s="19">
        <v>10</v>
      </c>
      <c r="X16" s="19">
        <v>10</v>
      </c>
      <c r="Y16" s="19">
        <v>10</v>
      </c>
      <c r="Z16" s="19" t="s">
        <v>15</v>
      </c>
      <c r="AA16" s="19">
        <v>11</v>
      </c>
      <c r="AB16" s="19">
        <v>11</v>
      </c>
      <c r="AC16" s="19">
        <v>11</v>
      </c>
      <c r="AD16" s="19">
        <v>11</v>
      </c>
      <c r="AE16" s="19">
        <v>11</v>
      </c>
      <c r="AF16" s="19">
        <v>11</v>
      </c>
      <c r="AG16" s="19" t="s">
        <v>15</v>
      </c>
      <c r="AH16" s="19">
        <v>11</v>
      </c>
      <c r="AI16" s="19">
        <v>11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f t="shared" si="0"/>
        <v>56</v>
      </c>
      <c r="AU16" s="19">
        <f t="shared" si="1"/>
        <v>0</v>
      </c>
      <c r="AV16" s="19">
        <f t="shared" si="2"/>
        <v>0</v>
      </c>
      <c r="AW16" s="16">
        <f t="shared" si="3"/>
        <v>30</v>
      </c>
      <c r="AX16" s="16">
        <f t="shared" si="4"/>
        <v>0</v>
      </c>
      <c r="AY16" s="38">
        <f t="shared" si="5"/>
        <v>0</v>
      </c>
      <c r="AZ16" s="36">
        <v>900</v>
      </c>
      <c r="BA16" s="20">
        <v>100</v>
      </c>
      <c r="BB16" s="21">
        <v>0</v>
      </c>
      <c r="BC16" s="19">
        <f t="shared" si="74"/>
        <v>900</v>
      </c>
      <c r="BD16" s="19">
        <f t="shared" si="75"/>
        <v>100</v>
      </c>
      <c r="BE16" s="19">
        <f t="shared" si="76"/>
        <v>263</v>
      </c>
      <c r="BF16" s="19">
        <f t="shared" si="77"/>
        <v>0</v>
      </c>
      <c r="BG16" s="19">
        <f t="shared" si="78"/>
        <v>0</v>
      </c>
      <c r="BH16" s="19">
        <f t="shared" si="79"/>
        <v>0</v>
      </c>
      <c r="BI16" s="19">
        <v>0</v>
      </c>
      <c r="BJ16" s="19">
        <v>95</v>
      </c>
      <c r="BK16" s="19">
        <f t="shared" si="6"/>
        <v>1358</v>
      </c>
      <c r="BL16" s="19">
        <v>0</v>
      </c>
      <c r="BM16" s="19">
        <v>0</v>
      </c>
      <c r="BN16" s="19">
        <f t="shared" si="7"/>
        <v>0</v>
      </c>
      <c r="BO16" s="19">
        <f t="shared" si="8"/>
        <v>1358</v>
      </c>
      <c r="BP16" s="19">
        <v>0</v>
      </c>
      <c r="BQ16" s="19">
        <v>0</v>
      </c>
      <c r="BR16" s="22">
        <f t="shared" si="9"/>
        <v>1358</v>
      </c>
      <c r="BS16" s="23">
        <f t="shared" si="10"/>
        <v>0</v>
      </c>
      <c r="BT16" s="24">
        <f t="shared" si="11"/>
        <v>0</v>
      </c>
      <c r="BU16" s="24">
        <f t="shared" si="12"/>
        <v>0</v>
      </c>
      <c r="BV16" s="24">
        <f t="shared" si="13"/>
        <v>0</v>
      </c>
      <c r="BW16" s="24">
        <f t="shared" si="14"/>
        <v>0</v>
      </c>
      <c r="BX16" s="24">
        <f t="shared" si="15"/>
        <v>0</v>
      </c>
      <c r="BY16" s="24">
        <f t="shared" si="16"/>
        <v>16</v>
      </c>
      <c r="BZ16" s="24">
        <f t="shared" si="17"/>
        <v>32</v>
      </c>
      <c r="CA16" s="24">
        <f t="shared" si="18"/>
        <v>0</v>
      </c>
      <c r="CB16" s="24">
        <f t="shared" si="19"/>
        <v>0</v>
      </c>
      <c r="CC16" s="24">
        <f t="shared" si="20"/>
        <v>8</v>
      </c>
      <c r="CD16" s="24">
        <f t="shared" si="21"/>
        <v>24</v>
      </c>
      <c r="CE16" s="24">
        <f t="shared" si="22"/>
        <v>0</v>
      </c>
      <c r="CF16" s="24">
        <f t="shared" si="23"/>
        <v>0</v>
      </c>
      <c r="CG16" s="24">
        <f t="shared" si="24"/>
        <v>0</v>
      </c>
      <c r="CH16" s="24">
        <f t="shared" si="25"/>
        <v>0</v>
      </c>
      <c r="CI16" s="24">
        <f t="shared" si="26"/>
        <v>0</v>
      </c>
      <c r="CJ16" s="24">
        <f t="shared" si="27"/>
        <v>0</v>
      </c>
      <c r="CK16" s="24">
        <f t="shared" si="28"/>
        <v>0</v>
      </c>
      <c r="CL16" s="24">
        <f t="shared" si="29"/>
        <v>0</v>
      </c>
      <c r="CM16" s="24">
        <f t="shared" si="30"/>
        <v>0</v>
      </c>
      <c r="CN16" s="24">
        <f t="shared" si="31"/>
        <v>0</v>
      </c>
      <c r="CO16" s="24">
        <f t="shared" si="32"/>
        <v>0</v>
      </c>
      <c r="CP16" s="24">
        <f t="shared" si="33"/>
        <v>0</v>
      </c>
      <c r="CQ16" s="24">
        <f t="shared" si="34"/>
        <v>0</v>
      </c>
      <c r="CR16" s="24">
        <f t="shared" si="35"/>
        <v>0</v>
      </c>
      <c r="CS16" s="24">
        <f t="shared" si="36"/>
        <v>0</v>
      </c>
      <c r="CT16" s="24">
        <f t="shared" si="37"/>
        <v>0</v>
      </c>
      <c r="CU16" s="24">
        <f t="shared" si="38"/>
        <v>0</v>
      </c>
      <c r="CV16" s="24">
        <f t="shared" si="39"/>
        <v>0</v>
      </c>
      <c r="CW16" s="24">
        <f t="shared" si="40"/>
        <v>0</v>
      </c>
      <c r="CX16" s="24">
        <f t="shared" si="41"/>
        <v>0</v>
      </c>
      <c r="CY16" s="24">
        <f t="shared" si="42"/>
        <v>0</v>
      </c>
      <c r="CZ16" s="24">
        <f t="shared" si="43"/>
        <v>0</v>
      </c>
      <c r="DA16" s="24">
        <f t="shared" si="44"/>
        <v>0</v>
      </c>
      <c r="DB16" s="24">
        <f t="shared" si="45"/>
        <v>0</v>
      </c>
      <c r="DC16" s="24">
        <f t="shared" si="46"/>
        <v>0</v>
      </c>
      <c r="DD16" s="24">
        <f t="shared" si="47"/>
        <v>0</v>
      </c>
      <c r="DE16" s="24">
        <f t="shared" si="48"/>
        <v>0</v>
      </c>
      <c r="DF16" s="24">
        <f t="shared" si="49"/>
        <v>0</v>
      </c>
      <c r="DG16" s="24">
        <f t="shared" si="50"/>
        <v>0</v>
      </c>
      <c r="DH16" s="24">
        <f t="shared" si="51"/>
        <v>0</v>
      </c>
      <c r="DI16" s="24">
        <f t="shared" si="52"/>
        <v>0</v>
      </c>
      <c r="DJ16" s="24">
        <f t="shared" si="53"/>
        <v>0</v>
      </c>
      <c r="DK16" s="24">
        <f t="shared" si="54"/>
        <v>0</v>
      </c>
      <c r="DL16" s="24">
        <f t="shared" si="55"/>
        <v>0</v>
      </c>
      <c r="DM16" s="24">
        <f t="shared" si="56"/>
        <v>0</v>
      </c>
      <c r="DN16" s="24">
        <f t="shared" si="57"/>
        <v>0</v>
      </c>
      <c r="DO16" s="24">
        <f t="shared" si="58"/>
        <v>0</v>
      </c>
      <c r="DP16" s="24">
        <f t="shared" si="59"/>
        <v>0</v>
      </c>
      <c r="DQ16" s="24">
        <f t="shared" si="60"/>
        <v>0</v>
      </c>
      <c r="DR16" s="24">
        <f t="shared" si="61"/>
        <v>0</v>
      </c>
      <c r="DS16" s="24">
        <f t="shared" si="62"/>
        <v>0</v>
      </c>
      <c r="DT16" s="24">
        <f t="shared" si="63"/>
        <v>0</v>
      </c>
      <c r="DU16" s="24">
        <f t="shared" si="64"/>
        <v>0</v>
      </c>
      <c r="DV16" s="24">
        <f t="shared" si="65"/>
        <v>0</v>
      </c>
      <c r="DW16" s="24">
        <f t="shared" si="66"/>
        <v>0</v>
      </c>
      <c r="DX16" s="24">
        <f t="shared" si="67"/>
        <v>0</v>
      </c>
      <c r="DY16" s="24">
        <f t="shared" si="68"/>
        <v>0</v>
      </c>
      <c r="DZ16" s="24">
        <f t="shared" si="69"/>
        <v>0</v>
      </c>
      <c r="EA16" s="24">
        <f t="shared" si="70"/>
        <v>0</v>
      </c>
      <c r="EB16" s="24">
        <f t="shared" si="71"/>
        <v>0</v>
      </c>
      <c r="EC16" s="24">
        <f t="shared" si="72"/>
        <v>0</v>
      </c>
      <c r="ED16" s="24">
        <f t="shared" si="73"/>
        <v>0</v>
      </c>
      <c r="EE16" s="25"/>
    </row>
    <row r="17" spans="1:135" s="2" customFormat="1" ht="18" customHeight="1" x14ac:dyDescent="0.25">
      <c r="A17" s="15">
        <v>14</v>
      </c>
      <c r="B17" s="108" t="s">
        <v>185</v>
      </c>
      <c r="C17" s="26" t="s">
        <v>229</v>
      </c>
      <c r="D17" s="90" t="s">
        <v>167</v>
      </c>
      <c r="E17" s="18">
        <v>45254</v>
      </c>
      <c r="F17" s="19">
        <v>10</v>
      </c>
      <c r="G17" s="19">
        <v>10</v>
      </c>
      <c r="H17" s="19">
        <v>10</v>
      </c>
      <c r="I17" s="19">
        <v>10</v>
      </c>
      <c r="J17" s="19" t="s">
        <v>603</v>
      </c>
      <c r="K17" s="19">
        <v>10</v>
      </c>
      <c r="L17" s="19" t="s">
        <v>15</v>
      </c>
      <c r="M17" s="19">
        <v>10</v>
      </c>
      <c r="N17" s="19">
        <v>10</v>
      </c>
      <c r="O17" s="19">
        <v>10</v>
      </c>
      <c r="P17" s="19">
        <v>10</v>
      </c>
      <c r="Q17" s="19">
        <v>10</v>
      </c>
      <c r="R17" s="19">
        <v>10</v>
      </c>
      <c r="S17" s="19" t="s">
        <v>15</v>
      </c>
      <c r="T17" s="19">
        <v>10</v>
      </c>
      <c r="U17" s="19">
        <v>10</v>
      </c>
      <c r="V17" s="19">
        <v>10</v>
      </c>
      <c r="W17" s="19">
        <v>10</v>
      </c>
      <c r="X17" s="19">
        <v>10</v>
      </c>
      <c r="Y17" s="19">
        <v>10</v>
      </c>
      <c r="Z17" s="19" t="s">
        <v>15</v>
      </c>
      <c r="AA17" s="19">
        <v>10</v>
      </c>
      <c r="AB17" s="19">
        <v>10</v>
      </c>
      <c r="AC17" s="19">
        <v>10</v>
      </c>
      <c r="AD17" s="19">
        <v>10</v>
      </c>
      <c r="AE17" s="19">
        <v>10</v>
      </c>
      <c r="AF17" s="19">
        <v>10</v>
      </c>
      <c r="AG17" s="19" t="s">
        <v>15</v>
      </c>
      <c r="AH17" s="19">
        <v>10</v>
      </c>
      <c r="AI17" s="19">
        <v>10</v>
      </c>
      <c r="AJ17" s="19">
        <v>0</v>
      </c>
      <c r="AK17" s="19">
        <v>0</v>
      </c>
      <c r="AL17" s="19">
        <v>10</v>
      </c>
      <c r="AM17" s="19">
        <v>10</v>
      </c>
      <c r="AN17" s="19">
        <v>0</v>
      </c>
      <c r="AO17" s="19">
        <v>10</v>
      </c>
      <c r="AP17" s="19">
        <v>0</v>
      </c>
      <c r="AQ17" s="19">
        <v>0</v>
      </c>
      <c r="AR17" s="19">
        <v>0</v>
      </c>
      <c r="AS17" s="19">
        <v>0</v>
      </c>
      <c r="AT17" s="19">
        <f t="shared" si="0"/>
        <v>50</v>
      </c>
      <c r="AU17" s="19">
        <f t="shared" si="1"/>
        <v>20</v>
      </c>
      <c r="AV17" s="19">
        <f t="shared" si="2"/>
        <v>10</v>
      </c>
      <c r="AW17" s="16">
        <f t="shared" si="3"/>
        <v>30</v>
      </c>
      <c r="AX17" s="16">
        <f t="shared" si="4"/>
        <v>0</v>
      </c>
      <c r="AY17" s="38">
        <f t="shared" si="5"/>
        <v>0</v>
      </c>
      <c r="AZ17" s="36">
        <v>900</v>
      </c>
      <c r="BA17" s="20">
        <v>100</v>
      </c>
      <c r="BB17" s="21">
        <v>0</v>
      </c>
      <c r="BC17" s="19">
        <f t="shared" si="74"/>
        <v>900</v>
      </c>
      <c r="BD17" s="19">
        <f t="shared" si="75"/>
        <v>100</v>
      </c>
      <c r="BE17" s="19">
        <f t="shared" si="76"/>
        <v>403</v>
      </c>
      <c r="BF17" s="19">
        <f t="shared" si="77"/>
        <v>0</v>
      </c>
      <c r="BG17" s="19">
        <f t="shared" si="78"/>
        <v>0</v>
      </c>
      <c r="BH17" s="19">
        <f t="shared" si="79"/>
        <v>0</v>
      </c>
      <c r="BI17" s="19">
        <v>0</v>
      </c>
      <c r="BJ17" s="19">
        <v>95</v>
      </c>
      <c r="BK17" s="19">
        <f t="shared" si="6"/>
        <v>1498</v>
      </c>
      <c r="BL17" s="19">
        <v>0</v>
      </c>
      <c r="BM17" s="19">
        <v>0</v>
      </c>
      <c r="BN17" s="19">
        <f t="shared" si="7"/>
        <v>0</v>
      </c>
      <c r="BO17" s="19">
        <f t="shared" si="8"/>
        <v>1498</v>
      </c>
      <c r="BP17" s="19">
        <v>0</v>
      </c>
      <c r="BQ17" s="19">
        <v>0</v>
      </c>
      <c r="BR17" s="22">
        <f t="shared" si="9"/>
        <v>1498</v>
      </c>
      <c r="BS17" s="23">
        <f t="shared" si="10"/>
        <v>0</v>
      </c>
      <c r="BT17" s="24">
        <f t="shared" si="11"/>
        <v>0</v>
      </c>
      <c r="BU17" s="24">
        <f t="shared" si="12"/>
        <v>0</v>
      </c>
      <c r="BV17" s="24">
        <f t="shared" si="13"/>
        <v>0</v>
      </c>
      <c r="BW17" s="24">
        <f t="shared" si="14"/>
        <v>0</v>
      </c>
      <c r="BX17" s="24">
        <f t="shared" si="15"/>
        <v>0</v>
      </c>
      <c r="BY17" s="24">
        <f t="shared" si="16"/>
        <v>25</v>
      </c>
      <c r="BZ17" s="24">
        <f t="shared" si="17"/>
        <v>50</v>
      </c>
      <c r="CA17" s="24">
        <f t="shared" si="18"/>
        <v>0</v>
      </c>
      <c r="CB17" s="24">
        <f t="shared" si="19"/>
        <v>0</v>
      </c>
      <c r="CC17" s="24">
        <f t="shared" si="20"/>
        <v>0</v>
      </c>
      <c r="CD17" s="24">
        <f t="shared" si="21"/>
        <v>0</v>
      </c>
      <c r="CE17" s="24">
        <f t="shared" si="22"/>
        <v>0</v>
      </c>
      <c r="CF17" s="24">
        <f t="shared" si="23"/>
        <v>0</v>
      </c>
      <c r="CG17" s="24">
        <f t="shared" si="24"/>
        <v>0</v>
      </c>
      <c r="CH17" s="24">
        <f t="shared" si="25"/>
        <v>0</v>
      </c>
      <c r="CI17" s="24">
        <f t="shared" si="26"/>
        <v>0</v>
      </c>
      <c r="CJ17" s="24">
        <f t="shared" si="27"/>
        <v>0</v>
      </c>
      <c r="CK17" s="24">
        <f t="shared" si="28"/>
        <v>0</v>
      </c>
      <c r="CL17" s="24">
        <f t="shared" si="29"/>
        <v>0</v>
      </c>
      <c r="CM17" s="24">
        <f t="shared" si="30"/>
        <v>0</v>
      </c>
      <c r="CN17" s="24">
        <f t="shared" si="31"/>
        <v>0</v>
      </c>
      <c r="CO17" s="24">
        <f t="shared" si="32"/>
        <v>0</v>
      </c>
      <c r="CP17" s="24">
        <f t="shared" si="33"/>
        <v>0</v>
      </c>
      <c r="CQ17" s="24">
        <f t="shared" si="34"/>
        <v>0</v>
      </c>
      <c r="CR17" s="24">
        <f t="shared" si="35"/>
        <v>0</v>
      </c>
      <c r="CS17" s="24">
        <f t="shared" si="36"/>
        <v>0</v>
      </c>
      <c r="CT17" s="24">
        <f t="shared" si="37"/>
        <v>0</v>
      </c>
      <c r="CU17" s="24">
        <f t="shared" si="38"/>
        <v>0</v>
      </c>
      <c r="CV17" s="24">
        <f t="shared" si="39"/>
        <v>0</v>
      </c>
      <c r="CW17" s="24">
        <f t="shared" si="40"/>
        <v>0</v>
      </c>
      <c r="CX17" s="24">
        <f t="shared" si="41"/>
        <v>0</v>
      </c>
      <c r="CY17" s="24">
        <f t="shared" si="42"/>
        <v>0</v>
      </c>
      <c r="CZ17" s="24">
        <f t="shared" si="43"/>
        <v>0</v>
      </c>
      <c r="DA17" s="24">
        <f t="shared" si="44"/>
        <v>0</v>
      </c>
      <c r="DB17" s="24">
        <f t="shared" si="45"/>
        <v>0</v>
      </c>
      <c r="DC17" s="24">
        <f t="shared" si="46"/>
        <v>0</v>
      </c>
      <c r="DD17" s="24">
        <f t="shared" si="47"/>
        <v>0</v>
      </c>
      <c r="DE17" s="24">
        <f t="shared" si="48"/>
        <v>0</v>
      </c>
      <c r="DF17" s="24">
        <f t="shared" si="49"/>
        <v>0</v>
      </c>
      <c r="DG17" s="24">
        <f t="shared" si="50"/>
        <v>0</v>
      </c>
      <c r="DH17" s="24">
        <f t="shared" si="51"/>
        <v>0</v>
      </c>
      <c r="DI17" s="24">
        <f t="shared" si="52"/>
        <v>0</v>
      </c>
      <c r="DJ17" s="24">
        <f t="shared" si="53"/>
        <v>0</v>
      </c>
      <c r="DK17" s="24">
        <f t="shared" si="54"/>
        <v>0</v>
      </c>
      <c r="DL17" s="24">
        <f t="shared" si="55"/>
        <v>0</v>
      </c>
      <c r="DM17" s="24">
        <f t="shared" si="56"/>
        <v>0</v>
      </c>
      <c r="DN17" s="24">
        <f t="shared" si="57"/>
        <v>0</v>
      </c>
      <c r="DO17" s="24">
        <f t="shared" si="58"/>
        <v>0</v>
      </c>
      <c r="DP17" s="24">
        <f t="shared" si="59"/>
        <v>0</v>
      </c>
      <c r="DQ17" s="24">
        <f t="shared" si="60"/>
        <v>0</v>
      </c>
      <c r="DR17" s="24">
        <f t="shared" si="61"/>
        <v>0</v>
      </c>
      <c r="DS17" s="24">
        <f t="shared" si="62"/>
        <v>0</v>
      </c>
      <c r="DT17" s="24">
        <f t="shared" si="63"/>
        <v>0</v>
      </c>
      <c r="DU17" s="24">
        <f t="shared" si="64"/>
        <v>0</v>
      </c>
      <c r="DV17" s="24">
        <f t="shared" si="65"/>
        <v>0</v>
      </c>
      <c r="DW17" s="24">
        <f t="shared" si="66"/>
        <v>0</v>
      </c>
      <c r="DX17" s="24">
        <f t="shared" si="67"/>
        <v>0</v>
      </c>
      <c r="DY17" s="24">
        <f t="shared" si="68"/>
        <v>0</v>
      </c>
      <c r="DZ17" s="24">
        <f t="shared" si="69"/>
        <v>0</v>
      </c>
      <c r="EA17" s="24">
        <f t="shared" si="70"/>
        <v>0</v>
      </c>
      <c r="EB17" s="24">
        <f t="shared" si="71"/>
        <v>0</v>
      </c>
      <c r="EC17" s="24">
        <f t="shared" si="72"/>
        <v>0</v>
      </c>
      <c r="ED17" s="24">
        <f t="shared" si="73"/>
        <v>0</v>
      </c>
      <c r="EE17" s="25"/>
    </row>
    <row r="18" spans="1:135" s="2" customFormat="1" ht="18" customHeight="1" x14ac:dyDescent="0.25">
      <c r="A18" s="15">
        <v>15</v>
      </c>
      <c r="B18" s="108" t="s">
        <v>186</v>
      </c>
      <c r="C18" s="26" t="s">
        <v>227</v>
      </c>
      <c r="D18" s="90" t="s">
        <v>167</v>
      </c>
      <c r="E18" s="18">
        <v>45254</v>
      </c>
      <c r="F18" s="19">
        <v>10</v>
      </c>
      <c r="G18" s="19">
        <v>10</v>
      </c>
      <c r="H18" s="19">
        <v>10</v>
      </c>
      <c r="I18" s="19">
        <v>10</v>
      </c>
      <c r="J18" s="19" t="s">
        <v>603</v>
      </c>
      <c r="K18" s="19">
        <v>11</v>
      </c>
      <c r="L18" s="19" t="s">
        <v>15</v>
      </c>
      <c r="M18" s="19">
        <v>10</v>
      </c>
      <c r="N18" s="19">
        <v>11</v>
      </c>
      <c r="O18" s="19">
        <v>11</v>
      </c>
      <c r="P18" s="19">
        <v>10</v>
      </c>
      <c r="Q18" s="19">
        <v>11</v>
      </c>
      <c r="R18" s="19">
        <v>11</v>
      </c>
      <c r="S18" s="19" t="s">
        <v>15</v>
      </c>
      <c r="T18" s="19">
        <v>11</v>
      </c>
      <c r="U18" s="19">
        <v>10</v>
      </c>
      <c r="V18" s="19">
        <v>10</v>
      </c>
      <c r="W18" s="19">
        <v>11</v>
      </c>
      <c r="X18" s="19">
        <v>10</v>
      </c>
      <c r="Y18" s="19">
        <v>10</v>
      </c>
      <c r="Z18" s="19" t="s">
        <v>15</v>
      </c>
      <c r="AA18" s="19">
        <v>10</v>
      </c>
      <c r="AB18" s="19">
        <v>11</v>
      </c>
      <c r="AC18" s="19">
        <v>10</v>
      </c>
      <c r="AD18" s="19">
        <v>10</v>
      </c>
      <c r="AE18" s="19">
        <v>10</v>
      </c>
      <c r="AF18" s="19">
        <v>10</v>
      </c>
      <c r="AG18" s="19" t="s">
        <v>15</v>
      </c>
      <c r="AH18" s="19">
        <v>10</v>
      </c>
      <c r="AI18" s="19">
        <v>10</v>
      </c>
      <c r="AJ18" s="19">
        <v>0</v>
      </c>
      <c r="AK18" s="19">
        <v>10</v>
      </c>
      <c r="AL18" s="19">
        <v>0</v>
      </c>
      <c r="AM18" s="19">
        <v>0</v>
      </c>
      <c r="AN18" s="19">
        <v>0</v>
      </c>
      <c r="AO18" s="19">
        <v>10</v>
      </c>
      <c r="AP18" s="19">
        <v>0</v>
      </c>
      <c r="AQ18" s="19">
        <v>0</v>
      </c>
      <c r="AR18" s="19">
        <v>0</v>
      </c>
      <c r="AS18" s="19">
        <v>0</v>
      </c>
      <c r="AT18" s="19">
        <f t="shared" si="0"/>
        <v>58</v>
      </c>
      <c r="AU18" s="19">
        <f t="shared" si="1"/>
        <v>10</v>
      </c>
      <c r="AV18" s="19">
        <f t="shared" si="2"/>
        <v>10</v>
      </c>
      <c r="AW18" s="16">
        <f t="shared" si="3"/>
        <v>30</v>
      </c>
      <c r="AX18" s="16">
        <f t="shared" si="4"/>
        <v>0</v>
      </c>
      <c r="AY18" s="38">
        <f t="shared" si="5"/>
        <v>0</v>
      </c>
      <c r="AZ18" s="36">
        <v>950</v>
      </c>
      <c r="BA18" s="20">
        <v>100</v>
      </c>
      <c r="BB18" s="21">
        <v>0</v>
      </c>
      <c r="BC18" s="19">
        <f t="shared" si="74"/>
        <v>950</v>
      </c>
      <c r="BD18" s="19">
        <f t="shared" si="75"/>
        <v>100</v>
      </c>
      <c r="BE18" s="19">
        <f t="shared" si="76"/>
        <v>406</v>
      </c>
      <c r="BF18" s="19">
        <f t="shared" si="77"/>
        <v>0</v>
      </c>
      <c r="BG18" s="19">
        <f t="shared" si="78"/>
        <v>0</v>
      </c>
      <c r="BH18" s="19">
        <f t="shared" si="79"/>
        <v>0</v>
      </c>
      <c r="BI18" s="19">
        <v>0</v>
      </c>
      <c r="BJ18" s="19">
        <v>95</v>
      </c>
      <c r="BK18" s="19">
        <f t="shared" si="6"/>
        <v>1551</v>
      </c>
      <c r="BL18" s="19">
        <v>0</v>
      </c>
      <c r="BM18" s="19">
        <v>0</v>
      </c>
      <c r="BN18" s="19">
        <f t="shared" si="7"/>
        <v>0</v>
      </c>
      <c r="BO18" s="19">
        <f t="shared" si="8"/>
        <v>1551</v>
      </c>
      <c r="BP18" s="19">
        <v>0</v>
      </c>
      <c r="BQ18" s="19">
        <v>0</v>
      </c>
      <c r="BR18" s="22">
        <f t="shared" si="9"/>
        <v>1551</v>
      </c>
      <c r="BS18" s="23">
        <f t="shared" si="10"/>
        <v>0</v>
      </c>
      <c r="BT18" s="24">
        <f t="shared" si="11"/>
        <v>0</v>
      </c>
      <c r="BU18" s="24">
        <f t="shared" si="12"/>
        <v>0</v>
      </c>
      <c r="BV18" s="24">
        <f t="shared" si="13"/>
        <v>0</v>
      </c>
      <c r="BW18" s="24">
        <f t="shared" si="14"/>
        <v>0</v>
      </c>
      <c r="BX18" s="24">
        <f t="shared" si="15"/>
        <v>0</v>
      </c>
      <c r="BY18" s="24">
        <f t="shared" si="16"/>
        <v>17</v>
      </c>
      <c r="BZ18" s="24">
        <f t="shared" si="17"/>
        <v>34</v>
      </c>
      <c r="CA18" s="24">
        <f t="shared" si="18"/>
        <v>0</v>
      </c>
      <c r="CB18" s="24">
        <f t="shared" si="19"/>
        <v>0</v>
      </c>
      <c r="CC18" s="24">
        <f t="shared" si="20"/>
        <v>8</v>
      </c>
      <c r="CD18" s="24">
        <f t="shared" si="21"/>
        <v>24</v>
      </c>
      <c r="CE18" s="24">
        <f t="shared" si="22"/>
        <v>0</v>
      </c>
      <c r="CF18" s="24">
        <f t="shared" si="23"/>
        <v>0</v>
      </c>
      <c r="CG18" s="24">
        <f t="shared" si="24"/>
        <v>0</v>
      </c>
      <c r="CH18" s="24">
        <f t="shared" si="25"/>
        <v>0</v>
      </c>
      <c r="CI18" s="24">
        <f t="shared" si="26"/>
        <v>0</v>
      </c>
      <c r="CJ18" s="24">
        <f t="shared" si="27"/>
        <v>0</v>
      </c>
      <c r="CK18" s="24">
        <f t="shared" si="28"/>
        <v>0</v>
      </c>
      <c r="CL18" s="24">
        <f t="shared" si="29"/>
        <v>0</v>
      </c>
      <c r="CM18" s="24">
        <f t="shared" si="30"/>
        <v>0</v>
      </c>
      <c r="CN18" s="24">
        <f t="shared" si="31"/>
        <v>0</v>
      </c>
      <c r="CO18" s="24">
        <f t="shared" si="32"/>
        <v>0</v>
      </c>
      <c r="CP18" s="24">
        <f t="shared" si="33"/>
        <v>0</v>
      </c>
      <c r="CQ18" s="24">
        <f t="shared" si="34"/>
        <v>0</v>
      </c>
      <c r="CR18" s="24">
        <f t="shared" si="35"/>
        <v>0</v>
      </c>
      <c r="CS18" s="24">
        <f t="shared" si="36"/>
        <v>0</v>
      </c>
      <c r="CT18" s="24">
        <f t="shared" si="37"/>
        <v>0</v>
      </c>
      <c r="CU18" s="24">
        <f t="shared" si="38"/>
        <v>0</v>
      </c>
      <c r="CV18" s="24">
        <f t="shared" si="39"/>
        <v>0</v>
      </c>
      <c r="CW18" s="24">
        <f t="shared" si="40"/>
        <v>0</v>
      </c>
      <c r="CX18" s="24">
        <f t="shared" si="41"/>
        <v>0</v>
      </c>
      <c r="CY18" s="24">
        <f t="shared" si="42"/>
        <v>0</v>
      </c>
      <c r="CZ18" s="24">
        <f t="shared" si="43"/>
        <v>0</v>
      </c>
      <c r="DA18" s="24">
        <f t="shared" si="44"/>
        <v>0</v>
      </c>
      <c r="DB18" s="24">
        <f t="shared" si="45"/>
        <v>0</v>
      </c>
      <c r="DC18" s="24">
        <f t="shared" si="46"/>
        <v>0</v>
      </c>
      <c r="DD18" s="24">
        <f t="shared" si="47"/>
        <v>0</v>
      </c>
      <c r="DE18" s="24">
        <f t="shared" si="48"/>
        <v>0</v>
      </c>
      <c r="DF18" s="24">
        <f t="shared" si="49"/>
        <v>0</v>
      </c>
      <c r="DG18" s="24">
        <f t="shared" si="50"/>
        <v>0</v>
      </c>
      <c r="DH18" s="24">
        <f t="shared" si="51"/>
        <v>0</v>
      </c>
      <c r="DI18" s="24">
        <f t="shared" si="52"/>
        <v>0</v>
      </c>
      <c r="DJ18" s="24">
        <f t="shared" si="53"/>
        <v>0</v>
      </c>
      <c r="DK18" s="24">
        <f t="shared" si="54"/>
        <v>0</v>
      </c>
      <c r="DL18" s="24">
        <f t="shared" si="55"/>
        <v>0</v>
      </c>
      <c r="DM18" s="24">
        <f t="shared" si="56"/>
        <v>0</v>
      </c>
      <c r="DN18" s="24">
        <f t="shared" si="57"/>
        <v>0</v>
      </c>
      <c r="DO18" s="24">
        <f t="shared" si="58"/>
        <v>0</v>
      </c>
      <c r="DP18" s="24">
        <f t="shared" si="59"/>
        <v>0</v>
      </c>
      <c r="DQ18" s="24">
        <f t="shared" si="60"/>
        <v>0</v>
      </c>
      <c r="DR18" s="24">
        <f t="shared" si="61"/>
        <v>0</v>
      </c>
      <c r="DS18" s="24">
        <f t="shared" si="62"/>
        <v>0</v>
      </c>
      <c r="DT18" s="24">
        <f t="shared" si="63"/>
        <v>0</v>
      </c>
      <c r="DU18" s="24">
        <f t="shared" si="64"/>
        <v>0</v>
      </c>
      <c r="DV18" s="24">
        <f t="shared" si="65"/>
        <v>0</v>
      </c>
      <c r="DW18" s="24">
        <f t="shared" si="66"/>
        <v>0</v>
      </c>
      <c r="DX18" s="24">
        <f t="shared" si="67"/>
        <v>0</v>
      </c>
      <c r="DY18" s="24">
        <f t="shared" si="68"/>
        <v>0</v>
      </c>
      <c r="DZ18" s="24">
        <f t="shared" si="69"/>
        <v>0</v>
      </c>
      <c r="EA18" s="24">
        <f t="shared" si="70"/>
        <v>0</v>
      </c>
      <c r="EB18" s="24">
        <f t="shared" si="71"/>
        <v>0</v>
      </c>
      <c r="EC18" s="24">
        <f t="shared" si="72"/>
        <v>0</v>
      </c>
      <c r="ED18" s="24">
        <f t="shared" si="73"/>
        <v>0</v>
      </c>
      <c r="EE18" s="25"/>
    </row>
    <row r="19" spans="1:135" s="2" customFormat="1" ht="18" customHeight="1" x14ac:dyDescent="0.25">
      <c r="A19" s="15">
        <v>16</v>
      </c>
      <c r="B19" s="108" t="s">
        <v>189</v>
      </c>
      <c r="C19" s="26" t="s">
        <v>195</v>
      </c>
      <c r="D19" s="90" t="s">
        <v>167</v>
      </c>
      <c r="E19" s="18">
        <v>45254</v>
      </c>
      <c r="F19" s="19">
        <v>10</v>
      </c>
      <c r="G19" s="19">
        <v>10</v>
      </c>
      <c r="H19" s="19">
        <v>10</v>
      </c>
      <c r="I19" s="19">
        <v>8</v>
      </c>
      <c r="J19" s="19" t="s">
        <v>603</v>
      </c>
      <c r="K19" s="19">
        <v>8</v>
      </c>
      <c r="L19" s="19" t="s">
        <v>15</v>
      </c>
      <c r="M19" s="19">
        <v>9</v>
      </c>
      <c r="N19" s="19" t="s">
        <v>316</v>
      </c>
      <c r="O19" s="19" t="s">
        <v>316</v>
      </c>
      <c r="P19" s="19" t="s">
        <v>316</v>
      </c>
      <c r="Q19" s="19" t="s">
        <v>316</v>
      </c>
      <c r="R19" s="19">
        <v>10</v>
      </c>
      <c r="S19" s="19" t="s">
        <v>316</v>
      </c>
      <c r="T19" s="19">
        <v>10</v>
      </c>
      <c r="U19" s="19">
        <v>10</v>
      </c>
      <c r="V19" s="19">
        <v>10</v>
      </c>
      <c r="W19" s="19">
        <v>10</v>
      </c>
      <c r="X19" s="19">
        <v>10</v>
      </c>
      <c r="Y19" s="19">
        <v>8</v>
      </c>
      <c r="Z19" s="19" t="s">
        <v>15</v>
      </c>
      <c r="AA19" s="19">
        <v>8</v>
      </c>
      <c r="AB19" s="19">
        <v>8</v>
      </c>
      <c r="AC19" s="19">
        <v>10</v>
      </c>
      <c r="AD19" s="19">
        <v>10</v>
      </c>
      <c r="AE19" s="19">
        <v>10</v>
      </c>
      <c r="AF19" s="19">
        <v>9</v>
      </c>
      <c r="AG19" s="19" t="s">
        <v>15</v>
      </c>
      <c r="AH19" s="19">
        <v>8</v>
      </c>
      <c r="AI19" s="19">
        <v>8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f t="shared" si="0"/>
        <v>26</v>
      </c>
      <c r="AU19" s="19">
        <f t="shared" si="1"/>
        <v>0</v>
      </c>
      <c r="AV19" s="19">
        <f t="shared" si="2"/>
        <v>0</v>
      </c>
      <c r="AW19" s="16">
        <f t="shared" si="3"/>
        <v>25</v>
      </c>
      <c r="AX19" s="16">
        <f t="shared" si="4"/>
        <v>5</v>
      </c>
      <c r="AY19" s="38">
        <f t="shared" si="5"/>
        <v>0</v>
      </c>
      <c r="AZ19" s="36">
        <v>900</v>
      </c>
      <c r="BA19" s="20">
        <v>100</v>
      </c>
      <c r="BB19" s="21">
        <v>0</v>
      </c>
      <c r="BC19" s="19">
        <f t="shared" si="74"/>
        <v>750</v>
      </c>
      <c r="BD19" s="19">
        <f t="shared" si="75"/>
        <v>83</v>
      </c>
      <c r="BE19" s="19">
        <f t="shared" si="76"/>
        <v>122</v>
      </c>
      <c r="BF19" s="19">
        <f t="shared" si="77"/>
        <v>0</v>
      </c>
      <c r="BG19" s="19">
        <f t="shared" si="78"/>
        <v>0</v>
      </c>
      <c r="BH19" s="19">
        <f t="shared" si="79"/>
        <v>0</v>
      </c>
      <c r="BI19" s="19">
        <v>0</v>
      </c>
      <c r="BJ19" s="19">
        <v>0</v>
      </c>
      <c r="BK19" s="19">
        <f t="shared" si="6"/>
        <v>955</v>
      </c>
      <c r="BL19" s="19">
        <v>0</v>
      </c>
      <c r="BM19" s="19">
        <v>0</v>
      </c>
      <c r="BN19" s="19">
        <f t="shared" si="7"/>
        <v>0</v>
      </c>
      <c r="BO19" s="19">
        <f t="shared" si="8"/>
        <v>955</v>
      </c>
      <c r="BP19" s="19">
        <v>0</v>
      </c>
      <c r="BQ19" s="19">
        <v>0</v>
      </c>
      <c r="BR19" s="22">
        <f t="shared" si="9"/>
        <v>955</v>
      </c>
      <c r="BS19" s="23">
        <f t="shared" si="10"/>
        <v>0</v>
      </c>
      <c r="BT19" s="24">
        <f t="shared" si="11"/>
        <v>0</v>
      </c>
      <c r="BU19" s="24">
        <f t="shared" si="12"/>
        <v>2</v>
      </c>
      <c r="BV19" s="24">
        <f t="shared" si="13"/>
        <v>2</v>
      </c>
      <c r="BW19" s="24">
        <f t="shared" si="14"/>
        <v>0</v>
      </c>
      <c r="BX19" s="24">
        <f t="shared" si="15"/>
        <v>0</v>
      </c>
      <c r="BY19" s="24">
        <f t="shared" si="16"/>
        <v>12</v>
      </c>
      <c r="BZ19" s="24">
        <f t="shared" si="17"/>
        <v>24</v>
      </c>
      <c r="CA19" s="24">
        <f t="shared" si="18"/>
        <v>0</v>
      </c>
      <c r="CB19" s="24">
        <f t="shared" si="19"/>
        <v>0</v>
      </c>
      <c r="CC19" s="24">
        <f t="shared" si="20"/>
        <v>0</v>
      </c>
      <c r="CD19" s="24">
        <f t="shared" si="21"/>
        <v>0</v>
      </c>
      <c r="CE19" s="24">
        <f t="shared" si="22"/>
        <v>0</v>
      </c>
      <c r="CF19" s="24">
        <f t="shared" si="23"/>
        <v>0</v>
      </c>
      <c r="CG19" s="24">
        <f t="shared" si="24"/>
        <v>0</v>
      </c>
      <c r="CH19" s="24">
        <f t="shared" si="25"/>
        <v>0</v>
      </c>
      <c r="CI19" s="24">
        <f t="shared" si="26"/>
        <v>0</v>
      </c>
      <c r="CJ19" s="24">
        <f t="shared" si="27"/>
        <v>0</v>
      </c>
      <c r="CK19" s="24">
        <f t="shared" si="28"/>
        <v>0</v>
      </c>
      <c r="CL19" s="24">
        <f t="shared" si="29"/>
        <v>0</v>
      </c>
      <c r="CM19" s="24">
        <f t="shared" si="30"/>
        <v>0</v>
      </c>
      <c r="CN19" s="24">
        <f t="shared" si="31"/>
        <v>0</v>
      </c>
      <c r="CO19" s="24">
        <f t="shared" si="32"/>
        <v>0</v>
      </c>
      <c r="CP19" s="24">
        <f t="shared" si="33"/>
        <v>0</v>
      </c>
      <c r="CQ19" s="24">
        <f t="shared" si="34"/>
        <v>0</v>
      </c>
      <c r="CR19" s="24">
        <f t="shared" si="35"/>
        <v>0</v>
      </c>
      <c r="CS19" s="24">
        <f t="shared" si="36"/>
        <v>0</v>
      </c>
      <c r="CT19" s="24">
        <f t="shared" si="37"/>
        <v>0</v>
      </c>
      <c r="CU19" s="24">
        <f t="shared" si="38"/>
        <v>0</v>
      </c>
      <c r="CV19" s="24">
        <f t="shared" si="39"/>
        <v>0</v>
      </c>
      <c r="CW19" s="24">
        <f t="shared" si="40"/>
        <v>0</v>
      </c>
      <c r="CX19" s="24">
        <f t="shared" si="41"/>
        <v>0</v>
      </c>
      <c r="CY19" s="24">
        <f t="shared" si="42"/>
        <v>0</v>
      </c>
      <c r="CZ19" s="24">
        <f t="shared" si="43"/>
        <v>0</v>
      </c>
      <c r="DA19" s="24">
        <f t="shared" si="44"/>
        <v>0</v>
      </c>
      <c r="DB19" s="24">
        <f t="shared" si="45"/>
        <v>0</v>
      </c>
      <c r="DC19" s="24">
        <f t="shared" si="46"/>
        <v>0</v>
      </c>
      <c r="DD19" s="24">
        <f t="shared" si="47"/>
        <v>0</v>
      </c>
      <c r="DE19" s="24">
        <f t="shared" si="48"/>
        <v>0</v>
      </c>
      <c r="DF19" s="24">
        <f t="shared" si="49"/>
        <v>0</v>
      </c>
      <c r="DG19" s="24">
        <f t="shared" si="50"/>
        <v>0</v>
      </c>
      <c r="DH19" s="24">
        <f t="shared" si="51"/>
        <v>0</v>
      </c>
      <c r="DI19" s="24">
        <f t="shared" si="52"/>
        <v>0</v>
      </c>
      <c r="DJ19" s="24">
        <f t="shared" si="53"/>
        <v>0</v>
      </c>
      <c r="DK19" s="24">
        <f t="shared" si="54"/>
        <v>0</v>
      </c>
      <c r="DL19" s="24">
        <f t="shared" si="55"/>
        <v>0</v>
      </c>
      <c r="DM19" s="24">
        <f t="shared" si="56"/>
        <v>0</v>
      </c>
      <c r="DN19" s="24">
        <f t="shared" si="57"/>
        <v>0</v>
      </c>
      <c r="DO19" s="24">
        <f t="shared" si="58"/>
        <v>0</v>
      </c>
      <c r="DP19" s="24">
        <f t="shared" si="59"/>
        <v>0</v>
      </c>
      <c r="DQ19" s="24">
        <f t="shared" si="60"/>
        <v>0</v>
      </c>
      <c r="DR19" s="24">
        <f t="shared" si="61"/>
        <v>0</v>
      </c>
      <c r="DS19" s="24">
        <f t="shared" si="62"/>
        <v>0</v>
      </c>
      <c r="DT19" s="24">
        <f t="shared" si="63"/>
        <v>0</v>
      </c>
      <c r="DU19" s="24">
        <f t="shared" si="64"/>
        <v>0</v>
      </c>
      <c r="DV19" s="24">
        <f t="shared" si="65"/>
        <v>0</v>
      </c>
      <c r="DW19" s="24">
        <f t="shared" si="66"/>
        <v>0</v>
      </c>
      <c r="DX19" s="24">
        <f t="shared" si="67"/>
        <v>0</v>
      </c>
      <c r="DY19" s="24">
        <f t="shared" si="68"/>
        <v>0</v>
      </c>
      <c r="DZ19" s="24">
        <f t="shared" si="69"/>
        <v>0</v>
      </c>
      <c r="EA19" s="24">
        <f t="shared" si="70"/>
        <v>0</v>
      </c>
      <c r="EB19" s="24">
        <f t="shared" si="71"/>
        <v>0</v>
      </c>
      <c r="EC19" s="24">
        <f t="shared" si="72"/>
        <v>0</v>
      </c>
      <c r="ED19" s="24">
        <f t="shared" si="73"/>
        <v>0</v>
      </c>
      <c r="EE19" s="25"/>
    </row>
    <row r="20" spans="1:135" s="2" customFormat="1" ht="18" customHeight="1" x14ac:dyDescent="0.25">
      <c r="A20" s="15">
        <v>17</v>
      </c>
      <c r="B20" s="108" t="s">
        <v>198</v>
      </c>
      <c r="C20" s="26" t="s">
        <v>226</v>
      </c>
      <c r="D20" s="90" t="s">
        <v>107</v>
      </c>
      <c r="E20" s="18">
        <v>45254</v>
      </c>
      <c r="F20" s="19">
        <v>10</v>
      </c>
      <c r="G20" s="19">
        <v>10</v>
      </c>
      <c r="H20" s="19">
        <v>10</v>
      </c>
      <c r="I20" s="19">
        <v>10</v>
      </c>
      <c r="J20" s="19" t="s">
        <v>603</v>
      </c>
      <c r="K20" s="19">
        <v>10</v>
      </c>
      <c r="L20" s="19" t="s">
        <v>15</v>
      </c>
      <c r="M20" s="19">
        <v>10</v>
      </c>
      <c r="N20" s="19">
        <v>10</v>
      </c>
      <c r="O20" s="19">
        <v>10</v>
      </c>
      <c r="P20" s="19">
        <v>10</v>
      </c>
      <c r="Q20" s="19">
        <v>10</v>
      </c>
      <c r="R20" s="19">
        <v>10</v>
      </c>
      <c r="S20" s="19" t="s">
        <v>15</v>
      </c>
      <c r="T20" s="19">
        <v>10</v>
      </c>
      <c r="U20" s="19">
        <v>10</v>
      </c>
      <c r="V20" s="19">
        <v>10</v>
      </c>
      <c r="W20" s="19">
        <v>10</v>
      </c>
      <c r="X20" s="19">
        <v>10</v>
      </c>
      <c r="Y20" s="19">
        <v>10</v>
      </c>
      <c r="Z20" s="19" t="s">
        <v>15</v>
      </c>
      <c r="AA20" s="19">
        <v>10</v>
      </c>
      <c r="AB20" s="19">
        <v>10</v>
      </c>
      <c r="AC20" s="19">
        <v>10</v>
      </c>
      <c r="AD20" s="19">
        <v>10</v>
      </c>
      <c r="AE20" s="19">
        <v>10</v>
      </c>
      <c r="AF20" s="19">
        <v>10</v>
      </c>
      <c r="AG20" s="19" t="s">
        <v>15</v>
      </c>
      <c r="AH20" s="19">
        <v>10</v>
      </c>
      <c r="AI20" s="19">
        <v>10</v>
      </c>
      <c r="AJ20" s="19">
        <v>0</v>
      </c>
      <c r="AK20" s="19">
        <v>0</v>
      </c>
      <c r="AL20" s="19">
        <v>10</v>
      </c>
      <c r="AM20" s="19">
        <v>0</v>
      </c>
      <c r="AN20" s="19">
        <v>0</v>
      </c>
      <c r="AO20" s="19">
        <v>10</v>
      </c>
      <c r="AP20" s="19">
        <v>0</v>
      </c>
      <c r="AQ20" s="19">
        <v>0</v>
      </c>
      <c r="AR20" s="19">
        <v>0</v>
      </c>
      <c r="AS20" s="19">
        <v>0</v>
      </c>
      <c r="AT20" s="19">
        <f t="shared" si="0"/>
        <v>50</v>
      </c>
      <c r="AU20" s="19">
        <f t="shared" si="1"/>
        <v>10</v>
      </c>
      <c r="AV20" s="19">
        <f t="shared" si="2"/>
        <v>10</v>
      </c>
      <c r="AW20" s="16">
        <f t="shared" si="3"/>
        <v>30</v>
      </c>
      <c r="AX20" s="16">
        <f t="shared" si="4"/>
        <v>0</v>
      </c>
      <c r="AY20" s="38">
        <f t="shared" si="5"/>
        <v>0</v>
      </c>
      <c r="AZ20" s="36">
        <v>900</v>
      </c>
      <c r="BA20" s="20">
        <v>100</v>
      </c>
      <c r="BB20" s="21">
        <v>0</v>
      </c>
      <c r="BC20" s="19">
        <f t="shared" si="74"/>
        <v>900</v>
      </c>
      <c r="BD20" s="19">
        <f t="shared" si="75"/>
        <v>100</v>
      </c>
      <c r="BE20" s="19">
        <f t="shared" si="76"/>
        <v>347</v>
      </c>
      <c r="BF20" s="19">
        <f t="shared" si="77"/>
        <v>0</v>
      </c>
      <c r="BG20" s="19">
        <f t="shared" si="78"/>
        <v>0</v>
      </c>
      <c r="BH20" s="19">
        <f t="shared" si="79"/>
        <v>0</v>
      </c>
      <c r="BI20" s="19">
        <v>0</v>
      </c>
      <c r="BJ20" s="19">
        <v>95</v>
      </c>
      <c r="BK20" s="19">
        <f t="shared" si="6"/>
        <v>1442</v>
      </c>
      <c r="BL20" s="19">
        <v>0</v>
      </c>
      <c r="BM20" s="19">
        <v>0</v>
      </c>
      <c r="BN20" s="19">
        <f t="shared" si="7"/>
        <v>0</v>
      </c>
      <c r="BO20" s="19">
        <f t="shared" si="8"/>
        <v>1442</v>
      </c>
      <c r="BP20" s="19">
        <v>0</v>
      </c>
      <c r="BQ20" s="19">
        <v>0</v>
      </c>
      <c r="BR20" s="22">
        <f t="shared" si="9"/>
        <v>1442</v>
      </c>
      <c r="BS20" s="23">
        <f t="shared" si="10"/>
        <v>0</v>
      </c>
      <c r="BT20" s="24">
        <f t="shared" si="11"/>
        <v>0</v>
      </c>
      <c r="BU20" s="24">
        <f t="shared" si="12"/>
        <v>0</v>
      </c>
      <c r="BV20" s="24">
        <f t="shared" si="13"/>
        <v>0</v>
      </c>
      <c r="BW20" s="24">
        <f t="shared" si="14"/>
        <v>0</v>
      </c>
      <c r="BX20" s="24">
        <f t="shared" si="15"/>
        <v>0</v>
      </c>
      <c r="BY20" s="24">
        <f t="shared" si="16"/>
        <v>25</v>
      </c>
      <c r="BZ20" s="24">
        <f t="shared" si="17"/>
        <v>50</v>
      </c>
      <c r="CA20" s="24">
        <f t="shared" si="18"/>
        <v>0</v>
      </c>
      <c r="CB20" s="24">
        <f t="shared" si="19"/>
        <v>0</v>
      </c>
      <c r="CC20" s="24">
        <f t="shared" si="20"/>
        <v>0</v>
      </c>
      <c r="CD20" s="24">
        <f t="shared" si="21"/>
        <v>0</v>
      </c>
      <c r="CE20" s="24">
        <f t="shared" si="22"/>
        <v>0</v>
      </c>
      <c r="CF20" s="24">
        <f t="shared" si="23"/>
        <v>0</v>
      </c>
      <c r="CG20" s="24">
        <f t="shared" si="24"/>
        <v>0</v>
      </c>
      <c r="CH20" s="24">
        <f t="shared" si="25"/>
        <v>0</v>
      </c>
      <c r="CI20" s="24">
        <f t="shared" si="26"/>
        <v>0</v>
      </c>
      <c r="CJ20" s="24">
        <f t="shared" si="27"/>
        <v>0</v>
      </c>
      <c r="CK20" s="24">
        <f t="shared" si="28"/>
        <v>0</v>
      </c>
      <c r="CL20" s="24">
        <f t="shared" si="29"/>
        <v>0</v>
      </c>
      <c r="CM20" s="24">
        <f t="shared" si="30"/>
        <v>0</v>
      </c>
      <c r="CN20" s="24">
        <f t="shared" si="31"/>
        <v>0</v>
      </c>
      <c r="CO20" s="24">
        <f t="shared" si="32"/>
        <v>0</v>
      </c>
      <c r="CP20" s="24">
        <f t="shared" si="33"/>
        <v>0</v>
      </c>
      <c r="CQ20" s="24">
        <f t="shared" si="34"/>
        <v>0</v>
      </c>
      <c r="CR20" s="24">
        <f t="shared" si="35"/>
        <v>0</v>
      </c>
      <c r="CS20" s="24">
        <f t="shared" si="36"/>
        <v>0</v>
      </c>
      <c r="CT20" s="24">
        <f t="shared" si="37"/>
        <v>0</v>
      </c>
      <c r="CU20" s="24">
        <f t="shared" si="38"/>
        <v>0</v>
      </c>
      <c r="CV20" s="24">
        <f t="shared" si="39"/>
        <v>0</v>
      </c>
      <c r="CW20" s="24">
        <f t="shared" si="40"/>
        <v>0</v>
      </c>
      <c r="CX20" s="24">
        <f t="shared" si="41"/>
        <v>0</v>
      </c>
      <c r="CY20" s="24">
        <f t="shared" si="42"/>
        <v>0</v>
      </c>
      <c r="CZ20" s="24">
        <f t="shared" si="43"/>
        <v>0</v>
      </c>
      <c r="DA20" s="24">
        <f t="shared" si="44"/>
        <v>0</v>
      </c>
      <c r="DB20" s="24">
        <f t="shared" si="45"/>
        <v>0</v>
      </c>
      <c r="DC20" s="24">
        <f t="shared" si="46"/>
        <v>0</v>
      </c>
      <c r="DD20" s="24">
        <f t="shared" si="47"/>
        <v>0</v>
      </c>
      <c r="DE20" s="24">
        <f t="shared" si="48"/>
        <v>0</v>
      </c>
      <c r="DF20" s="24">
        <f t="shared" si="49"/>
        <v>0</v>
      </c>
      <c r="DG20" s="24">
        <f t="shared" si="50"/>
        <v>0</v>
      </c>
      <c r="DH20" s="24">
        <f t="shared" si="51"/>
        <v>0</v>
      </c>
      <c r="DI20" s="24">
        <f t="shared" si="52"/>
        <v>0</v>
      </c>
      <c r="DJ20" s="24">
        <f t="shared" si="53"/>
        <v>0</v>
      </c>
      <c r="DK20" s="24">
        <f t="shared" si="54"/>
        <v>0</v>
      </c>
      <c r="DL20" s="24">
        <f t="shared" si="55"/>
        <v>0</v>
      </c>
      <c r="DM20" s="24">
        <f t="shared" si="56"/>
        <v>0</v>
      </c>
      <c r="DN20" s="24">
        <f t="shared" si="57"/>
        <v>0</v>
      </c>
      <c r="DO20" s="24">
        <f t="shared" si="58"/>
        <v>0</v>
      </c>
      <c r="DP20" s="24">
        <f t="shared" si="59"/>
        <v>0</v>
      </c>
      <c r="DQ20" s="24">
        <f t="shared" si="60"/>
        <v>0</v>
      </c>
      <c r="DR20" s="24">
        <f t="shared" si="61"/>
        <v>0</v>
      </c>
      <c r="DS20" s="24">
        <f t="shared" si="62"/>
        <v>0</v>
      </c>
      <c r="DT20" s="24">
        <f t="shared" si="63"/>
        <v>0</v>
      </c>
      <c r="DU20" s="24">
        <f t="shared" si="64"/>
        <v>0</v>
      </c>
      <c r="DV20" s="24">
        <f t="shared" si="65"/>
        <v>0</v>
      </c>
      <c r="DW20" s="24">
        <f t="shared" si="66"/>
        <v>0</v>
      </c>
      <c r="DX20" s="24">
        <f t="shared" si="67"/>
        <v>0</v>
      </c>
      <c r="DY20" s="24">
        <f t="shared" si="68"/>
        <v>0</v>
      </c>
      <c r="DZ20" s="24">
        <f t="shared" si="69"/>
        <v>0</v>
      </c>
      <c r="EA20" s="24">
        <f t="shared" si="70"/>
        <v>0</v>
      </c>
      <c r="EB20" s="24">
        <f t="shared" si="71"/>
        <v>0</v>
      </c>
      <c r="EC20" s="24">
        <f t="shared" si="72"/>
        <v>0</v>
      </c>
      <c r="ED20" s="24">
        <f t="shared" si="73"/>
        <v>0</v>
      </c>
      <c r="EE20" s="25"/>
    </row>
    <row r="21" spans="1:135" s="2" customFormat="1" ht="18" customHeight="1" x14ac:dyDescent="0.25">
      <c r="A21" s="15">
        <v>18</v>
      </c>
      <c r="B21" s="108" t="s">
        <v>187</v>
      </c>
      <c r="C21" s="26" t="s">
        <v>239</v>
      </c>
      <c r="D21" s="90" t="s">
        <v>167</v>
      </c>
      <c r="E21" s="18">
        <v>45254</v>
      </c>
      <c r="F21" s="19">
        <v>10</v>
      </c>
      <c r="G21" s="19">
        <v>10</v>
      </c>
      <c r="H21" s="19">
        <v>10</v>
      </c>
      <c r="I21" s="19">
        <v>10</v>
      </c>
      <c r="J21" s="19" t="s">
        <v>603</v>
      </c>
      <c r="K21" s="19">
        <v>10</v>
      </c>
      <c r="L21" s="19" t="s">
        <v>15</v>
      </c>
      <c r="M21" s="19">
        <v>10</v>
      </c>
      <c r="N21" s="19">
        <v>10</v>
      </c>
      <c r="O21" s="19">
        <v>10</v>
      </c>
      <c r="P21" s="19">
        <v>10</v>
      </c>
      <c r="Q21" s="19">
        <v>10</v>
      </c>
      <c r="R21" s="19">
        <v>10</v>
      </c>
      <c r="S21" s="19" t="s">
        <v>15</v>
      </c>
      <c r="T21" s="19">
        <v>10</v>
      </c>
      <c r="U21" s="19">
        <v>10</v>
      </c>
      <c r="V21" s="19">
        <v>10</v>
      </c>
      <c r="W21" s="19">
        <v>10</v>
      </c>
      <c r="X21" s="19">
        <v>10</v>
      </c>
      <c r="Y21" s="19">
        <v>10</v>
      </c>
      <c r="Z21" s="19" t="s">
        <v>15</v>
      </c>
      <c r="AA21" s="19">
        <v>10</v>
      </c>
      <c r="AB21" s="19">
        <v>10</v>
      </c>
      <c r="AC21" s="19">
        <v>10</v>
      </c>
      <c r="AD21" s="19">
        <v>10</v>
      </c>
      <c r="AE21" s="19">
        <v>10</v>
      </c>
      <c r="AF21" s="19">
        <v>10</v>
      </c>
      <c r="AG21" s="19" t="s">
        <v>15</v>
      </c>
      <c r="AH21" s="19">
        <v>10</v>
      </c>
      <c r="AI21" s="19">
        <v>10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10</v>
      </c>
      <c r="AP21" s="19">
        <v>0</v>
      </c>
      <c r="AQ21" s="19">
        <v>0</v>
      </c>
      <c r="AR21" s="19">
        <v>0</v>
      </c>
      <c r="AS21" s="19">
        <v>0</v>
      </c>
      <c r="AT21" s="19">
        <f t="shared" si="0"/>
        <v>50</v>
      </c>
      <c r="AU21" s="19">
        <f t="shared" si="1"/>
        <v>0</v>
      </c>
      <c r="AV21" s="19">
        <f t="shared" si="2"/>
        <v>10</v>
      </c>
      <c r="AW21" s="16">
        <f t="shared" si="3"/>
        <v>30</v>
      </c>
      <c r="AX21" s="16">
        <f t="shared" si="4"/>
        <v>0</v>
      </c>
      <c r="AY21" s="38">
        <f t="shared" si="5"/>
        <v>0</v>
      </c>
      <c r="AZ21" s="36">
        <v>900</v>
      </c>
      <c r="BA21" s="20">
        <v>100</v>
      </c>
      <c r="BB21" s="21">
        <v>0</v>
      </c>
      <c r="BC21" s="19">
        <f t="shared" si="74"/>
        <v>900</v>
      </c>
      <c r="BD21" s="19">
        <f t="shared" si="75"/>
        <v>100</v>
      </c>
      <c r="BE21" s="19">
        <f t="shared" si="76"/>
        <v>291</v>
      </c>
      <c r="BF21" s="19">
        <f t="shared" si="77"/>
        <v>0</v>
      </c>
      <c r="BG21" s="19">
        <f t="shared" si="78"/>
        <v>0</v>
      </c>
      <c r="BH21" s="19">
        <f t="shared" si="79"/>
        <v>0</v>
      </c>
      <c r="BI21" s="19">
        <v>0</v>
      </c>
      <c r="BJ21" s="19">
        <v>95</v>
      </c>
      <c r="BK21" s="19">
        <f t="shared" si="6"/>
        <v>1386</v>
      </c>
      <c r="BL21" s="19">
        <v>0</v>
      </c>
      <c r="BM21" s="19">
        <v>0</v>
      </c>
      <c r="BN21" s="19">
        <f t="shared" si="7"/>
        <v>0</v>
      </c>
      <c r="BO21" s="19">
        <f t="shared" si="8"/>
        <v>1386</v>
      </c>
      <c r="BP21" s="19">
        <v>0</v>
      </c>
      <c r="BQ21" s="19">
        <v>0</v>
      </c>
      <c r="BR21" s="22">
        <f t="shared" si="9"/>
        <v>1386</v>
      </c>
      <c r="BS21" s="23">
        <f t="shared" si="10"/>
        <v>0</v>
      </c>
      <c r="BT21" s="24">
        <f t="shared" si="11"/>
        <v>0</v>
      </c>
      <c r="BU21" s="24">
        <f t="shared" si="12"/>
        <v>0</v>
      </c>
      <c r="BV21" s="24">
        <f t="shared" si="13"/>
        <v>0</v>
      </c>
      <c r="BW21" s="24">
        <f t="shared" si="14"/>
        <v>0</v>
      </c>
      <c r="BX21" s="24">
        <f t="shared" si="15"/>
        <v>0</v>
      </c>
      <c r="BY21" s="24">
        <f t="shared" si="16"/>
        <v>25</v>
      </c>
      <c r="BZ21" s="24">
        <f t="shared" si="17"/>
        <v>50</v>
      </c>
      <c r="CA21" s="24">
        <f t="shared" si="18"/>
        <v>0</v>
      </c>
      <c r="CB21" s="24">
        <f t="shared" si="19"/>
        <v>0</v>
      </c>
      <c r="CC21" s="24">
        <f t="shared" si="20"/>
        <v>0</v>
      </c>
      <c r="CD21" s="24">
        <f t="shared" si="21"/>
        <v>0</v>
      </c>
      <c r="CE21" s="24">
        <f t="shared" si="22"/>
        <v>0</v>
      </c>
      <c r="CF21" s="24">
        <f t="shared" si="23"/>
        <v>0</v>
      </c>
      <c r="CG21" s="24">
        <f t="shared" si="24"/>
        <v>0</v>
      </c>
      <c r="CH21" s="24">
        <f t="shared" si="25"/>
        <v>0</v>
      </c>
      <c r="CI21" s="24">
        <f t="shared" si="26"/>
        <v>0</v>
      </c>
      <c r="CJ21" s="24">
        <f t="shared" si="27"/>
        <v>0</v>
      </c>
      <c r="CK21" s="24">
        <f t="shared" si="28"/>
        <v>0</v>
      </c>
      <c r="CL21" s="24">
        <f t="shared" si="29"/>
        <v>0</v>
      </c>
      <c r="CM21" s="24">
        <f t="shared" si="30"/>
        <v>0</v>
      </c>
      <c r="CN21" s="24">
        <f t="shared" si="31"/>
        <v>0</v>
      </c>
      <c r="CO21" s="24">
        <f t="shared" si="32"/>
        <v>0</v>
      </c>
      <c r="CP21" s="24">
        <f t="shared" si="33"/>
        <v>0</v>
      </c>
      <c r="CQ21" s="24">
        <f t="shared" si="34"/>
        <v>0</v>
      </c>
      <c r="CR21" s="24">
        <f t="shared" si="35"/>
        <v>0</v>
      </c>
      <c r="CS21" s="24">
        <f t="shared" si="36"/>
        <v>0</v>
      </c>
      <c r="CT21" s="24">
        <f t="shared" si="37"/>
        <v>0</v>
      </c>
      <c r="CU21" s="24">
        <f t="shared" si="38"/>
        <v>0</v>
      </c>
      <c r="CV21" s="24">
        <f t="shared" si="39"/>
        <v>0</v>
      </c>
      <c r="CW21" s="24">
        <f t="shared" si="40"/>
        <v>0</v>
      </c>
      <c r="CX21" s="24">
        <f t="shared" si="41"/>
        <v>0</v>
      </c>
      <c r="CY21" s="24">
        <f t="shared" si="42"/>
        <v>0</v>
      </c>
      <c r="CZ21" s="24">
        <f t="shared" si="43"/>
        <v>0</v>
      </c>
      <c r="DA21" s="24">
        <f t="shared" si="44"/>
        <v>0</v>
      </c>
      <c r="DB21" s="24">
        <f t="shared" si="45"/>
        <v>0</v>
      </c>
      <c r="DC21" s="24">
        <f t="shared" si="46"/>
        <v>0</v>
      </c>
      <c r="DD21" s="24">
        <f t="shared" si="47"/>
        <v>0</v>
      </c>
      <c r="DE21" s="24">
        <f t="shared" si="48"/>
        <v>0</v>
      </c>
      <c r="DF21" s="24">
        <f t="shared" si="49"/>
        <v>0</v>
      </c>
      <c r="DG21" s="24">
        <f t="shared" si="50"/>
        <v>0</v>
      </c>
      <c r="DH21" s="24">
        <f t="shared" si="51"/>
        <v>0</v>
      </c>
      <c r="DI21" s="24">
        <f t="shared" si="52"/>
        <v>0</v>
      </c>
      <c r="DJ21" s="24">
        <f t="shared" si="53"/>
        <v>0</v>
      </c>
      <c r="DK21" s="24">
        <f t="shared" si="54"/>
        <v>0</v>
      </c>
      <c r="DL21" s="24">
        <f t="shared" si="55"/>
        <v>0</v>
      </c>
      <c r="DM21" s="24">
        <f t="shared" si="56"/>
        <v>0</v>
      </c>
      <c r="DN21" s="24">
        <f t="shared" si="57"/>
        <v>0</v>
      </c>
      <c r="DO21" s="24">
        <f t="shared" si="58"/>
        <v>0</v>
      </c>
      <c r="DP21" s="24">
        <f t="shared" si="59"/>
        <v>0</v>
      </c>
      <c r="DQ21" s="24">
        <f t="shared" si="60"/>
        <v>0</v>
      </c>
      <c r="DR21" s="24">
        <f t="shared" si="61"/>
        <v>0</v>
      </c>
      <c r="DS21" s="24">
        <f t="shared" si="62"/>
        <v>0</v>
      </c>
      <c r="DT21" s="24">
        <f t="shared" si="63"/>
        <v>0</v>
      </c>
      <c r="DU21" s="24">
        <f t="shared" si="64"/>
        <v>0</v>
      </c>
      <c r="DV21" s="24">
        <f t="shared" si="65"/>
        <v>0</v>
      </c>
      <c r="DW21" s="24">
        <f t="shared" si="66"/>
        <v>0</v>
      </c>
      <c r="DX21" s="24">
        <f t="shared" si="67"/>
        <v>0</v>
      </c>
      <c r="DY21" s="24">
        <f t="shared" si="68"/>
        <v>0</v>
      </c>
      <c r="DZ21" s="24">
        <f t="shared" si="69"/>
        <v>0</v>
      </c>
      <c r="EA21" s="24">
        <f t="shared" si="70"/>
        <v>0</v>
      </c>
      <c r="EB21" s="24">
        <f t="shared" si="71"/>
        <v>0</v>
      </c>
      <c r="EC21" s="24">
        <f t="shared" si="72"/>
        <v>0</v>
      </c>
      <c r="ED21" s="24">
        <f t="shared" si="73"/>
        <v>0</v>
      </c>
      <c r="EE21" s="25"/>
    </row>
    <row r="22" spans="1:135" s="2" customFormat="1" ht="18" customHeight="1" x14ac:dyDescent="0.25">
      <c r="A22" s="15">
        <v>19</v>
      </c>
      <c r="B22" s="108" t="s">
        <v>199</v>
      </c>
      <c r="C22" s="26" t="s">
        <v>200</v>
      </c>
      <c r="D22" s="90" t="s">
        <v>107</v>
      </c>
      <c r="E22" s="18">
        <v>45254</v>
      </c>
      <c r="F22" s="19">
        <v>11</v>
      </c>
      <c r="G22" s="19">
        <v>11</v>
      </c>
      <c r="H22" s="19">
        <v>11</v>
      </c>
      <c r="I22" s="19">
        <v>11</v>
      </c>
      <c r="J22" s="19" t="s">
        <v>603</v>
      </c>
      <c r="K22" s="19">
        <v>11</v>
      </c>
      <c r="L22" s="19" t="s">
        <v>15</v>
      </c>
      <c r="M22" s="19">
        <v>11</v>
      </c>
      <c r="N22" s="19">
        <v>11</v>
      </c>
      <c r="O22" s="19">
        <v>11</v>
      </c>
      <c r="P22" s="19">
        <v>11</v>
      </c>
      <c r="Q22" s="19">
        <v>11</v>
      </c>
      <c r="R22" s="19">
        <v>11</v>
      </c>
      <c r="S22" s="19" t="s">
        <v>15</v>
      </c>
      <c r="T22" s="19">
        <v>11</v>
      </c>
      <c r="U22" s="19">
        <v>11</v>
      </c>
      <c r="V22" s="19">
        <v>11</v>
      </c>
      <c r="W22" s="19">
        <v>11</v>
      </c>
      <c r="X22" s="19">
        <v>11</v>
      </c>
      <c r="Y22" s="19">
        <v>11</v>
      </c>
      <c r="Z22" s="19" t="s">
        <v>15</v>
      </c>
      <c r="AA22" s="19">
        <v>11</v>
      </c>
      <c r="AB22" s="19">
        <v>11</v>
      </c>
      <c r="AC22" s="19">
        <v>11</v>
      </c>
      <c r="AD22" s="19">
        <v>11</v>
      </c>
      <c r="AE22" s="19">
        <v>11</v>
      </c>
      <c r="AF22" s="19">
        <v>11</v>
      </c>
      <c r="AG22" s="19" t="s">
        <v>15</v>
      </c>
      <c r="AH22" s="19">
        <v>11</v>
      </c>
      <c r="AI22" s="19">
        <v>11</v>
      </c>
      <c r="AJ22" s="19">
        <v>0</v>
      </c>
      <c r="AK22" s="19">
        <v>0</v>
      </c>
      <c r="AL22" s="19">
        <v>11</v>
      </c>
      <c r="AM22" s="19">
        <v>11</v>
      </c>
      <c r="AN22" s="19">
        <v>0</v>
      </c>
      <c r="AO22" s="19">
        <v>11</v>
      </c>
      <c r="AP22" s="19">
        <v>0</v>
      </c>
      <c r="AQ22" s="19">
        <v>0</v>
      </c>
      <c r="AR22" s="19">
        <v>0</v>
      </c>
      <c r="AS22" s="19">
        <v>0</v>
      </c>
      <c r="AT22" s="19">
        <f t="shared" si="0"/>
        <v>75</v>
      </c>
      <c r="AU22" s="19">
        <f t="shared" si="1"/>
        <v>22</v>
      </c>
      <c r="AV22" s="19">
        <f t="shared" si="2"/>
        <v>11</v>
      </c>
      <c r="AW22" s="16">
        <f t="shared" si="3"/>
        <v>30</v>
      </c>
      <c r="AX22" s="16">
        <f t="shared" si="4"/>
        <v>0</v>
      </c>
      <c r="AY22" s="38">
        <f t="shared" si="5"/>
        <v>0</v>
      </c>
      <c r="AZ22" s="36">
        <v>900</v>
      </c>
      <c r="BA22" s="20">
        <v>100</v>
      </c>
      <c r="BB22" s="21">
        <v>0</v>
      </c>
      <c r="BC22" s="19">
        <f t="shared" si="74"/>
        <v>900</v>
      </c>
      <c r="BD22" s="19">
        <f t="shared" si="75"/>
        <v>100</v>
      </c>
      <c r="BE22" s="19">
        <f t="shared" si="76"/>
        <v>537</v>
      </c>
      <c r="BF22" s="19">
        <f t="shared" si="77"/>
        <v>0</v>
      </c>
      <c r="BG22" s="19">
        <f t="shared" si="78"/>
        <v>0</v>
      </c>
      <c r="BH22" s="19">
        <f t="shared" si="79"/>
        <v>0</v>
      </c>
      <c r="BI22" s="19">
        <v>0</v>
      </c>
      <c r="BJ22" s="19">
        <v>95</v>
      </c>
      <c r="BK22" s="19">
        <f t="shared" si="6"/>
        <v>1632</v>
      </c>
      <c r="BL22" s="19">
        <v>0</v>
      </c>
      <c r="BM22" s="19">
        <v>0</v>
      </c>
      <c r="BN22" s="19">
        <f t="shared" si="7"/>
        <v>0</v>
      </c>
      <c r="BO22" s="19">
        <f t="shared" si="8"/>
        <v>1632</v>
      </c>
      <c r="BP22" s="19">
        <v>0</v>
      </c>
      <c r="BQ22" s="19">
        <v>0</v>
      </c>
      <c r="BR22" s="22">
        <f t="shared" si="9"/>
        <v>1632</v>
      </c>
      <c r="BS22" s="23">
        <f t="shared" si="10"/>
        <v>0</v>
      </c>
      <c r="BT22" s="24">
        <f t="shared" si="11"/>
        <v>0</v>
      </c>
      <c r="BU22" s="24">
        <f t="shared" si="12"/>
        <v>0</v>
      </c>
      <c r="BV22" s="24">
        <f t="shared" si="13"/>
        <v>0</v>
      </c>
      <c r="BW22" s="24">
        <f t="shared" si="14"/>
        <v>0</v>
      </c>
      <c r="BX22" s="24">
        <f t="shared" si="15"/>
        <v>0</v>
      </c>
      <c r="BY22" s="24">
        <f t="shared" si="16"/>
        <v>0</v>
      </c>
      <c r="BZ22" s="24">
        <f t="shared" si="17"/>
        <v>0</v>
      </c>
      <c r="CA22" s="24">
        <f t="shared" si="18"/>
        <v>0</v>
      </c>
      <c r="CB22" s="24">
        <f t="shared" si="19"/>
        <v>0</v>
      </c>
      <c r="CC22" s="24">
        <f t="shared" si="20"/>
        <v>25</v>
      </c>
      <c r="CD22" s="24">
        <f t="shared" si="21"/>
        <v>75</v>
      </c>
      <c r="CE22" s="24">
        <f t="shared" si="22"/>
        <v>0</v>
      </c>
      <c r="CF22" s="24">
        <f t="shared" si="23"/>
        <v>0</v>
      </c>
      <c r="CG22" s="24">
        <f t="shared" si="24"/>
        <v>0</v>
      </c>
      <c r="CH22" s="24">
        <f t="shared" si="25"/>
        <v>0</v>
      </c>
      <c r="CI22" s="24">
        <f t="shared" si="26"/>
        <v>0</v>
      </c>
      <c r="CJ22" s="24">
        <f t="shared" si="27"/>
        <v>0</v>
      </c>
      <c r="CK22" s="24">
        <f t="shared" si="28"/>
        <v>0</v>
      </c>
      <c r="CL22" s="24">
        <f t="shared" si="29"/>
        <v>0</v>
      </c>
      <c r="CM22" s="24">
        <f t="shared" si="30"/>
        <v>0</v>
      </c>
      <c r="CN22" s="24">
        <f t="shared" si="31"/>
        <v>0</v>
      </c>
      <c r="CO22" s="24">
        <f t="shared" si="32"/>
        <v>0</v>
      </c>
      <c r="CP22" s="24">
        <f t="shared" si="33"/>
        <v>0</v>
      </c>
      <c r="CQ22" s="24">
        <f t="shared" si="34"/>
        <v>0</v>
      </c>
      <c r="CR22" s="24">
        <f t="shared" si="35"/>
        <v>0</v>
      </c>
      <c r="CS22" s="24">
        <f t="shared" si="36"/>
        <v>0</v>
      </c>
      <c r="CT22" s="24">
        <f t="shared" si="37"/>
        <v>0</v>
      </c>
      <c r="CU22" s="24">
        <f t="shared" si="38"/>
        <v>0</v>
      </c>
      <c r="CV22" s="24">
        <f t="shared" si="39"/>
        <v>0</v>
      </c>
      <c r="CW22" s="24">
        <f t="shared" si="40"/>
        <v>0</v>
      </c>
      <c r="CX22" s="24">
        <f t="shared" si="41"/>
        <v>0</v>
      </c>
      <c r="CY22" s="24">
        <f t="shared" si="42"/>
        <v>0</v>
      </c>
      <c r="CZ22" s="24">
        <f t="shared" si="43"/>
        <v>0</v>
      </c>
      <c r="DA22" s="24">
        <f t="shared" si="44"/>
        <v>0</v>
      </c>
      <c r="DB22" s="24">
        <f t="shared" si="45"/>
        <v>0</v>
      </c>
      <c r="DC22" s="24">
        <f t="shared" si="46"/>
        <v>0</v>
      </c>
      <c r="DD22" s="24">
        <f t="shared" si="47"/>
        <v>0</v>
      </c>
      <c r="DE22" s="24">
        <f t="shared" si="48"/>
        <v>0</v>
      </c>
      <c r="DF22" s="24">
        <f t="shared" si="49"/>
        <v>0</v>
      </c>
      <c r="DG22" s="24">
        <f t="shared" si="50"/>
        <v>0</v>
      </c>
      <c r="DH22" s="24">
        <f t="shared" si="51"/>
        <v>0</v>
      </c>
      <c r="DI22" s="24">
        <f t="shared" si="52"/>
        <v>0</v>
      </c>
      <c r="DJ22" s="24">
        <f t="shared" si="53"/>
        <v>0</v>
      </c>
      <c r="DK22" s="24">
        <f t="shared" si="54"/>
        <v>0</v>
      </c>
      <c r="DL22" s="24">
        <f t="shared" si="55"/>
        <v>0</v>
      </c>
      <c r="DM22" s="24">
        <f t="shared" si="56"/>
        <v>0</v>
      </c>
      <c r="DN22" s="24">
        <f t="shared" si="57"/>
        <v>0</v>
      </c>
      <c r="DO22" s="24">
        <f t="shared" si="58"/>
        <v>0</v>
      </c>
      <c r="DP22" s="24">
        <f t="shared" si="59"/>
        <v>0</v>
      </c>
      <c r="DQ22" s="24">
        <f t="shared" si="60"/>
        <v>0</v>
      </c>
      <c r="DR22" s="24">
        <f t="shared" si="61"/>
        <v>0</v>
      </c>
      <c r="DS22" s="24">
        <f t="shared" si="62"/>
        <v>0</v>
      </c>
      <c r="DT22" s="24">
        <f t="shared" si="63"/>
        <v>0</v>
      </c>
      <c r="DU22" s="24">
        <f t="shared" si="64"/>
        <v>0</v>
      </c>
      <c r="DV22" s="24">
        <f t="shared" si="65"/>
        <v>0</v>
      </c>
      <c r="DW22" s="24">
        <f t="shared" si="66"/>
        <v>0</v>
      </c>
      <c r="DX22" s="24">
        <f t="shared" si="67"/>
        <v>0</v>
      </c>
      <c r="DY22" s="24">
        <f t="shared" si="68"/>
        <v>0</v>
      </c>
      <c r="DZ22" s="24">
        <f t="shared" si="69"/>
        <v>0</v>
      </c>
      <c r="EA22" s="24">
        <f t="shared" si="70"/>
        <v>0</v>
      </c>
      <c r="EB22" s="24">
        <f t="shared" si="71"/>
        <v>0</v>
      </c>
      <c r="EC22" s="24">
        <f t="shared" si="72"/>
        <v>0</v>
      </c>
      <c r="ED22" s="24">
        <f t="shared" si="73"/>
        <v>0</v>
      </c>
      <c r="EE22" s="25"/>
    </row>
    <row r="23" spans="1:135" s="2" customFormat="1" ht="18" customHeight="1" x14ac:dyDescent="0.25">
      <c r="A23" s="15">
        <v>20</v>
      </c>
      <c r="B23" s="108" t="s">
        <v>255</v>
      </c>
      <c r="C23" s="26" t="s">
        <v>256</v>
      </c>
      <c r="D23" s="90" t="s">
        <v>107</v>
      </c>
      <c r="E23" s="18">
        <v>45265</v>
      </c>
      <c r="F23" s="19">
        <v>11</v>
      </c>
      <c r="G23" s="19">
        <v>11</v>
      </c>
      <c r="H23" s="19">
        <v>11</v>
      </c>
      <c r="I23" s="19">
        <v>11</v>
      </c>
      <c r="J23" s="19" t="s">
        <v>603</v>
      </c>
      <c r="K23" s="19">
        <v>11</v>
      </c>
      <c r="L23" s="19" t="s">
        <v>15</v>
      </c>
      <c r="M23" s="19">
        <v>11</v>
      </c>
      <c r="N23" s="19">
        <v>11</v>
      </c>
      <c r="O23" s="19">
        <v>11</v>
      </c>
      <c r="P23" s="19">
        <v>11</v>
      </c>
      <c r="Q23" s="19">
        <v>11</v>
      </c>
      <c r="R23" s="19">
        <v>11</v>
      </c>
      <c r="S23" s="19" t="s">
        <v>15</v>
      </c>
      <c r="T23" s="19">
        <v>11</v>
      </c>
      <c r="U23" s="19">
        <v>11</v>
      </c>
      <c r="V23" s="19">
        <v>11</v>
      </c>
      <c r="W23" s="19">
        <v>11</v>
      </c>
      <c r="X23" s="19">
        <v>11</v>
      </c>
      <c r="Y23" s="19">
        <v>11</v>
      </c>
      <c r="Z23" s="19" t="s">
        <v>15</v>
      </c>
      <c r="AA23" s="19">
        <v>11</v>
      </c>
      <c r="AB23" s="19">
        <v>11</v>
      </c>
      <c r="AC23" s="19">
        <v>11</v>
      </c>
      <c r="AD23" s="19">
        <v>11</v>
      </c>
      <c r="AE23" s="19">
        <v>11</v>
      </c>
      <c r="AF23" s="19">
        <v>11</v>
      </c>
      <c r="AG23" s="19" t="s">
        <v>15</v>
      </c>
      <c r="AH23" s="19">
        <v>11</v>
      </c>
      <c r="AI23" s="19">
        <v>11</v>
      </c>
      <c r="AJ23" s="19">
        <v>0</v>
      </c>
      <c r="AK23" s="19">
        <v>0</v>
      </c>
      <c r="AL23" s="19">
        <v>11</v>
      </c>
      <c r="AM23" s="19">
        <v>0</v>
      </c>
      <c r="AN23" s="19">
        <v>0</v>
      </c>
      <c r="AO23" s="19">
        <v>11</v>
      </c>
      <c r="AP23" s="19">
        <v>0</v>
      </c>
      <c r="AQ23" s="19">
        <v>0</v>
      </c>
      <c r="AR23" s="19">
        <v>0</v>
      </c>
      <c r="AS23" s="19">
        <v>0</v>
      </c>
      <c r="AT23" s="19">
        <f t="shared" si="0"/>
        <v>75</v>
      </c>
      <c r="AU23" s="19">
        <f t="shared" si="1"/>
        <v>11</v>
      </c>
      <c r="AV23" s="19">
        <f t="shared" si="2"/>
        <v>11</v>
      </c>
      <c r="AW23" s="16">
        <f t="shared" si="3"/>
        <v>30</v>
      </c>
      <c r="AX23" s="16">
        <f t="shared" si="4"/>
        <v>0</v>
      </c>
      <c r="AY23" s="38">
        <f t="shared" si="5"/>
        <v>0</v>
      </c>
      <c r="AZ23" s="36">
        <v>900</v>
      </c>
      <c r="BA23" s="20">
        <v>100</v>
      </c>
      <c r="BB23" s="21">
        <v>0</v>
      </c>
      <c r="BC23" s="19">
        <f t="shared" si="74"/>
        <v>900</v>
      </c>
      <c r="BD23" s="19">
        <f t="shared" si="75"/>
        <v>100</v>
      </c>
      <c r="BE23" s="19">
        <f t="shared" si="76"/>
        <v>475</v>
      </c>
      <c r="BF23" s="19">
        <f t="shared" si="77"/>
        <v>0</v>
      </c>
      <c r="BG23" s="19">
        <f t="shared" si="78"/>
        <v>0</v>
      </c>
      <c r="BH23" s="19">
        <f t="shared" si="79"/>
        <v>0</v>
      </c>
      <c r="BI23" s="19">
        <v>0</v>
      </c>
      <c r="BJ23" s="19">
        <v>95</v>
      </c>
      <c r="BK23" s="19">
        <f t="shared" si="6"/>
        <v>1570</v>
      </c>
      <c r="BL23" s="19">
        <v>0</v>
      </c>
      <c r="BM23" s="19">
        <v>0</v>
      </c>
      <c r="BN23" s="19">
        <f t="shared" si="7"/>
        <v>0</v>
      </c>
      <c r="BO23" s="19">
        <f t="shared" si="8"/>
        <v>1570</v>
      </c>
      <c r="BP23" s="19">
        <v>0</v>
      </c>
      <c r="BQ23" s="19">
        <v>0</v>
      </c>
      <c r="BR23" s="22">
        <f t="shared" si="9"/>
        <v>1570</v>
      </c>
      <c r="BS23" s="23">
        <f t="shared" si="10"/>
        <v>0</v>
      </c>
      <c r="BT23" s="24">
        <f t="shared" si="11"/>
        <v>0</v>
      </c>
      <c r="BU23" s="24">
        <f t="shared" si="12"/>
        <v>0</v>
      </c>
      <c r="BV23" s="24">
        <f t="shared" si="13"/>
        <v>0</v>
      </c>
      <c r="BW23" s="24">
        <f t="shared" si="14"/>
        <v>0</v>
      </c>
      <c r="BX23" s="24">
        <f t="shared" si="15"/>
        <v>0</v>
      </c>
      <c r="BY23" s="24">
        <f t="shared" si="16"/>
        <v>0</v>
      </c>
      <c r="BZ23" s="24">
        <f t="shared" si="17"/>
        <v>0</v>
      </c>
      <c r="CA23" s="24">
        <f t="shared" si="18"/>
        <v>0</v>
      </c>
      <c r="CB23" s="24">
        <f t="shared" si="19"/>
        <v>0</v>
      </c>
      <c r="CC23" s="24">
        <f t="shared" si="20"/>
        <v>25</v>
      </c>
      <c r="CD23" s="24">
        <f t="shared" si="21"/>
        <v>75</v>
      </c>
      <c r="CE23" s="24">
        <f t="shared" si="22"/>
        <v>0</v>
      </c>
      <c r="CF23" s="24">
        <f t="shared" si="23"/>
        <v>0</v>
      </c>
      <c r="CG23" s="24">
        <f t="shared" si="24"/>
        <v>0</v>
      </c>
      <c r="CH23" s="24">
        <f t="shared" si="25"/>
        <v>0</v>
      </c>
      <c r="CI23" s="24">
        <f t="shared" si="26"/>
        <v>0</v>
      </c>
      <c r="CJ23" s="24">
        <f t="shared" si="27"/>
        <v>0</v>
      </c>
      <c r="CK23" s="24">
        <f t="shared" si="28"/>
        <v>0</v>
      </c>
      <c r="CL23" s="24">
        <f t="shared" si="29"/>
        <v>0</v>
      </c>
      <c r="CM23" s="24">
        <f t="shared" si="30"/>
        <v>0</v>
      </c>
      <c r="CN23" s="24">
        <f t="shared" si="31"/>
        <v>0</v>
      </c>
      <c r="CO23" s="24">
        <f t="shared" si="32"/>
        <v>0</v>
      </c>
      <c r="CP23" s="24">
        <f t="shared" si="33"/>
        <v>0</v>
      </c>
      <c r="CQ23" s="24">
        <f t="shared" si="34"/>
        <v>0</v>
      </c>
      <c r="CR23" s="24">
        <f t="shared" si="35"/>
        <v>0</v>
      </c>
      <c r="CS23" s="24">
        <f t="shared" si="36"/>
        <v>0</v>
      </c>
      <c r="CT23" s="24">
        <f t="shared" si="37"/>
        <v>0</v>
      </c>
      <c r="CU23" s="24">
        <f t="shared" si="38"/>
        <v>0</v>
      </c>
      <c r="CV23" s="24">
        <f t="shared" si="39"/>
        <v>0</v>
      </c>
      <c r="CW23" s="24">
        <f t="shared" si="40"/>
        <v>0</v>
      </c>
      <c r="CX23" s="24">
        <f t="shared" si="41"/>
        <v>0</v>
      </c>
      <c r="CY23" s="24">
        <f t="shared" si="42"/>
        <v>0</v>
      </c>
      <c r="CZ23" s="24">
        <f t="shared" si="43"/>
        <v>0</v>
      </c>
      <c r="DA23" s="24">
        <f t="shared" si="44"/>
        <v>0</v>
      </c>
      <c r="DB23" s="24">
        <f t="shared" si="45"/>
        <v>0</v>
      </c>
      <c r="DC23" s="24">
        <f t="shared" si="46"/>
        <v>0</v>
      </c>
      <c r="DD23" s="24">
        <f t="shared" si="47"/>
        <v>0</v>
      </c>
      <c r="DE23" s="24">
        <f t="shared" si="48"/>
        <v>0</v>
      </c>
      <c r="DF23" s="24">
        <f t="shared" si="49"/>
        <v>0</v>
      </c>
      <c r="DG23" s="24">
        <f t="shared" si="50"/>
        <v>0</v>
      </c>
      <c r="DH23" s="24">
        <f t="shared" si="51"/>
        <v>0</v>
      </c>
      <c r="DI23" s="24">
        <f t="shared" si="52"/>
        <v>0</v>
      </c>
      <c r="DJ23" s="24">
        <f t="shared" si="53"/>
        <v>0</v>
      </c>
      <c r="DK23" s="24">
        <f t="shared" si="54"/>
        <v>0</v>
      </c>
      <c r="DL23" s="24">
        <f t="shared" si="55"/>
        <v>0</v>
      </c>
      <c r="DM23" s="24">
        <f t="shared" si="56"/>
        <v>0</v>
      </c>
      <c r="DN23" s="24">
        <f t="shared" si="57"/>
        <v>0</v>
      </c>
      <c r="DO23" s="24">
        <f t="shared" si="58"/>
        <v>0</v>
      </c>
      <c r="DP23" s="24">
        <f t="shared" si="59"/>
        <v>0</v>
      </c>
      <c r="DQ23" s="24">
        <f t="shared" si="60"/>
        <v>0</v>
      </c>
      <c r="DR23" s="24">
        <f t="shared" si="61"/>
        <v>0</v>
      </c>
      <c r="DS23" s="24">
        <f t="shared" si="62"/>
        <v>0</v>
      </c>
      <c r="DT23" s="24">
        <f t="shared" si="63"/>
        <v>0</v>
      </c>
      <c r="DU23" s="24">
        <f t="shared" si="64"/>
        <v>0</v>
      </c>
      <c r="DV23" s="24">
        <f t="shared" si="65"/>
        <v>0</v>
      </c>
      <c r="DW23" s="24">
        <f t="shared" si="66"/>
        <v>0</v>
      </c>
      <c r="DX23" s="24">
        <f t="shared" si="67"/>
        <v>0</v>
      </c>
      <c r="DY23" s="24">
        <f t="shared" si="68"/>
        <v>0</v>
      </c>
      <c r="DZ23" s="24">
        <f t="shared" si="69"/>
        <v>0</v>
      </c>
      <c r="EA23" s="24">
        <f t="shared" si="70"/>
        <v>0</v>
      </c>
      <c r="EB23" s="24">
        <f t="shared" si="71"/>
        <v>0</v>
      </c>
      <c r="EC23" s="24">
        <f t="shared" si="72"/>
        <v>0</v>
      </c>
      <c r="ED23" s="24">
        <f t="shared" si="73"/>
        <v>0</v>
      </c>
      <c r="EE23" s="25"/>
    </row>
    <row r="24" spans="1:135" s="2" customFormat="1" ht="18" customHeight="1" x14ac:dyDescent="0.25">
      <c r="A24" s="15">
        <v>21</v>
      </c>
      <c r="B24" s="108" t="s">
        <v>258</v>
      </c>
      <c r="C24" s="26" t="s">
        <v>275</v>
      </c>
      <c r="D24" s="90" t="s">
        <v>167</v>
      </c>
      <c r="E24" s="18">
        <v>45304</v>
      </c>
      <c r="F24" s="19">
        <v>10</v>
      </c>
      <c r="G24" s="19">
        <v>10</v>
      </c>
      <c r="H24" s="19">
        <v>10</v>
      </c>
      <c r="I24" s="19">
        <v>10</v>
      </c>
      <c r="J24" s="19" t="s">
        <v>603</v>
      </c>
      <c r="K24" s="19">
        <v>10</v>
      </c>
      <c r="L24" s="19" t="s">
        <v>15</v>
      </c>
      <c r="M24" s="19">
        <v>10</v>
      </c>
      <c r="N24" s="19">
        <v>10</v>
      </c>
      <c r="O24" s="19">
        <v>10</v>
      </c>
      <c r="P24" s="19">
        <v>10</v>
      </c>
      <c r="Q24" s="19">
        <v>10</v>
      </c>
      <c r="R24" s="19">
        <v>10</v>
      </c>
      <c r="S24" s="19" t="s">
        <v>15</v>
      </c>
      <c r="T24" s="19">
        <v>10</v>
      </c>
      <c r="U24" s="19">
        <v>10</v>
      </c>
      <c r="V24" s="19">
        <v>10</v>
      </c>
      <c r="W24" s="19">
        <v>10</v>
      </c>
      <c r="X24" s="19">
        <v>10</v>
      </c>
      <c r="Y24" s="19">
        <v>10</v>
      </c>
      <c r="Z24" s="19" t="s">
        <v>15</v>
      </c>
      <c r="AA24" s="19">
        <v>10</v>
      </c>
      <c r="AB24" s="19">
        <v>10</v>
      </c>
      <c r="AC24" s="19">
        <v>10</v>
      </c>
      <c r="AD24" s="19">
        <v>10</v>
      </c>
      <c r="AE24" s="19">
        <v>10</v>
      </c>
      <c r="AF24" s="19">
        <v>10</v>
      </c>
      <c r="AG24" s="19" t="s">
        <v>15</v>
      </c>
      <c r="AH24" s="19">
        <v>10</v>
      </c>
      <c r="AI24" s="19">
        <v>10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f t="shared" si="0"/>
        <v>50</v>
      </c>
      <c r="AU24" s="19">
        <f t="shared" si="1"/>
        <v>0</v>
      </c>
      <c r="AV24" s="19">
        <f t="shared" si="2"/>
        <v>0</v>
      </c>
      <c r="AW24" s="16">
        <f t="shared" si="3"/>
        <v>30</v>
      </c>
      <c r="AX24" s="16">
        <f t="shared" si="4"/>
        <v>0</v>
      </c>
      <c r="AY24" s="38">
        <f t="shared" si="5"/>
        <v>0</v>
      </c>
      <c r="AZ24" s="36">
        <v>1000</v>
      </c>
      <c r="BA24" s="20">
        <v>100</v>
      </c>
      <c r="BB24" s="21">
        <v>0</v>
      </c>
      <c r="BC24" s="19">
        <f t="shared" si="74"/>
        <v>1000</v>
      </c>
      <c r="BD24" s="19">
        <f t="shared" si="75"/>
        <v>100</v>
      </c>
      <c r="BE24" s="19">
        <f t="shared" si="76"/>
        <v>260</v>
      </c>
      <c r="BF24" s="19">
        <f t="shared" si="77"/>
        <v>0</v>
      </c>
      <c r="BG24" s="19">
        <f t="shared" si="78"/>
        <v>0</v>
      </c>
      <c r="BH24" s="19">
        <f t="shared" si="79"/>
        <v>0</v>
      </c>
      <c r="BI24" s="19">
        <v>0</v>
      </c>
      <c r="BJ24" s="19">
        <v>95</v>
      </c>
      <c r="BK24" s="19">
        <f t="shared" si="6"/>
        <v>1455</v>
      </c>
      <c r="BL24" s="19">
        <v>0</v>
      </c>
      <c r="BM24" s="19">
        <v>0</v>
      </c>
      <c r="BN24" s="19">
        <f t="shared" si="7"/>
        <v>0</v>
      </c>
      <c r="BO24" s="19">
        <f t="shared" si="8"/>
        <v>1455</v>
      </c>
      <c r="BP24" s="19">
        <v>0</v>
      </c>
      <c r="BQ24" s="19">
        <v>0</v>
      </c>
      <c r="BR24" s="22">
        <f t="shared" si="9"/>
        <v>1455</v>
      </c>
      <c r="BS24" s="23">
        <f t="shared" si="10"/>
        <v>0</v>
      </c>
      <c r="BT24" s="24">
        <f t="shared" si="11"/>
        <v>0</v>
      </c>
      <c r="BU24" s="24">
        <f t="shared" si="12"/>
        <v>0</v>
      </c>
      <c r="BV24" s="24">
        <f t="shared" si="13"/>
        <v>0</v>
      </c>
      <c r="BW24" s="24">
        <f t="shared" si="14"/>
        <v>0</v>
      </c>
      <c r="BX24" s="24">
        <f t="shared" si="15"/>
        <v>0</v>
      </c>
      <c r="BY24" s="24">
        <f t="shared" si="16"/>
        <v>25</v>
      </c>
      <c r="BZ24" s="24">
        <f t="shared" si="17"/>
        <v>50</v>
      </c>
      <c r="CA24" s="24">
        <f t="shared" si="18"/>
        <v>0</v>
      </c>
      <c r="CB24" s="24">
        <f t="shared" si="19"/>
        <v>0</v>
      </c>
      <c r="CC24" s="24">
        <f t="shared" si="20"/>
        <v>0</v>
      </c>
      <c r="CD24" s="24">
        <f t="shared" si="21"/>
        <v>0</v>
      </c>
      <c r="CE24" s="24">
        <f t="shared" si="22"/>
        <v>0</v>
      </c>
      <c r="CF24" s="24">
        <f t="shared" si="23"/>
        <v>0</v>
      </c>
      <c r="CG24" s="24">
        <f t="shared" si="24"/>
        <v>0</v>
      </c>
      <c r="CH24" s="24">
        <f t="shared" si="25"/>
        <v>0</v>
      </c>
      <c r="CI24" s="24">
        <f t="shared" si="26"/>
        <v>0</v>
      </c>
      <c r="CJ24" s="24">
        <f t="shared" si="27"/>
        <v>0</v>
      </c>
      <c r="CK24" s="24">
        <f t="shared" si="28"/>
        <v>0</v>
      </c>
      <c r="CL24" s="24">
        <f t="shared" si="29"/>
        <v>0</v>
      </c>
      <c r="CM24" s="24">
        <f t="shared" si="30"/>
        <v>0</v>
      </c>
      <c r="CN24" s="24">
        <f t="shared" si="31"/>
        <v>0</v>
      </c>
      <c r="CO24" s="24">
        <f t="shared" si="32"/>
        <v>0</v>
      </c>
      <c r="CP24" s="24">
        <f t="shared" si="33"/>
        <v>0</v>
      </c>
      <c r="CQ24" s="24">
        <f t="shared" si="34"/>
        <v>0</v>
      </c>
      <c r="CR24" s="24">
        <f t="shared" si="35"/>
        <v>0</v>
      </c>
      <c r="CS24" s="24">
        <f t="shared" si="36"/>
        <v>0</v>
      </c>
      <c r="CT24" s="24">
        <f t="shared" si="37"/>
        <v>0</v>
      </c>
      <c r="CU24" s="24">
        <f t="shared" si="38"/>
        <v>0</v>
      </c>
      <c r="CV24" s="24">
        <f t="shared" si="39"/>
        <v>0</v>
      </c>
      <c r="CW24" s="24">
        <f t="shared" si="40"/>
        <v>0</v>
      </c>
      <c r="CX24" s="24">
        <f t="shared" si="41"/>
        <v>0</v>
      </c>
      <c r="CY24" s="24">
        <f t="shared" si="42"/>
        <v>0</v>
      </c>
      <c r="CZ24" s="24">
        <f t="shared" si="43"/>
        <v>0</v>
      </c>
      <c r="DA24" s="24">
        <f t="shared" si="44"/>
        <v>0</v>
      </c>
      <c r="DB24" s="24">
        <f t="shared" si="45"/>
        <v>0</v>
      </c>
      <c r="DC24" s="24">
        <f t="shared" si="46"/>
        <v>0</v>
      </c>
      <c r="DD24" s="24">
        <f t="shared" si="47"/>
        <v>0</v>
      </c>
      <c r="DE24" s="24">
        <f t="shared" si="48"/>
        <v>0</v>
      </c>
      <c r="DF24" s="24">
        <f t="shared" si="49"/>
        <v>0</v>
      </c>
      <c r="DG24" s="24">
        <f t="shared" si="50"/>
        <v>0</v>
      </c>
      <c r="DH24" s="24">
        <f t="shared" si="51"/>
        <v>0</v>
      </c>
      <c r="DI24" s="24">
        <f t="shared" si="52"/>
        <v>0</v>
      </c>
      <c r="DJ24" s="24">
        <f t="shared" si="53"/>
        <v>0</v>
      </c>
      <c r="DK24" s="24">
        <f t="shared" si="54"/>
        <v>0</v>
      </c>
      <c r="DL24" s="24">
        <f t="shared" si="55"/>
        <v>0</v>
      </c>
      <c r="DM24" s="24">
        <f t="shared" si="56"/>
        <v>0</v>
      </c>
      <c r="DN24" s="24">
        <f t="shared" si="57"/>
        <v>0</v>
      </c>
      <c r="DO24" s="24">
        <f t="shared" si="58"/>
        <v>0</v>
      </c>
      <c r="DP24" s="24">
        <f t="shared" si="59"/>
        <v>0</v>
      </c>
      <c r="DQ24" s="24">
        <f t="shared" si="60"/>
        <v>0</v>
      </c>
      <c r="DR24" s="24">
        <f t="shared" si="61"/>
        <v>0</v>
      </c>
      <c r="DS24" s="24">
        <f t="shared" si="62"/>
        <v>0</v>
      </c>
      <c r="DT24" s="24">
        <f t="shared" si="63"/>
        <v>0</v>
      </c>
      <c r="DU24" s="24">
        <f t="shared" si="64"/>
        <v>0</v>
      </c>
      <c r="DV24" s="24">
        <f t="shared" si="65"/>
        <v>0</v>
      </c>
      <c r="DW24" s="24">
        <f t="shared" si="66"/>
        <v>0</v>
      </c>
      <c r="DX24" s="24">
        <f t="shared" si="67"/>
        <v>0</v>
      </c>
      <c r="DY24" s="24">
        <f t="shared" si="68"/>
        <v>0</v>
      </c>
      <c r="DZ24" s="24">
        <f t="shared" si="69"/>
        <v>0</v>
      </c>
      <c r="EA24" s="24">
        <f t="shared" si="70"/>
        <v>0</v>
      </c>
      <c r="EB24" s="24">
        <f t="shared" si="71"/>
        <v>0</v>
      </c>
      <c r="EC24" s="24">
        <f t="shared" si="72"/>
        <v>0</v>
      </c>
      <c r="ED24" s="24">
        <f t="shared" si="73"/>
        <v>0</v>
      </c>
      <c r="EE24" s="25"/>
    </row>
    <row r="25" spans="1:135" s="2" customFormat="1" ht="18" customHeight="1" x14ac:dyDescent="0.25">
      <c r="A25" s="15">
        <v>22</v>
      </c>
      <c r="B25" s="108" t="s">
        <v>274</v>
      </c>
      <c r="C25" s="26" t="s">
        <v>276</v>
      </c>
      <c r="D25" s="90" t="s">
        <v>167</v>
      </c>
      <c r="E25" s="18">
        <v>45316</v>
      </c>
      <c r="F25" s="19">
        <v>10</v>
      </c>
      <c r="G25" s="19">
        <v>10</v>
      </c>
      <c r="H25" s="19">
        <v>10</v>
      </c>
      <c r="I25" s="19">
        <v>10</v>
      </c>
      <c r="J25" s="19" t="s">
        <v>603</v>
      </c>
      <c r="K25" s="19">
        <v>11</v>
      </c>
      <c r="L25" s="19" t="s">
        <v>15</v>
      </c>
      <c r="M25" s="19">
        <v>10</v>
      </c>
      <c r="N25" s="19">
        <v>10</v>
      </c>
      <c r="O25" s="19">
        <v>10</v>
      </c>
      <c r="P25" s="19">
        <v>10</v>
      </c>
      <c r="Q25" s="19">
        <v>11</v>
      </c>
      <c r="R25" s="19">
        <v>10</v>
      </c>
      <c r="S25" s="19" t="s">
        <v>15</v>
      </c>
      <c r="T25" s="19">
        <v>11</v>
      </c>
      <c r="U25" s="19">
        <v>10</v>
      </c>
      <c r="V25" s="19">
        <v>10</v>
      </c>
      <c r="W25" s="19">
        <v>11</v>
      </c>
      <c r="X25" s="19">
        <v>10</v>
      </c>
      <c r="Y25" s="19">
        <v>10</v>
      </c>
      <c r="Z25" s="19" t="s">
        <v>15</v>
      </c>
      <c r="AA25" s="19">
        <v>10</v>
      </c>
      <c r="AB25" s="19">
        <v>11</v>
      </c>
      <c r="AC25" s="19">
        <v>10</v>
      </c>
      <c r="AD25" s="19">
        <v>10</v>
      </c>
      <c r="AE25" s="19">
        <v>10</v>
      </c>
      <c r="AF25" s="19">
        <v>10</v>
      </c>
      <c r="AG25" s="19" t="s">
        <v>15</v>
      </c>
      <c r="AH25" s="19">
        <v>10</v>
      </c>
      <c r="AI25" s="19">
        <v>10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10</v>
      </c>
      <c r="AP25" s="19">
        <v>0</v>
      </c>
      <c r="AQ25" s="19">
        <v>0</v>
      </c>
      <c r="AR25" s="19">
        <v>0</v>
      </c>
      <c r="AS25" s="19">
        <v>0</v>
      </c>
      <c r="AT25" s="19">
        <f t="shared" si="0"/>
        <v>55</v>
      </c>
      <c r="AU25" s="19">
        <f t="shared" si="1"/>
        <v>0</v>
      </c>
      <c r="AV25" s="19">
        <f t="shared" si="2"/>
        <v>10</v>
      </c>
      <c r="AW25" s="16">
        <f t="shared" si="3"/>
        <v>30</v>
      </c>
      <c r="AX25" s="16">
        <f t="shared" si="4"/>
        <v>0</v>
      </c>
      <c r="AY25" s="38">
        <f t="shared" si="5"/>
        <v>0</v>
      </c>
      <c r="AZ25" s="36">
        <v>1000</v>
      </c>
      <c r="BA25" s="20">
        <v>100</v>
      </c>
      <c r="BB25" s="21">
        <v>0</v>
      </c>
      <c r="BC25" s="19">
        <f t="shared" si="74"/>
        <v>1000</v>
      </c>
      <c r="BD25" s="19">
        <f t="shared" si="75"/>
        <v>100</v>
      </c>
      <c r="BE25" s="19">
        <f t="shared" si="76"/>
        <v>349</v>
      </c>
      <c r="BF25" s="19">
        <f t="shared" si="77"/>
        <v>0</v>
      </c>
      <c r="BG25" s="19">
        <f t="shared" si="78"/>
        <v>0</v>
      </c>
      <c r="BH25" s="19">
        <f t="shared" si="79"/>
        <v>0</v>
      </c>
      <c r="BI25" s="19">
        <v>0</v>
      </c>
      <c r="BJ25" s="19">
        <v>95</v>
      </c>
      <c r="BK25" s="19">
        <f t="shared" si="6"/>
        <v>1544</v>
      </c>
      <c r="BL25" s="19">
        <v>0</v>
      </c>
      <c r="BM25" s="19">
        <v>0</v>
      </c>
      <c r="BN25" s="19">
        <f t="shared" si="7"/>
        <v>0</v>
      </c>
      <c r="BO25" s="19">
        <f t="shared" si="8"/>
        <v>1544</v>
      </c>
      <c r="BP25" s="19">
        <v>0</v>
      </c>
      <c r="BQ25" s="19">
        <v>0</v>
      </c>
      <c r="BR25" s="22">
        <f t="shared" si="9"/>
        <v>1544</v>
      </c>
      <c r="BS25" s="23">
        <f t="shared" si="10"/>
        <v>0</v>
      </c>
      <c r="BT25" s="24">
        <f t="shared" si="11"/>
        <v>0</v>
      </c>
      <c r="BU25" s="24">
        <f t="shared" si="12"/>
        <v>0</v>
      </c>
      <c r="BV25" s="24">
        <f t="shared" si="13"/>
        <v>0</v>
      </c>
      <c r="BW25" s="24">
        <f t="shared" si="14"/>
        <v>0</v>
      </c>
      <c r="BX25" s="24">
        <f t="shared" si="15"/>
        <v>0</v>
      </c>
      <c r="BY25" s="24">
        <f t="shared" si="16"/>
        <v>20</v>
      </c>
      <c r="BZ25" s="24">
        <f t="shared" si="17"/>
        <v>40</v>
      </c>
      <c r="CA25" s="24">
        <f t="shared" si="18"/>
        <v>0</v>
      </c>
      <c r="CB25" s="24">
        <f t="shared" si="19"/>
        <v>0</v>
      </c>
      <c r="CC25" s="24">
        <f t="shared" si="20"/>
        <v>5</v>
      </c>
      <c r="CD25" s="24">
        <f t="shared" si="21"/>
        <v>15</v>
      </c>
      <c r="CE25" s="24">
        <f t="shared" si="22"/>
        <v>0</v>
      </c>
      <c r="CF25" s="24">
        <f t="shared" si="23"/>
        <v>0</v>
      </c>
      <c r="CG25" s="24">
        <f t="shared" si="24"/>
        <v>0</v>
      </c>
      <c r="CH25" s="24">
        <f t="shared" si="25"/>
        <v>0</v>
      </c>
      <c r="CI25" s="24">
        <f t="shared" si="26"/>
        <v>0</v>
      </c>
      <c r="CJ25" s="24">
        <f t="shared" si="27"/>
        <v>0</v>
      </c>
      <c r="CK25" s="24">
        <f t="shared" si="28"/>
        <v>0</v>
      </c>
      <c r="CL25" s="24">
        <f t="shared" si="29"/>
        <v>0</v>
      </c>
      <c r="CM25" s="24">
        <f t="shared" si="30"/>
        <v>0</v>
      </c>
      <c r="CN25" s="24">
        <f t="shared" si="31"/>
        <v>0</v>
      </c>
      <c r="CO25" s="24">
        <f t="shared" si="32"/>
        <v>0</v>
      </c>
      <c r="CP25" s="24">
        <f t="shared" si="33"/>
        <v>0</v>
      </c>
      <c r="CQ25" s="24">
        <f t="shared" si="34"/>
        <v>0</v>
      </c>
      <c r="CR25" s="24">
        <f t="shared" si="35"/>
        <v>0</v>
      </c>
      <c r="CS25" s="24">
        <f t="shared" si="36"/>
        <v>0</v>
      </c>
      <c r="CT25" s="24">
        <f t="shared" si="37"/>
        <v>0</v>
      </c>
      <c r="CU25" s="24">
        <f t="shared" si="38"/>
        <v>0</v>
      </c>
      <c r="CV25" s="24">
        <f t="shared" si="39"/>
        <v>0</v>
      </c>
      <c r="CW25" s="24">
        <f t="shared" si="40"/>
        <v>0</v>
      </c>
      <c r="CX25" s="24">
        <f t="shared" si="41"/>
        <v>0</v>
      </c>
      <c r="CY25" s="24">
        <f t="shared" si="42"/>
        <v>0</v>
      </c>
      <c r="CZ25" s="24">
        <f t="shared" si="43"/>
        <v>0</v>
      </c>
      <c r="DA25" s="24">
        <f t="shared" si="44"/>
        <v>0</v>
      </c>
      <c r="DB25" s="24">
        <f t="shared" si="45"/>
        <v>0</v>
      </c>
      <c r="DC25" s="24">
        <f t="shared" si="46"/>
        <v>0</v>
      </c>
      <c r="DD25" s="24">
        <f t="shared" si="47"/>
        <v>0</v>
      </c>
      <c r="DE25" s="24">
        <f t="shared" si="48"/>
        <v>0</v>
      </c>
      <c r="DF25" s="24">
        <f t="shared" si="49"/>
        <v>0</v>
      </c>
      <c r="DG25" s="24">
        <f t="shared" si="50"/>
        <v>0</v>
      </c>
      <c r="DH25" s="24">
        <f t="shared" si="51"/>
        <v>0</v>
      </c>
      <c r="DI25" s="24">
        <f t="shared" si="52"/>
        <v>0</v>
      </c>
      <c r="DJ25" s="24">
        <f t="shared" si="53"/>
        <v>0</v>
      </c>
      <c r="DK25" s="24">
        <f t="shared" si="54"/>
        <v>0</v>
      </c>
      <c r="DL25" s="24">
        <f t="shared" si="55"/>
        <v>0</v>
      </c>
      <c r="DM25" s="24">
        <f t="shared" si="56"/>
        <v>0</v>
      </c>
      <c r="DN25" s="24">
        <f t="shared" si="57"/>
        <v>0</v>
      </c>
      <c r="DO25" s="24">
        <f t="shared" si="58"/>
        <v>0</v>
      </c>
      <c r="DP25" s="24">
        <f t="shared" si="59"/>
        <v>0</v>
      </c>
      <c r="DQ25" s="24">
        <f t="shared" si="60"/>
        <v>0</v>
      </c>
      <c r="DR25" s="24">
        <f t="shared" si="61"/>
        <v>0</v>
      </c>
      <c r="DS25" s="24">
        <f t="shared" si="62"/>
        <v>0</v>
      </c>
      <c r="DT25" s="24">
        <f t="shared" si="63"/>
        <v>0</v>
      </c>
      <c r="DU25" s="24">
        <f t="shared" si="64"/>
        <v>0</v>
      </c>
      <c r="DV25" s="24">
        <f t="shared" si="65"/>
        <v>0</v>
      </c>
      <c r="DW25" s="24">
        <f t="shared" si="66"/>
        <v>0</v>
      </c>
      <c r="DX25" s="24">
        <f t="shared" si="67"/>
        <v>0</v>
      </c>
      <c r="DY25" s="24">
        <f t="shared" si="68"/>
        <v>0</v>
      </c>
      <c r="DZ25" s="24">
        <f t="shared" si="69"/>
        <v>0</v>
      </c>
      <c r="EA25" s="24">
        <f t="shared" si="70"/>
        <v>0</v>
      </c>
      <c r="EB25" s="24">
        <f t="shared" si="71"/>
        <v>0</v>
      </c>
      <c r="EC25" s="24">
        <f t="shared" si="72"/>
        <v>0</v>
      </c>
      <c r="ED25" s="24">
        <f t="shared" si="73"/>
        <v>0</v>
      </c>
      <c r="EE25" s="25"/>
    </row>
    <row r="26" spans="1:135" s="2" customFormat="1" ht="18" customHeight="1" x14ac:dyDescent="0.25">
      <c r="A26" s="15">
        <v>23</v>
      </c>
      <c r="B26" s="108" t="s">
        <v>393</v>
      </c>
      <c r="C26" s="26" t="s">
        <v>346</v>
      </c>
      <c r="D26" s="16" t="s">
        <v>107</v>
      </c>
      <c r="E26" s="18">
        <v>45481</v>
      </c>
      <c r="F26" s="19">
        <v>10</v>
      </c>
      <c r="G26" s="19">
        <v>10</v>
      </c>
      <c r="H26" s="19">
        <v>10</v>
      </c>
      <c r="I26" s="19">
        <v>10</v>
      </c>
      <c r="J26" s="19" t="s">
        <v>603</v>
      </c>
      <c r="K26" s="19">
        <v>10</v>
      </c>
      <c r="L26" s="19" t="s">
        <v>15</v>
      </c>
      <c r="M26" s="19">
        <v>10</v>
      </c>
      <c r="N26" s="19">
        <v>10</v>
      </c>
      <c r="O26" s="19">
        <v>10</v>
      </c>
      <c r="P26" s="19">
        <v>10</v>
      </c>
      <c r="Q26" s="19">
        <v>10</v>
      </c>
      <c r="R26" s="19">
        <v>10</v>
      </c>
      <c r="S26" s="19" t="s">
        <v>15</v>
      </c>
      <c r="T26" s="19">
        <v>10</v>
      </c>
      <c r="U26" s="19">
        <v>10</v>
      </c>
      <c r="V26" s="19">
        <v>10</v>
      </c>
      <c r="W26" s="19">
        <v>10</v>
      </c>
      <c r="X26" s="19">
        <v>10</v>
      </c>
      <c r="Y26" s="19">
        <v>10</v>
      </c>
      <c r="Z26" s="19" t="s">
        <v>15</v>
      </c>
      <c r="AA26" s="19">
        <v>10</v>
      </c>
      <c r="AB26" s="19">
        <v>10</v>
      </c>
      <c r="AC26" s="19">
        <v>10</v>
      </c>
      <c r="AD26" s="19">
        <v>10</v>
      </c>
      <c r="AE26" s="19">
        <v>10</v>
      </c>
      <c r="AF26" s="19">
        <v>10</v>
      </c>
      <c r="AG26" s="19" t="s">
        <v>15</v>
      </c>
      <c r="AH26" s="19">
        <v>10</v>
      </c>
      <c r="AI26" s="19">
        <v>10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f t="shared" si="0"/>
        <v>50</v>
      </c>
      <c r="AU26" s="19">
        <f t="shared" si="1"/>
        <v>0</v>
      </c>
      <c r="AV26" s="19">
        <f t="shared" si="2"/>
        <v>0</v>
      </c>
      <c r="AW26" s="16">
        <f t="shared" si="3"/>
        <v>30</v>
      </c>
      <c r="AX26" s="16">
        <f t="shared" si="4"/>
        <v>0</v>
      </c>
      <c r="AY26" s="38">
        <f t="shared" si="5"/>
        <v>0</v>
      </c>
      <c r="AZ26" s="36">
        <v>1000</v>
      </c>
      <c r="BA26" s="20">
        <v>100</v>
      </c>
      <c r="BB26" s="21">
        <v>0</v>
      </c>
      <c r="BC26" s="19">
        <f t="shared" si="74"/>
        <v>1000</v>
      </c>
      <c r="BD26" s="19">
        <f t="shared" si="75"/>
        <v>100</v>
      </c>
      <c r="BE26" s="19">
        <f t="shared" si="76"/>
        <v>260</v>
      </c>
      <c r="BF26" s="19">
        <f t="shared" si="77"/>
        <v>0</v>
      </c>
      <c r="BG26" s="19">
        <f t="shared" si="78"/>
        <v>0</v>
      </c>
      <c r="BH26" s="19">
        <f t="shared" si="79"/>
        <v>0</v>
      </c>
      <c r="BI26" s="19">
        <v>0</v>
      </c>
      <c r="BJ26" s="19">
        <v>95</v>
      </c>
      <c r="BK26" s="19">
        <f t="shared" si="6"/>
        <v>1455</v>
      </c>
      <c r="BL26" s="19">
        <v>0</v>
      </c>
      <c r="BM26" s="19">
        <v>0</v>
      </c>
      <c r="BN26" s="19">
        <f t="shared" si="7"/>
        <v>0</v>
      </c>
      <c r="BO26" s="19">
        <f t="shared" si="8"/>
        <v>1455</v>
      </c>
      <c r="BP26" s="19">
        <v>0</v>
      </c>
      <c r="BQ26" s="19">
        <v>0</v>
      </c>
      <c r="BR26" s="22">
        <f t="shared" si="9"/>
        <v>1455</v>
      </c>
      <c r="BS26" s="23">
        <f t="shared" si="10"/>
        <v>0</v>
      </c>
      <c r="BT26" s="24">
        <f t="shared" si="11"/>
        <v>0</v>
      </c>
      <c r="BU26" s="24">
        <f t="shared" si="12"/>
        <v>0</v>
      </c>
      <c r="BV26" s="24">
        <f t="shared" si="13"/>
        <v>0</v>
      </c>
      <c r="BW26" s="24">
        <f t="shared" si="14"/>
        <v>0</v>
      </c>
      <c r="BX26" s="24">
        <f t="shared" si="15"/>
        <v>0</v>
      </c>
      <c r="BY26" s="24">
        <f t="shared" si="16"/>
        <v>25</v>
      </c>
      <c r="BZ26" s="24">
        <f t="shared" si="17"/>
        <v>50</v>
      </c>
      <c r="CA26" s="24">
        <f t="shared" si="18"/>
        <v>0</v>
      </c>
      <c r="CB26" s="24">
        <f t="shared" si="19"/>
        <v>0</v>
      </c>
      <c r="CC26" s="24">
        <f t="shared" si="20"/>
        <v>0</v>
      </c>
      <c r="CD26" s="24">
        <f t="shared" si="21"/>
        <v>0</v>
      </c>
      <c r="CE26" s="24">
        <f t="shared" si="22"/>
        <v>0</v>
      </c>
      <c r="CF26" s="24">
        <f t="shared" si="23"/>
        <v>0</v>
      </c>
      <c r="CG26" s="24">
        <f t="shared" si="24"/>
        <v>0</v>
      </c>
      <c r="CH26" s="24">
        <f t="shared" si="25"/>
        <v>0</v>
      </c>
      <c r="CI26" s="24">
        <f t="shared" si="26"/>
        <v>0</v>
      </c>
      <c r="CJ26" s="24">
        <f t="shared" si="27"/>
        <v>0</v>
      </c>
      <c r="CK26" s="24">
        <f t="shared" si="28"/>
        <v>0</v>
      </c>
      <c r="CL26" s="24">
        <f t="shared" si="29"/>
        <v>0</v>
      </c>
      <c r="CM26" s="24">
        <f t="shared" si="30"/>
        <v>0</v>
      </c>
      <c r="CN26" s="24">
        <f t="shared" si="31"/>
        <v>0</v>
      </c>
      <c r="CO26" s="24">
        <f t="shared" si="32"/>
        <v>0</v>
      </c>
      <c r="CP26" s="24">
        <f t="shared" si="33"/>
        <v>0</v>
      </c>
      <c r="CQ26" s="24">
        <f t="shared" si="34"/>
        <v>0</v>
      </c>
      <c r="CR26" s="24">
        <f t="shared" si="35"/>
        <v>0</v>
      </c>
      <c r="CS26" s="24">
        <f t="shared" si="36"/>
        <v>0</v>
      </c>
      <c r="CT26" s="24">
        <f t="shared" si="37"/>
        <v>0</v>
      </c>
      <c r="CU26" s="24">
        <f t="shared" si="38"/>
        <v>0</v>
      </c>
      <c r="CV26" s="24">
        <f t="shared" si="39"/>
        <v>0</v>
      </c>
      <c r="CW26" s="24">
        <f t="shared" si="40"/>
        <v>0</v>
      </c>
      <c r="CX26" s="24">
        <f t="shared" si="41"/>
        <v>0</v>
      </c>
      <c r="CY26" s="24">
        <f t="shared" si="42"/>
        <v>0</v>
      </c>
      <c r="CZ26" s="24">
        <f t="shared" si="43"/>
        <v>0</v>
      </c>
      <c r="DA26" s="24">
        <f t="shared" si="44"/>
        <v>0</v>
      </c>
      <c r="DB26" s="24">
        <f t="shared" si="45"/>
        <v>0</v>
      </c>
      <c r="DC26" s="24">
        <f t="shared" si="46"/>
        <v>0</v>
      </c>
      <c r="DD26" s="24">
        <f t="shared" si="47"/>
        <v>0</v>
      </c>
      <c r="DE26" s="24">
        <f t="shared" si="48"/>
        <v>0</v>
      </c>
      <c r="DF26" s="24">
        <f t="shared" si="49"/>
        <v>0</v>
      </c>
      <c r="DG26" s="24">
        <f t="shared" si="50"/>
        <v>0</v>
      </c>
      <c r="DH26" s="24">
        <f t="shared" si="51"/>
        <v>0</v>
      </c>
      <c r="DI26" s="24">
        <f t="shared" si="52"/>
        <v>0</v>
      </c>
      <c r="DJ26" s="24">
        <f t="shared" si="53"/>
        <v>0</v>
      </c>
      <c r="DK26" s="24">
        <f t="shared" si="54"/>
        <v>0</v>
      </c>
      <c r="DL26" s="24">
        <f t="shared" si="55"/>
        <v>0</v>
      </c>
      <c r="DM26" s="24">
        <f t="shared" si="56"/>
        <v>0</v>
      </c>
      <c r="DN26" s="24">
        <f t="shared" si="57"/>
        <v>0</v>
      </c>
      <c r="DO26" s="24">
        <f t="shared" si="58"/>
        <v>0</v>
      </c>
      <c r="DP26" s="24">
        <f t="shared" si="59"/>
        <v>0</v>
      </c>
      <c r="DQ26" s="24">
        <f t="shared" si="60"/>
        <v>0</v>
      </c>
      <c r="DR26" s="24">
        <f t="shared" si="61"/>
        <v>0</v>
      </c>
      <c r="DS26" s="24">
        <f t="shared" si="62"/>
        <v>0</v>
      </c>
      <c r="DT26" s="24">
        <f t="shared" si="63"/>
        <v>0</v>
      </c>
      <c r="DU26" s="24">
        <f t="shared" si="64"/>
        <v>0</v>
      </c>
      <c r="DV26" s="24">
        <f t="shared" si="65"/>
        <v>0</v>
      </c>
      <c r="DW26" s="24">
        <f t="shared" si="66"/>
        <v>0</v>
      </c>
      <c r="DX26" s="24">
        <f t="shared" si="67"/>
        <v>0</v>
      </c>
      <c r="DY26" s="24">
        <f t="shared" si="68"/>
        <v>0</v>
      </c>
      <c r="DZ26" s="24">
        <f t="shared" si="69"/>
        <v>0</v>
      </c>
      <c r="EA26" s="24">
        <f t="shared" si="70"/>
        <v>0</v>
      </c>
      <c r="EB26" s="24">
        <f t="shared" si="71"/>
        <v>0</v>
      </c>
      <c r="EC26" s="24">
        <f t="shared" si="72"/>
        <v>0</v>
      </c>
      <c r="ED26" s="24">
        <f t="shared" si="73"/>
        <v>0</v>
      </c>
      <c r="EE26" s="25"/>
    </row>
    <row r="27" spans="1:135" s="2" customFormat="1" ht="18" customHeight="1" x14ac:dyDescent="0.25">
      <c r="A27" s="15">
        <v>24</v>
      </c>
      <c r="B27" s="108" t="s">
        <v>395</v>
      </c>
      <c r="C27" s="26" t="s">
        <v>341</v>
      </c>
      <c r="D27" s="16" t="s">
        <v>107</v>
      </c>
      <c r="E27" s="18">
        <v>45481</v>
      </c>
      <c r="F27" s="19">
        <v>11</v>
      </c>
      <c r="G27" s="19">
        <v>11</v>
      </c>
      <c r="H27" s="19">
        <v>11</v>
      </c>
      <c r="I27" s="19">
        <v>11</v>
      </c>
      <c r="J27" s="19" t="s">
        <v>603</v>
      </c>
      <c r="K27" s="19">
        <v>11</v>
      </c>
      <c r="L27" s="19" t="s">
        <v>15</v>
      </c>
      <c r="M27" s="19">
        <v>11</v>
      </c>
      <c r="N27" s="19">
        <v>11</v>
      </c>
      <c r="O27" s="19">
        <v>11</v>
      </c>
      <c r="P27" s="19">
        <v>11</v>
      </c>
      <c r="Q27" s="19">
        <v>11</v>
      </c>
      <c r="R27" s="19">
        <v>11</v>
      </c>
      <c r="S27" s="19" t="s">
        <v>15</v>
      </c>
      <c r="T27" s="19">
        <v>11</v>
      </c>
      <c r="U27" s="19">
        <v>11</v>
      </c>
      <c r="V27" s="19">
        <v>11</v>
      </c>
      <c r="W27" s="19">
        <v>11</v>
      </c>
      <c r="X27" s="19">
        <v>11</v>
      </c>
      <c r="Y27" s="19">
        <v>11</v>
      </c>
      <c r="Z27" s="19" t="s">
        <v>15</v>
      </c>
      <c r="AA27" s="19">
        <v>11</v>
      </c>
      <c r="AB27" s="19">
        <v>11</v>
      </c>
      <c r="AC27" s="19">
        <v>11</v>
      </c>
      <c r="AD27" s="19">
        <v>11</v>
      </c>
      <c r="AE27" s="19">
        <v>11</v>
      </c>
      <c r="AF27" s="19">
        <v>11</v>
      </c>
      <c r="AG27" s="19" t="s">
        <v>15</v>
      </c>
      <c r="AH27" s="19">
        <v>11</v>
      </c>
      <c r="AI27" s="19">
        <v>11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11</v>
      </c>
      <c r="AP27" s="19">
        <v>0</v>
      </c>
      <c r="AQ27" s="19">
        <v>0</v>
      </c>
      <c r="AR27" s="19">
        <v>0</v>
      </c>
      <c r="AS27" s="19">
        <v>0</v>
      </c>
      <c r="AT27" s="19">
        <f t="shared" ref="AT27:AT62" si="119">SUM(BT27+BV27+BX27+BZ27+CB27+CD27+CF27+CH27+CJ27+CL27+CN27+CP27+CR27+CT27+CV27+CX27+CZ27+DB27+DD27+DF27+DH27+DJ27+DL27+DN27+DP27+DR27+DT27+DV27+DX27+DZ27+EB27+ED27)</f>
        <v>75</v>
      </c>
      <c r="AU27" s="19">
        <f t="shared" ref="AU27:AU62" si="120">SUM(AJ27:AN27)</f>
        <v>0</v>
      </c>
      <c r="AV27" s="19">
        <f t="shared" ref="AV27:AV32" si="121">SUM(AO27:AS27)</f>
        <v>11</v>
      </c>
      <c r="AW27" s="16">
        <f t="shared" si="3"/>
        <v>30</v>
      </c>
      <c r="AX27" s="16">
        <f t="shared" si="4"/>
        <v>0</v>
      </c>
      <c r="AY27" s="38">
        <f t="shared" si="5"/>
        <v>0</v>
      </c>
      <c r="AZ27" s="36">
        <v>950</v>
      </c>
      <c r="BA27" s="20">
        <v>100</v>
      </c>
      <c r="BB27" s="21">
        <v>0</v>
      </c>
      <c r="BC27" s="19">
        <f t="shared" si="74"/>
        <v>950</v>
      </c>
      <c r="BD27" s="19">
        <f t="shared" si="75"/>
        <v>100</v>
      </c>
      <c r="BE27" s="19">
        <f t="shared" si="76"/>
        <v>436</v>
      </c>
      <c r="BF27" s="19">
        <f t="shared" si="77"/>
        <v>0</v>
      </c>
      <c r="BG27" s="19">
        <f t="shared" si="78"/>
        <v>0</v>
      </c>
      <c r="BH27" s="19">
        <f t="shared" si="79"/>
        <v>0</v>
      </c>
      <c r="BI27" s="19">
        <v>0</v>
      </c>
      <c r="BJ27" s="19">
        <v>95</v>
      </c>
      <c r="BK27" s="19">
        <f t="shared" ref="BK27:BK62" si="122">SUM(BC27:BJ27)</f>
        <v>1581</v>
      </c>
      <c r="BL27" s="19">
        <v>0</v>
      </c>
      <c r="BM27" s="19">
        <v>0</v>
      </c>
      <c r="BN27" s="19">
        <f t="shared" ref="BN27:BN62" si="123">BL27+BM27</f>
        <v>0</v>
      </c>
      <c r="BO27" s="19">
        <f t="shared" ref="BO27:BO62" si="124">BK27-BN27</f>
        <v>1581</v>
      </c>
      <c r="BP27" s="19">
        <v>0</v>
      </c>
      <c r="BQ27" s="19">
        <v>0</v>
      </c>
      <c r="BR27" s="22">
        <f t="shared" ref="BR27:BR62" si="125">SUM(BO27:BP27)-BQ27</f>
        <v>1581</v>
      </c>
      <c r="BS27" s="23">
        <f t="shared" si="10"/>
        <v>0</v>
      </c>
      <c r="BT27" s="24">
        <f t="shared" ref="BT27:BT32" si="126">BS27*0.5</f>
        <v>0</v>
      </c>
      <c r="BU27" s="24">
        <f t="shared" si="12"/>
        <v>0</v>
      </c>
      <c r="BV27" s="24">
        <f t="shared" ref="BV27:BV32" si="127">BU27*1</f>
        <v>0</v>
      </c>
      <c r="BW27" s="24">
        <f t="shared" si="14"/>
        <v>0</v>
      </c>
      <c r="BX27" s="24">
        <f t="shared" ref="BX27:BX32" si="128">BW27*1.5</f>
        <v>0</v>
      </c>
      <c r="BY27" s="24">
        <f t="shared" si="16"/>
        <v>0</v>
      </c>
      <c r="BZ27" s="24">
        <f t="shared" ref="BZ27:BZ32" si="129">BY27*2</f>
        <v>0</v>
      </c>
      <c r="CA27" s="24">
        <f t="shared" si="18"/>
        <v>0</v>
      </c>
      <c r="CB27" s="24">
        <f t="shared" ref="CB27:CB32" si="130">CA27*2.5</f>
        <v>0</v>
      </c>
      <c r="CC27" s="24">
        <f t="shared" si="20"/>
        <v>25</v>
      </c>
      <c r="CD27" s="24">
        <f t="shared" ref="CD27:CD32" si="131">CC27*3</f>
        <v>75</v>
      </c>
      <c r="CE27" s="24">
        <f t="shared" si="22"/>
        <v>0</v>
      </c>
      <c r="CF27" s="24">
        <f t="shared" ref="CF27:CF32" si="132">CE27*3.5</f>
        <v>0</v>
      </c>
      <c r="CG27" s="24">
        <f t="shared" si="24"/>
        <v>0</v>
      </c>
      <c r="CH27" s="24">
        <f t="shared" ref="CH27:CH32" si="133">CG27*4</f>
        <v>0</v>
      </c>
      <c r="CI27" s="24">
        <f t="shared" si="26"/>
        <v>0</v>
      </c>
      <c r="CJ27" s="24">
        <f t="shared" ref="CJ27:CJ32" si="134">CI27*4.5</f>
        <v>0</v>
      </c>
      <c r="CK27" s="24">
        <f t="shared" si="28"/>
        <v>0</v>
      </c>
      <c r="CL27" s="24">
        <f t="shared" ref="CL27:CL32" si="135">CK27*5</f>
        <v>0</v>
      </c>
      <c r="CM27" s="24">
        <f t="shared" si="30"/>
        <v>0</v>
      </c>
      <c r="CN27" s="24">
        <f t="shared" ref="CN27:CN32" si="136">CM27*5.5</f>
        <v>0</v>
      </c>
      <c r="CO27" s="24">
        <f t="shared" si="32"/>
        <v>0</v>
      </c>
      <c r="CP27" s="24">
        <f t="shared" ref="CP27:CP32" si="137">CO27*6</f>
        <v>0</v>
      </c>
      <c r="CQ27" s="24">
        <f t="shared" si="34"/>
        <v>0</v>
      </c>
      <c r="CR27" s="24">
        <f t="shared" ref="CR27:CR32" si="138">CQ27*6.5</f>
        <v>0</v>
      </c>
      <c r="CS27" s="24">
        <f t="shared" si="36"/>
        <v>0</v>
      </c>
      <c r="CT27" s="24">
        <f t="shared" ref="CT27:CT32" si="139">CS27*7</f>
        <v>0</v>
      </c>
      <c r="CU27" s="24">
        <f t="shared" si="38"/>
        <v>0</v>
      </c>
      <c r="CV27" s="24">
        <f t="shared" ref="CV27:CV32" si="140">CU27*7.5</f>
        <v>0</v>
      </c>
      <c r="CW27" s="24">
        <f t="shared" si="40"/>
        <v>0</v>
      </c>
      <c r="CX27" s="24">
        <f t="shared" ref="CX27:CX32" si="141">CW27*8</f>
        <v>0</v>
      </c>
      <c r="CY27" s="24">
        <f t="shared" si="42"/>
        <v>0</v>
      </c>
      <c r="CZ27" s="24">
        <f t="shared" ref="CZ27:CZ32" si="142">CY27*8.5</f>
        <v>0</v>
      </c>
      <c r="DA27" s="24">
        <f t="shared" si="44"/>
        <v>0</v>
      </c>
      <c r="DB27" s="24">
        <f t="shared" ref="DB27:DB32" si="143">DA27*9</f>
        <v>0</v>
      </c>
      <c r="DC27" s="24">
        <f t="shared" si="46"/>
        <v>0</v>
      </c>
      <c r="DD27" s="24">
        <f t="shared" ref="DD27:DD32" si="144">DC27*9.5</f>
        <v>0</v>
      </c>
      <c r="DE27" s="24">
        <f t="shared" si="48"/>
        <v>0</v>
      </c>
      <c r="DF27" s="24">
        <f t="shared" ref="DF27:DF32" si="145">DE27*10</f>
        <v>0</v>
      </c>
      <c r="DG27" s="24">
        <f t="shared" si="50"/>
        <v>0</v>
      </c>
      <c r="DH27" s="24">
        <f t="shared" ref="DH27:DH32" si="146">DG27*10.5</f>
        <v>0</v>
      </c>
      <c r="DI27" s="24">
        <f t="shared" si="52"/>
        <v>0</v>
      </c>
      <c r="DJ27" s="24">
        <f t="shared" ref="DJ27:DJ32" si="147">DI27*11</f>
        <v>0</v>
      </c>
      <c r="DK27" s="24">
        <f t="shared" si="54"/>
        <v>0</v>
      </c>
      <c r="DL27" s="24">
        <f t="shared" ref="DL27:DL32" si="148">DK27*11.5</f>
        <v>0</v>
      </c>
      <c r="DM27" s="24">
        <f t="shared" si="56"/>
        <v>0</v>
      </c>
      <c r="DN27" s="24">
        <f t="shared" ref="DN27:DN32" si="149">DM27*12</f>
        <v>0</v>
      </c>
      <c r="DO27" s="24">
        <f t="shared" si="58"/>
        <v>0</v>
      </c>
      <c r="DP27" s="24">
        <f t="shared" ref="DP27:DP32" si="150">DO27*12.5</f>
        <v>0</v>
      </c>
      <c r="DQ27" s="24">
        <f t="shared" si="60"/>
        <v>0</v>
      </c>
      <c r="DR27" s="24">
        <f t="shared" ref="DR27:DR32" si="151">DQ27*13</f>
        <v>0</v>
      </c>
      <c r="DS27" s="24">
        <f t="shared" si="62"/>
        <v>0</v>
      </c>
      <c r="DT27" s="24">
        <f t="shared" ref="DT27:DT32" si="152">DS27*13.5</f>
        <v>0</v>
      </c>
      <c r="DU27" s="24">
        <f t="shared" si="64"/>
        <v>0</v>
      </c>
      <c r="DV27" s="24">
        <f t="shared" ref="DV27:DV32" si="153">DU27*14</f>
        <v>0</v>
      </c>
      <c r="DW27" s="24">
        <f t="shared" si="66"/>
        <v>0</v>
      </c>
      <c r="DX27" s="24">
        <f t="shared" ref="DX27:DX32" si="154">DW27*14.5</f>
        <v>0</v>
      </c>
      <c r="DY27" s="24">
        <f t="shared" si="68"/>
        <v>0</v>
      </c>
      <c r="DZ27" s="24">
        <f t="shared" ref="DZ27:DZ32" si="155">DY27*15</f>
        <v>0</v>
      </c>
      <c r="EA27" s="24">
        <f t="shared" si="70"/>
        <v>0</v>
      </c>
      <c r="EB27" s="24">
        <f t="shared" ref="EB27:EB32" si="156">EA27*15.5</f>
        <v>0</v>
      </c>
      <c r="EC27" s="24">
        <f t="shared" si="72"/>
        <v>0</v>
      </c>
      <c r="ED27" s="24">
        <f t="shared" ref="ED27:ED32" si="157">EC27*16</f>
        <v>0</v>
      </c>
      <c r="EE27" s="25"/>
    </row>
    <row r="28" spans="1:135" s="2" customFormat="1" ht="18" customHeight="1" x14ac:dyDescent="0.25">
      <c r="A28" s="15">
        <v>25</v>
      </c>
      <c r="B28" s="108" t="s">
        <v>396</v>
      </c>
      <c r="C28" s="26" t="s">
        <v>348</v>
      </c>
      <c r="D28" s="16" t="s">
        <v>107</v>
      </c>
      <c r="E28" s="18">
        <v>45481</v>
      </c>
      <c r="F28" s="19">
        <v>11</v>
      </c>
      <c r="G28" s="19">
        <v>11</v>
      </c>
      <c r="H28" s="19">
        <v>11</v>
      </c>
      <c r="I28" s="19">
        <v>8</v>
      </c>
      <c r="J28" s="19" t="s">
        <v>603</v>
      </c>
      <c r="K28" s="19">
        <v>11</v>
      </c>
      <c r="L28" s="19" t="s">
        <v>15</v>
      </c>
      <c r="M28" s="19">
        <v>11</v>
      </c>
      <c r="N28" s="19">
        <v>11</v>
      </c>
      <c r="O28" s="19">
        <v>11</v>
      </c>
      <c r="P28" s="19">
        <v>11</v>
      </c>
      <c r="Q28" s="19">
        <v>11</v>
      </c>
      <c r="R28" s="19">
        <v>11</v>
      </c>
      <c r="S28" s="19" t="s">
        <v>15</v>
      </c>
      <c r="T28" s="19">
        <v>11</v>
      </c>
      <c r="U28" s="19">
        <v>11</v>
      </c>
      <c r="V28" s="19">
        <v>11</v>
      </c>
      <c r="W28" s="19">
        <v>11</v>
      </c>
      <c r="X28" s="19">
        <v>11</v>
      </c>
      <c r="Y28" s="19">
        <v>11</v>
      </c>
      <c r="Z28" s="19" t="s">
        <v>15</v>
      </c>
      <c r="AA28" s="19">
        <v>11</v>
      </c>
      <c r="AB28" s="19">
        <v>11</v>
      </c>
      <c r="AC28" s="19">
        <v>11</v>
      </c>
      <c r="AD28" s="19">
        <v>11</v>
      </c>
      <c r="AE28" s="19">
        <v>11</v>
      </c>
      <c r="AF28" s="19">
        <v>11</v>
      </c>
      <c r="AG28" s="19" t="s">
        <v>15</v>
      </c>
      <c r="AH28" s="19">
        <v>11</v>
      </c>
      <c r="AI28" s="19">
        <v>11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11</v>
      </c>
      <c r="AP28" s="19">
        <v>0</v>
      </c>
      <c r="AQ28" s="19">
        <v>0</v>
      </c>
      <c r="AR28" s="19">
        <v>0</v>
      </c>
      <c r="AS28" s="19">
        <v>0</v>
      </c>
      <c r="AT28" s="19">
        <f t="shared" si="119"/>
        <v>72</v>
      </c>
      <c r="AU28" s="19">
        <f t="shared" si="120"/>
        <v>0</v>
      </c>
      <c r="AV28" s="19">
        <f t="shared" si="121"/>
        <v>11</v>
      </c>
      <c r="AW28" s="16">
        <f t="shared" si="3"/>
        <v>30</v>
      </c>
      <c r="AX28" s="16">
        <f t="shared" si="4"/>
        <v>0</v>
      </c>
      <c r="AY28" s="38">
        <f t="shared" si="5"/>
        <v>0</v>
      </c>
      <c r="AZ28" s="36">
        <v>1000</v>
      </c>
      <c r="BA28" s="20">
        <v>100</v>
      </c>
      <c r="BB28" s="21">
        <v>0</v>
      </c>
      <c r="BC28" s="19">
        <f t="shared" si="74"/>
        <v>1000</v>
      </c>
      <c r="BD28" s="19">
        <f t="shared" si="75"/>
        <v>100</v>
      </c>
      <c r="BE28" s="19">
        <f t="shared" si="76"/>
        <v>444</v>
      </c>
      <c r="BF28" s="19">
        <f t="shared" si="77"/>
        <v>0</v>
      </c>
      <c r="BG28" s="19">
        <f t="shared" si="78"/>
        <v>0</v>
      </c>
      <c r="BH28" s="19">
        <f t="shared" si="79"/>
        <v>0</v>
      </c>
      <c r="BI28" s="19">
        <v>0</v>
      </c>
      <c r="BJ28" s="19">
        <v>95</v>
      </c>
      <c r="BK28" s="19">
        <f t="shared" si="122"/>
        <v>1639</v>
      </c>
      <c r="BL28" s="19">
        <v>0</v>
      </c>
      <c r="BM28" s="19">
        <v>0</v>
      </c>
      <c r="BN28" s="19">
        <f t="shared" si="123"/>
        <v>0</v>
      </c>
      <c r="BO28" s="19">
        <f t="shared" si="124"/>
        <v>1639</v>
      </c>
      <c r="BP28" s="19">
        <v>0</v>
      </c>
      <c r="BQ28" s="19">
        <v>0</v>
      </c>
      <c r="BR28" s="22">
        <f t="shared" si="125"/>
        <v>1639</v>
      </c>
      <c r="BS28" s="23">
        <f t="shared" si="10"/>
        <v>0</v>
      </c>
      <c r="BT28" s="24">
        <f t="shared" si="126"/>
        <v>0</v>
      </c>
      <c r="BU28" s="24">
        <f t="shared" si="12"/>
        <v>0</v>
      </c>
      <c r="BV28" s="24">
        <f t="shared" si="127"/>
        <v>0</v>
      </c>
      <c r="BW28" s="24">
        <f t="shared" si="14"/>
        <v>0</v>
      </c>
      <c r="BX28" s="24">
        <f t="shared" si="128"/>
        <v>0</v>
      </c>
      <c r="BY28" s="24">
        <f t="shared" si="16"/>
        <v>0</v>
      </c>
      <c r="BZ28" s="24">
        <f t="shared" si="129"/>
        <v>0</v>
      </c>
      <c r="CA28" s="24">
        <f t="shared" si="18"/>
        <v>0</v>
      </c>
      <c r="CB28" s="24">
        <f t="shared" si="130"/>
        <v>0</v>
      </c>
      <c r="CC28" s="24">
        <f t="shared" si="20"/>
        <v>24</v>
      </c>
      <c r="CD28" s="24">
        <f t="shared" si="131"/>
        <v>72</v>
      </c>
      <c r="CE28" s="24">
        <f t="shared" si="22"/>
        <v>0</v>
      </c>
      <c r="CF28" s="24">
        <f t="shared" si="132"/>
        <v>0</v>
      </c>
      <c r="CG28" s="24">
        <f t="shared" si="24"/>
        <v>0</v>
      </c>
      <c r="CH28" s="24">
        <f t="shared" si="133"/>
        <v>0</v>
      </c>
      <c r="CI28" s="24">
        <f t="shared" si="26"/>
        <v>0</v>
      </c>
      <c r="CJ28" s="24">
        <f t="shared" si="134"/>
        <v>0</v>
      </c>
      <c r="CK28" s="24">
        <f t="shared" si="28"/>
        <v>0</v>
      </c>
      <c r="CL28" s="24">
        <f t="shared" si="135"/>
        <v>0</v>
      </c>
      <c r="CM28" s="24">
        <f t="shared" si="30"/>
        <v>0</v>
      </c>
      <c r="CN28" s="24">
        <f t="shared" si="136"/>
        <v>0</v>
      </c>
      <c r="CO28" s="24">
        <f t="shared" si="32"/>
        <v>0</v>
      </c>
      <c r="CP28" s="24">
        <f t="shared" si="137"/>
        <v>0</v>
      </c>
      <c r="CQ28" s="24">
        <f t="shared" si="34"/>
        <v>0</v>
      </c>
      <c r="CR28" s="24">
        <f t="shared" si="138"/>
        <v>0</v>
      </c>
      <c r="CS28" s="24">
        <f t="shared" si="36"/>
        <v>0</v>
      </c>
      <c r="CT28" s="24">
        <f t="shared" si="139"/>
        <v>0</v>
      </c>
      <c r="CU28" s="24">
        <f t="shared" si="38"/>
        <v>0</v>
      </c>
      <c r="CV28" s="24">
        <f t="shared" si="140"/>
        <v>0</v>
      </c>
      <c r="CW28" s="24">
        <f t="shared" si="40"/>
        <v>0</v>
      </c>
      <c r="CX28" s="24">
        <f t="shared" si="141"/>
        <v>0</v>
      </c>
      <c r="CY28" s="24">
        <f t="shared" si="42"/>
        <v>0</v>
      </c>
      <c r="CZ28" s="24">
        <f t="shared" si="142"/>
        <v>0</v>
      </c>
      <c r="DA28" s="24">
        <f t="shared" si="44"/>
        <v>0</v>
      </c>
      <c r="DB28" s="24">
        <f t="shared" si="143"/>
        <v>0</v>
      </c>
      <c r="DC28" s="24">
        <f t="shared" si="46"/>
        <v>0</v>
      </c>
      <c r="DD28" s="24">
        <f t="shared" si="144"/>
        <v>0</v>
      </c>
      <c r="DE28" s="24">
        <f t="shared" si="48"/>
        <v>0</v>
      </c>
      <c r="DF28" s="24">
        <f t="shared" si="145"/>
        <v>0</v>
      </c>
      <c r="DG28" s="24">
        <f t="shared" si="50"/>
        <v>0</v>
      </c>
      <c r="DH28" s="24">
        <f t="shared" si="146"/>
        <v>0</v>
      </c>
      <c r="DI28" s="24">
        <f t="shared" si="52"/>
        <v>0</v>
      </c>
      <c r="DJ28" s="24">
        <f t="shared" si="147"/>
        <v>0</v>
      </c>
      <c r="DK28" s="24">
        <f t="shared" si="54"/>
        <v>0</v>
      </c>
      <c r="DL28" s="24">
        <f t="shared" si="148"/>
        <v>0</v>
      </c>
      <c r="DM28" s="24">
        <f t="shared" si="56"/>
        <v>0</v>
      </c>
      <c r="DN28" s="24">
        <f t="shared" si="149"/>
        <v>0</v>
      </c>
      <c r="DO28" s="24">
        <f t="shared" si="58"/>
        <v>0</v>
      </c>
      <c r="DP28" s="24">
        <f t="shared" si="150"/>
        <v>0</v>
      </c>
      <c r="DQ28" s="24">
        <f t="shared" si="60"/>
        <v>0</v>
      </c>
      <c r="DR28" s="24">
        <f t="shared" si="151"/>
        <v>0</v>
      </c>
      <c r="DS28" s="24">
        <f t="shared" si="62"/>
        <v>0</v>
      </c>
      <c r="DT28" s="24">
        <f t="shared" si="152"/>
        <v>0</v>
      </c>
      <c r="DU28" s="24">
        <f t="shared" si="64"/>
        <v>0</v>
      </c>
      <c r="DV28" s="24">
        <f t="shared" si="153"/>
        <v>0</v>
      </c>
      <c r="DW28" s="24">
        <f t="shared" si="66"/>
        <v>0</v>
      </c>
      <c r="DX28" s="24">
        <f t="shared" si="154"/>
        <v>0</v>
      </c>
      <c r="DY28" s="24">
        <f t="shared" si="68"/>
        <v>0</v>
      </c>
      <c r="DZ28" s="24">
        <f t="shared" si="155"/>
        <v>0</v>
      </c>
      <c r="EA28" s="24">
        <f t="shared" si="70"/>
        <v>0</v>
      </c>
      <c r="EB28" s="24">
        <f t="shared" si="156"/>
        <v>0</v>
      </c>
      <c r="EC28" s="24">
        <f t="shared" si="72"/>
        <v>0</v>
      </c>
      <c r="ED28" s="24">
        <f t="shared" si="157"/>
        <v>0</v>
      </c>
      <c r="EE28" s="25"/>
    </row>
    <row r="29" spans="1:135" s="2" customFormat="1" ht="18" customHeight="1" x14ac:dyDescent="0.25">
      <c r="A29" s="15">
        <v>26</v>
      </c>
      <c r="B29" s="108" t="s">
        <v>397</v>
      </c>
      <c r="C29" s="26" t="s">
        <v>349</v>
      </c>
      <c r="D29" s="16" t="s">
        <v>107</v>
      </c>
      <c r="E29" s="18">
        <v>45481</v>
      </c>
      <c r="F29" s="19">
        <v>10</v>
      </c>
      <c r="G29" s="19">
        <v>8</v>
      </c>
      <c r="H29" s="19">
        <v>10</v>
      </c>
      <c r="I29" s="19">
        <v>10</v>
      </c>
      <c r="J29" s="19" t="s">
        <v>603</v>
      </c>
      <c r="K29" s="19">
        <v>10</v>
      </c>
      <c r="L29" s="19" t="s">
        <v>15</v>
      </c>
      <c r="M29" s="19">
        <v>10</v>
      </c>
      <c r="N29" s="19">
        <v>10</v>
      </c>
      <c r="O29" s="19">
        <v>10</v>
      </c>
      <c r="P29" s="19">
        <v>10</v>
      </c>
      <c r="Q29" s="19">
        <v>10</v>
      </c>
      <c r="R29" s="19">
        <v>10</v>
      </c>
      <c r="S29" s="19" t="s">
        <v>15</v>
      </c>
      <c r="T29" s="19">
        <v>10</v>
      </c>
      <c r="U29" s="19">
        <v>10</v>
      </c>
      <c r="V29" s="19">
        <v>10</v>
      </c>
      <c r="W29" s="19">
        <v>10</v>
      </c>
      <c r="X29" s="19">
        <v>10</v>
      </c>
      <c r="Y29" s="19">
        <v>10</v>
      </c>
      <c r="Z29" s="19" t="s">
        <v>15</v>
      </c>
      <c r="AA29" s="19">
        <v>11</v>
      </c>
      <c r="AB29" s="19">
        <v>11</v>
      </c>
      <c r="AC29" s="19">
        <v>11</v>
      </c>
      <c r="AD29" s="19">
        <v>11</v>
      </c>
      <c r="AE29" s="19">
        <v>11</v>
      </c>
      <c r="AF29" s="19">
        <v>11</v>
      </c>
      <c r="AG29" s="19" t="s">
        <v>15</v>
      </c>
      <c r="AH29" s="19">
        <v>11</v>
      </c>
      <c r="AI29" s="19">
        <v>11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f>SUM(BT29+BV29+BX29+BZ29+CB29+CD29+CF29+CH29+CJ29+CL29+CN29+CP29+CR29+CT29+CV29+CX29+CZ29+DB29+DD29+DF29+DH29+DJ29+DL29+DN29+DP29+DR29+DT29+DV29+DX29+DZ29+EB29+ED29)</f>
        <v>56</v>
      </c>
      <c r="AU29" s="19">
        <f>SUM(AJ29:AN29)</f>
        <v>0</v>
      </c>
      <c r="AV29" s="19">
        <f>SUM(AO29:AS29)</f>
        <v>0</v>
      </c>
      <c r="AW29" s="16">
        <f t="shared" si="3"/>
        <v>30</v>
      </c>
      <c r="AX29" s="16">
        <f t="shared" si="4"/>
        <v>0</v>
      </c>
      <c r="AY29" s="38">
        <f t="shared" si="5"/>
        <v>0</v>
      </c>
      <c r="AZ29" s="36">
        <v>950</v>
      </c>
      <c r="BA29" s="20">
        <v>100</v>
      </c>
      <c r="BB29" s="21">
        <v>0</v>
      </c>
      <c r="BC29" s="19">
        <f t="shared" si="74"/>
        <v>950</v>
      </c>
      <c r="BD29" s="19">
        <f t="shared" si="75"/>
        <v>100</v>
      </c>
      <c r="BE29" s="19">
        <f t="shared" si="76"/>
        <v>277</v>
      </c>
      <c r="BF29" s="19">
        <f t="shared" si="77"/>
        <v>0</v>
      </c>
      <c r="BG29" s="19">
        <f t="shared" si="78"/>
        <v>0</v>
      </c>
      <c r="BH29" s="19">
        <f t="shared" si="79"/>
        <v>0</v>
      </c>
      <c r="BI29" s="19">
        <v>0</v>
      </c>
      <c r="BJ29" s="19">
        <v>95</v>
      </c>
      <c r="BK29" s="19">
        <f>SUM(BC29:BJ29)</f>
        <v>1422</v>
      </c>
      <c r="BL29" s="19">
        <v>0</v>
      </c>
      <c r="BM29" s="19">
        <v>0</v>
      </c>
      <c r="BN29" s="19">
        <f>BL29+BM29</f>
        <v>0</v>
      </c>
      <c r="BO29" s="19">
        <f>BK29-BN29</f>
        <v>1422</v>
      </c>
      <c r="BP29" s="19">
        <v>0</v>
      </c>
      <c r="BQ29" s="19">
        <v>0</v>
      </c>
      <c r="BR29" s="22">
        <f>SUM(BO29:BP29)-BQ29</f>
        <v>1422</v>
      </c>
      <c r="BS29" s="23">
        <f t="shared" si="10"/>
        <v>0</v>
      </c>
      <c r="BT29" s="24">
        <f>BS29*0.5</f>
        <v>0</v>
      </c>
      <c r="BU29" s="24">
        <f t="shared" si="12"/>
        <v>0</v>
      </c>
      <c r="BV29" s="24">
        <f>BU29*1</f>
        <v>0</v>
      </c>
      <c r="BW29" s="24">
        <f t="shared" si="14"/>
        <v>0</v>
      </c>
      <c r="BX29" s="24">
        <f>BW29*1.5</f>
        <v>0</v>
      </c>
      <c r="BY29" s="24">
        <f t="shared" si="16"/>
        <v>16</v>
      </c>
      <c r="BZ29" s="24">
        <f>BY29*2</f>
        <v>32</v>
      </c>
      <c r="CA29" s="24">
        <f t="shared" si="18"/>
        <v>0</v>
      </c>
      <c r="CB29" s="24">
        <f>CA29*2.5</f>
        <v>0</v>
      </c>
      <c r="CC29" s="24">
        <f t="shared" si="20"/>
        <v>8</v>
      </c>
      <c r="CD29" s="24">
        <f>CC29*3</f>
        <v>24</v>
      </c>
      <c r="CE29" s="24">
        <f t="shared" si="22"/>
        <v>0</v>
      </c>
      <c r="CF29" s="24">
        <f>CE29*3.5</f>
        <v>0</v>
      </c>
      <c r="CG29" s="24">
        <f t="shared" si="24"/>
        <v>0</v>
      </c>
      <c r="CH29" s="24">
        <f>CG29*4</f>
        <v>0</v>
      </c>
      <c r="CI29" s="24">
        <f t="shared" si="26"/>
        <v>0</v>
      </c>
      <c r="CJ29" s="24">
        <f>CI29*4.5</f>
        <v>0</v>
      </c>
      <c r="CK29" s="24">
        <f t="shared" si="28"/>
        <v>0</v>
      </c>
      <c r="CL29" s="24">
        <f>CK29*5</f>
        <v>0</v>
      </c>
      <c r="CM29" s="24">
        <f t="shared" si="30"/>
        <v>0</v>
      </c>
      <c r="CN29" s="24">
        <f>CM29*5.5</f>
        <v>0</v>
      </c>
      <c r="CO29" s="24">
        <f t="shared" si="32"/>
        <v>0</v>
      </c>
      <c r="CP29" s="24">
        <f>CO29*6</f>
        <v>0</v>
      </c>
      <c r="CQ29" s="24">
        <f t="shared" si="34"/>
        <v>0</v>
      </c>
      <c r="CR29" s="24">
        <f>CQ29*6.5</f>
        <v>0</v>
      </c>
      <c r="CS29" s="24">
        <f t="shared" si="36"/>
        <v>0</v>
      </c>
      <c r="CT29" s="24">
        <f>CS29*7</f>
        <v>0</v>
      </c>
      <c r="CU29" s="24">
        <f t="shared" si="38"/>
        <v>0</v>
      </c>
      <c r="CV29" s="24">
        <f>CU29*7.5</f>
        <v>0</v>
      </c>
      <c r="CW29" s="24">
        <f t="shared" si="40"/>
        <v>0</v>
      </c>
      <c r="CX29" s="24">
        <f>CW29*8</f>
        <v>0</v>
      </c>
      <c r="CY29" s="24">
        <f t="shared" si="42"/>
        <v>0</v>
      </c>
      <c r="CZ29" s="24">
        <f>CY29*8.5</f>
        <v>0</v>
      </c>
      <c r="DA29" s="24">
        <f t="shared" si="44"/>
        <v>0</v>
      </c>
      <c r="DB29" s="24">
        <f>DA29*9</f>
        <v>0</v>
      </c>
      <c r="DC29" s="24">
        <f t="shared" si="46"/>
        <v>0</v>
      </c>
      <c r="DD29" s="24">
        <f>DC29*9.5</f>
        <v>0</v>
      </c>
      <c r="DE29" s="24">
        <f t="shared" si="48"/>
        <v>0</v>
      </c>
      <c r="DF29" s="24">
        <f>DE29*10</f>
        <v>0</v>
      </c>
      <c r="DG29" s="24">
        <f t="shared" si="50"/>
        <v>0</v>
      </c>
      <c r="DH29" s="24">
        <f>DG29*10.5</f>
        <v>0</v>
      </c>
      <c r="DI29" s="24">
        <f t="shared" si="52"/>
        <v>0</v>
      </c>
      <c r="DJ29" s="24">
        <f>DI29*11</f>
        <v>0</v>
      </c>
      <c r="DK29" s="24">
        <f t="shared" si="54"/>
        <v>0</v>
      </c>
      <c r="DL29" s="24">
        <f>DK29*11.5</f>
        <v>0</v>
      </c>
      <c r="DM29" s="24">
        <f t="shared" si="56"/>
        <v>0</v>
      </c>
      <c r="DN29" s="24">
        <f>DM29*12</f>
        <v>0</v>
      </c>
      <c r="DO29" s="24">
        <f t="shared" si="58"/>
        <v>0</v>
      </c>
      <c r="DP29" s="24">
        <f>DO29*12.5</f>
        <v>0</v>
      </c>
      <c r="DQ29" s="24">
        <f t="shared" si="60"/>
        <v>0</v>
      </c>
      <c r="DR29" s="24">
        <f>DQ29*13</f>
        <v>0</v>
      </c>
      <c r="DS29" s="24">
        <f t="shared" si="62"/>
        <v>0</v>
      </c>
      <c r="DT29" s="24">
        <f>DS29*13.5</f>
        <v>0</v>
      </c>
      <c r="DU29" s="24">
        <f t="shared" si="64"/>
        <v>0</v>
      </c>
      <c r="DV29" s="24">
        <f>DU29*14</f>
        <v>0</v>
      </c>
      <c r="DW29" s="24">
        <f t="shared" si="66"/>
        <v>0</v>
      </c>
      <c r="DX29" s="24">
        <f>DW29*14.5</f>
        <v>0</v>
      </c>
      <c r="DY29" s="24">
        <f t="shared" si="68"/>
        <v>0</v>
      </c>
      <c r="DZ29" s="24">
        <f>DY29*15</f>
        <v>0</v>
      </c>
      <c r="EA29" s="24">
        <f t="shared" si="70"/>
        <v>0</v>
      </c>
      <c r="EB29" s="24">
        <f>EA29*15.5</f>
        <v>0</v>
      </c>
      <c r="EC29" s="24">
        <f t="shared" si="72"/>
        <v>0</v>
      </c>
      <c r="ED29" s="24">
        <f>EC29*16</f>
        <v>0</v>
      </c>
      <c r="EE29" s="25"/>
    </row>
    <row r="30" spans="1:135" s="2" customFormat="1" ht="18" customHeight="1" x14ac:dyDescent="0.25">
      <c r="A30" s="15">
        <v>27</v>
      </c>
      <c r="B30" s="108" t="s">
        <v>398</v>
      </c>
      <c r="C30" s="26" t="s">
        <v>342</v>
      </c>
      <c r="D30" s="16" t="s">
        <v>107</v>
      </c>
      <c r="E30" s="18">
        <v>45487</v>
      </c>
      <c r="F30" s="19">
        <v>11</v>
      </c>
      <c r="G30" s="19">
        <v>11</v>
      </c>
      <c r="H30" s="19">
        <v>11</v>
      </c>
      <c r="I30" s="19">
        <v>11</v>
      </c>
      <c r="J30" s="19" t="s">
        <v>603</v>
      </c>
      <c r="K30" s="19">
        <v>11</v>
      </c>
      <c r="L30" s="19" t="s">
        <v>15</v>
      </c>
      <c r="M30" s="19">
        <v>11</v>
      </c>
      <c r="N30" s="19">
        <v>11</v>
      </c>
      <c r="O30" s="19">
        <v>10</v>
      </c>
      <c r="P30" s="19">
        <v>10</v>
      </c>
      <c r="Q30" s="19">
        <v>10</v>
      </c>
      <c r="R30" s="19">
        <v>10</v>
      </c>
      <c r="S30" s="19" t="s">
        <v>15</v>
      </c>
      <c r="T30" s="19">
        <v>10</v>
      </c>
      <c r="U30" s="19">
        <v>10</v>
      </c>
      <c r="V30" s="19">
        <v>10</v>
      </c>
      <c r="W30" s="19">
        <v>10</v>
      </c>
      <c r="X30" s="19">
        <v>10</v>
      </c>
      <c r="Y30" s="19">
        <v>10</v>
      </c>
      <c r="Z30" s="19" t="s">
        <v>15</v>
      </c>
      <c r="AA30" s="19">
        <v>11</v>
      </c>
      <c r="AB30" s="19">
        <v>11</v>
      </c>
      <c r="AC30" s="19">
        <v>11</v>
      </c>
      <c r="AD30" s="19">
        <v>11</v>
      </c>
      <c r="AE30" s="19">
        <v>11</v>
      </c>
      <c r="AF30" s="19">
        <v>11</v>
      </c>
      <c r="AG30" s="19" t="s">
        <v>15</v>
      </c>
      <c r="AH30" s="19">
        <v>11</v>
      </c>
      <c r="AI30" s="19">
        <v>11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11</v>
      </c>
      <c r="AP30" s="19">
        <v>0</v>
      </c>
      <c r="AQ30" s="19">
        <v>0</v>
      </c>
      <c r="AR30" s="19">
        <v>0</v>
      </c>
      <c r="AS30" s="19">
        <v>0</v>
      </c>
      <c r="AT30" s="19">
        <f t="shared" si="119"/>
        <v>65</v>
      </c>
      <c r="AU30" s="19">
        <f t="shared" si="120"/>
        <v>0</v>
      </c>
      <c r="AV30" s="19">
        <f t="shared" si="121"/>
        <v>11</v>
      </c>
      <c r="AW30" s="16">
        <f t="shared" si="3"/>
        <v>30</v>
      </c>
      <c r="AX30" s="16">
        <f t="shared" si="4"/>
        <v>0</v>
      </c>
      <c r="AY30" s="38">
        <f t="shared" si="5"/>
        <v>0</v>
      </c>
      <c r="AZ30" s="37">
        <v>950</v>
      </c>
      <c r="BA30" s="20">
        <v>100</v>
      </c>
      <c r="BB30" s="21">
        <v>0</v>
      </c>
      <c r="BC30" s="19">
        <f t="shared" si="74"/>
        <v>950</v>
      </c>
      <c r="BD30" s="19">
        <f t="shared" si="75"/>
        <v>100</v>
      </c>
      <c r="BE30" s="19">
        <f t="shared" si="76"/>
        <v>387</v>
      </c>
      <c r="BF30" s="19">
        <f t="shared" si="77"/>
        <v>0</v>
      </c>
      <c r="BG30" s="19">
        <f t="shared" si="78"/>
        <v>0</v>
      </c>
      <c r="BH30" s="19">
        <f t="shared" si="79"/>
        <v>0</v>
      </c>
      <c r="BI30" s="19">
        <v>0</v>
      </c>
      <c r="BJ30" s="19">
        <v>95</v>
      </c>
      <c r="BK30" s="19">
        <f t="shared" si="122"/>
        <v>1532</v>
      </c>
      <c r="BL30" s="19">
        <v>0</v>
      </c>
      <c r="BM30" s="19">
        <v>0</v>
      </c>
      <c r="BN30" s="19">
        <f t="shared" si="123"/>
        <v>0</v>
      </c>
      <c r="BO30" s="19">
        <f t="shared" si="124"/>
        <v>1532</v>
      </c>
      <c r="BP30" s="19">
        <v>0</v>
      </c>
      <c r="BQ30" s="19">
        <v>0</v>
      </c>
      <c r="BR30" s="22">
        <f t="shared" si="125"/>
        <v>1532</v>
      </c>
      <c r="BS30" s="23">
        <f t="shared" si="10"/>
        <v>0</v>
      </c>
      <c r="BT30" s="24">
        <f t="shared" si="126"/>
        <v>0</v>
      </c>
      <c r="BU30" s="24">
        <f t="shared" si="12"/>
        <v>0</v>
      </c>
      <c r="BV30" s="24">
        <f t="shared" si="127"/>
        <v>0</v>
      </c>
      <c r="BW30" s="24">
        <f t="shared" si="14"/>
        <v>0</v>
      </c>
      <c r="BX30" s="24">
        <f t="shared" si="128"/>
        <v>0</v>
      </c>
      <c r="BY30" s="24">
        <f t="shared" si="16"/>
        <v>10</v>
      </c>
      <c r="BZ30" s="24">
        <f t="shared" si="129"/>
        <v>20</v>
      </c>
      <c r="CA30" s="24">
        <f t="shared" si="18"/>
        <v>0</v>
      </c>
      <c r="CB30" s="24">
        <f t="shared" si="130"/>
        <v>0</v>
      </c>
      <c r="CC30" s="24">
        <f t="shared" si="20"/>
        <v>15</v>
      </c>
      <c r="CD30" s="24">
        <f t="shared" si="131"/>
        <v>45</v>
      </c>
      <c r="CE30" s="24">
        <f t="shared" si="22"/>
        <v>0</v>
      </c>
      <c r="CF30" s="24">
        <f t="shared" si="132"/>
        <v>0</v>
      </c>
      <c r="CG30" s="24">
        <f t="shared" si="24"/>
        <v>0</v>
      </c>
      <c r="CH30" s="24">
        <f t="shared" si="133"/>
        <v>0</v>
      </c>
      <c r="CI30" s="24">
        <f t="shared" si="26"/>
        <v>0</v>
      </c>
      <c r="CJ30" s="24">
        <f t="shared" si="134"/>
        <v>0</v>
      </c>
      <c r="CK30" s="24">
        <f t="shared" si="28"/>
        <v>0</v>
      </c>
      <c r="CL30" s="24">
        <f t="shared" si="135"/>
        <v>0</v>
      </c>
      <c r="CM30" s="24">
        <f t="shared" si="30"/>
        <v>0</v>
      </c>
      <c r="CN30" s="24">
        <f t="shared" si="136"/>
        <v>0</v>
      </c>
      <c r="CO30" s="24">
        <f t="shared" si="32"/>
        <v>0</v>
      </c>
      <c r="CP30" s="24">
        <f t="shared" si="137"/>
        <v>0</v>
      </c>
      <c r="CQ30" s="24">
        <f t="shared" si="34"/>
        <v>0</v>
      </c>
      <c r="CR30" s="24">
        <f t="shared" si="138"/>
        <v>0</v>
      </c>
      <c r="CS30" s="24">
        <f t="shared" si="36"/>
        <v>0</v>
      </c>
      <c r="CT30" s="24">
        <f t="shared" si="139"/>
        <v>0</v>
      </c>
      <c r="CU30" s="24">
        <f t="shared" si="38"/>
        <v>0</v>
      </c>
      <c r="CV30" s="24">
        <f t="shared" si="140"/>
        <v>0</v>
      </c>
      <c r="CW30" s="24">
        <f t="shared" si="40"/>
        <v>0</v>
      </c>
      <c r="CX30" s="24">
        <f t="shared" si="141"/>
        <v>0</v>
      </c>
      <c r="CY30" s="24">
        <f t="shared" si="42"/>
        <v>0</v>
      </c>
      <c r="CZ30" s="24">
        <f t="shared" si="142"/>
        <v>0</v>
      </c>
      <c r="DA30" s="24">
        <f t="shared" si="44"/>
        <v>0</v>
      </c>
      <c r="DB30" s="24">
        <f t="shared" si="143"/>
        <v>0</v>
      </c>
      <c r="DC30" s="24">
        <f t="shared" si="46"/>
        <v>0</v>
      </c>
      <c r="DD30" s="24">
        <f t="shared" si="144"/>
        <v>0</v>
      </c>
      <c r="DE30" s="24">
        <f t="shared" si="48"/>
        <v>0</v>
      </c>
      <c r="DF30" s="24">
        <f t="shared" si="145"/>
        <v>0</v>
      </c>
      <c r="DG30" s="24">
        <f t="shared" si="50"/>
        <v>0</v>
      </c>
      <c r="DH30" s="24">
        <f t="shared" si="146"/>
        <v>0</v>
      </c>
      <c r="DI30" s="24">
        <f t="shared" si="52"/>
        <v>0</v>
      </c>
      <c r="DJ30" s="24">
        <f t="shared" si="147"/>
        <v>0</v>
      </c>
      <c r="DK30" s="24">
        <f t="shared" si="54"/>
        <v>0</v>
      </c>
      <c r="DL30" s="24">
        <f t="shared" si="148"/>
        <v>0</v>
      </c>
      <c r="DM30" s="24">
        <f t="shared" si="56"/>
        <v>0</v>
      </c>
      <c r="DN30" s="24">
        <f t="shared" si="149"/>
        <v>0</v>
      </c>
      <c r="DO30" s="24">
        <f t="shared" si="58"/>
        <v>0</v>
      </c>
      <c r="DP30" s="24">
        <f t="shared" si="150"/>
        <v>0</v>
      </c>
      <c r="DQ30" s="24">
        <f t="shared" si="60"/>
        <v>0</v>
      </c>
      <c r="DR30" s="24">
        <f t="shared" si="151"/>
        <v>0</v>
      </c>
      <c r="DS30" s="24">
        <f t="shared" si="62"/>
        <v>0</v>
      </c>
      <c r="DT30" s="24">
        <f t="shared" si="152"/>
        <v>0</v>
      </c>
      <c r="DU30" s="24">
        <f t="shared" si="64"/>
        <v>0</v>
      </c>
      <c r="DV30" s="24">
        <f t="shared" si="153"/>
        <v>0</v>
      </c>
      <c r="DW30" s="24">
        <f t="shared" si="66"/>
        <v>0</v>
      </c>
      <c r="DX30" s="24">
        <f t="shared" si="154"/>
        <v>0</v>
      </c>
      <c r="DY30" s="24">
        <f t="shared" si="68"/>
        <v>0</v>
      </c>
      <c r="DZ30" s="24">
        <f t="shared" si="155"/>
        <v>0</v>
      </c>
      <c r="EA30" s="24">
        <f t="shared" si="70"/>
        <v>0</v>
      </c>
      <c r="EB30" s="24">
        <f t="shared" si="156"/>
        <v>0</v>
      </c>
      <c r="EC30" s="24">
        <f t="shared" si="72"/>
        <v>0</v>
      </c>
      <c r="ED30" s="24">
        <f t="shared" si="157"/>
        <v>0</v>
      </c>
      <c r="EE30" s="25"/>
    </row>
    <row r="31" spans="1:135" s="2" customFormat="1" ht="18" customHeight="1" x14ac:dyDescent="0.25">
      <c r="A31" s="15">
        <v>28</v>
      </c>
      <c r="B31" s="108" t="s">
        <v>399</v>
      </c>
      <c r="C31" s="26" t="s">
        <v>343</v>
      </c>
      <c r="D31" s="90" t="s">
        <v>107</v>
      </c>
      <c r="E31" s="18">
        <v>45496</v>
      </c>
      <c r="F31" s="19">
        <v>10</v>
      </c>
      <c r="G31" s="19">
        <v>10</v>
      </c>
      <c r="H31" s="19">
        <v>10</v>
      </c>
      <c r="I31" s="19">
        <v>10</v>
      </c>
      <c r="J31" s="19" t="s">
        <v>603</v>
      </c>
      <c r="K31" s="19">
        <v>10</v>
      </c>
      <c r="L31" s="19" t="s">
        <v>15</v>
      </c>
      <c r="M31" s="19">
        <v>10</v>
      </c>
      <c r="N31" s="19">
        <v>10</v>
      </c>
      <c r="O31" s="19">
        <v>10</v>
      </c>
      <c r="P31" s="19">
        <v>10</v>
      </c>
      <c r="Q31" s="19">
        <v>10</v>
      </c>
      <c r="R31" s="19">
        <v>10</v>
      </c>
      <c r="S31" s="19" t="s">
        <v>15</v>
      </c>
      <c r="T31" s="19">
        <v>10</v>
      </c>
      <c r="U31" s="19">
        <v>10</v>
      </c>
      <c r="V31" s="19">
        <v>10</v>
      </c>
      <c r="W31" s="19">
        <v>10</v>
      </c>
      <c r="X31" s="19">
        <v>10</v>
      </c>
      <c r="Y31" s="19">
        <v>10</v>
      </c>
      <c r="Z31" s="19" t="s">
        <v>15</v>
      </c>
      <c r="AA31" s="19">
        <v>10</v>
      </c>
      <c r="AB31" s="19">
        <v>10</v>
      </c>
      <c r="AC31" s="19">
        <v>10</v>
      </c>
      <c r="AD31" s="19">
        <v>10</v>
      </c>
      <c r="AE31" s="19">
        <v>10</v>
      </c>
      <c r="AF31" s="19">
        <v>10</v>
      </c>
      <c r="AG31" s="19" t="s">
        <v>15</v>
      </c>
      <c r="AH31" s="19">
        <v>10</v>
      </c>
      <c r="AI31" s="19">
        <v>10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f t="shared" si="119"/>
        <v>50</v>
      </c>
      <c r="AU31" s="19">
        <f t="shared" si="120"/>
        <v>0</v>
      </c>
      <c r="AV31" s="19">
        <f t="shared" si="121"/>
        <v>0</v>
      </c>
      <c r="AW31" s="16">
        <f t="shared" ref="AW31:AW61" si="158">COUNTIF(F31:AI31,"8")+COUNTIF(F31:AI31,"8.5")+COUNTIF(F31:AI31,"9")+COUNTIF(F31:AI31,"9.5")+COUNTIF(F31:AI31,"10")+COUNTIF(F31:AI31,"10.5")+COUNTIF(F31:AI31,"11")+COUNTIF(F31:AI31,"11.5")+COUNTIF(F31:AI31,"12")+COUNTIF(F31:AI31,"12.5")+COUNTIF(F31:AI31,"13")+COUNTIF(F31:AI31,"13.5")+COUNTIF(F31:AI31,"14")+COUNTIF(F31:AI31,"14.5")+COUNTIF(F31:AI31,"15")+COUNTIF(F31:AI31,"15.5")+COUNTIF(F31:AI31,"16")+COUNTIF(F31:AI31,"16.5")+COUNTIF(F31:AI31,"17")+COUNTIF(F31:AI31,"17.5")+COUNTIF(F31:AI31,"18")+COUNTIF(F31:AI31,"18.5")+COUNTIF(F31:AI31,"19")+COUNTIF(F31:AI31,"19.5")+COUNTIF(F31:AI31,"20")+COUNTIF(F31:AI31,"20.5")+COUNTIF(F31:AI31,"21")+COUNTIF(F31:AI31,"21.5")+COUNTIF(F31:AI31,"22")+COUNTIF(F31:AI31,"22.5")+COUNTIF(F31:AI31,"23")+COUNTIF(F31:AI31,"23.5")+COUNTIF(F31:AI31,"24")+COUNTIF(F31:AI31,"S")+COUNTIF(F31:AI31,"PH")+COUNTIF(F31:AI31,"ML")+COUNTIF(F31:AI31,"OD")</f>
        <v>30</v>
      </c>
      <c r="AX31" s="16">
        <f t="shared" ref="AX31:AX61" si="159">COUNTIF(F31:AI31,"A")</f>
        <v>0</v>
      </c>
      <c r="AY31" s="38">
        <f t="shared" ref="AY31:AY61" si="160">COUNTIF(F31:AI31,"ID")</f>
        <v>0</v>
      </c>
      <c r="AZ31" s="36">
        <v>1000</v>
      </c>
      <c r="BA31" s="20">
        <v>100</v>
      </c>
      <c r="BB31" s="21">
        <v>0</v>
      </c>
      <c r="BC31" s="19">
        <f t="shared" si="74"/>
        <v>1000</v>
      </c>
      <c r="BD31" s="19">
        <f t="shared" si="75"/>
        <v>100</v>
      </c>
      <c r="BE31" s="19">
        <f t="shared" si="76"/>
        <v>260</v>
      </c>
      <c r="BF31" s="19">
        <f t="shared" si="77"/>
        <v>0</v>
      </c>
      <c r="BG31" s="19">
        <f t="shared" si="78"/>
        <v>0</v>
      </c>
      <c r="BH31" s="19">
        <f t="shared" si="79"/>
        <v>0</v>
      </c>
      <c r="BI31" s="19">
        <v>0</v>
      </c>
      <c r="BJ31" s="19">
        <v>95</v>
      </c>
      <c r="BK31" s="19">
        <f t="shared" si="122"/>
        <v>1455</v>
      </c>
      <c r="BL31" s="19">
        <v>0</v>
      </c>
      <c r="BM31" s="19">
        <v>0</v>
      </c>
      <c r="BN31" s="19">
        <f t="shared" si="123"/>
        <v>0</v>
      </c>
      <c r="BO31" s="19">
        <f t="shared" si="124"/>
        <v>1455</v>
      </c>
      <c r="BP31" s="19">
        <v>0</v>
      </c>
      <c r="BQ31" s="19">
        <v>0</v>
      </c>
      <c r="BR31" s="22">
        <f t="shared" si="125"/>
        <v>1455</v>
      </c>
      <c r="BS31" s="23">
        <f t="shared" ref="BS31:BS61" si="161">COUNTIF(F31:AI31, "8.5")</f>
        <v>0</v>
      </c>
      <c r="BT31" s="24">
        <f t="shared" si="126"/>
        <v>0</v>
      </c>
      <c r="BU31" s="24">
        <f t="shared" ref="BU31:BU61" si="162">COUNTIF(F31:AI31, "9")</f>
        <v>0</v>
      </c>
      <c r="BV31" s="24">
        <f t="shared" si="127"/>
        <v>0</v>
      </c>
      <c r="BW31" s="24">
        <f t="shared" ref="BW31:BW61" si="163">COUNTIF(F31:AI31, "9.5")</f>
        <v>0</v>
      </c>
      <c r="BX31" s="24">
        <f t="shared" si="128"/>
        <v>0</v>
      </c>
      <c r="BY31" s="24">
        <f t="shared" ref="BY31:BY61" si="164">COUNTIF(F31:AI31, "10")</f>
        <v>25</v>
      </c>
      <c r="BZ31" s="24">
        <f t="shared" si="129"/>
        <v>50</v>
      </c>
      <c r="CA31" s="24">
        <f t="shared" ref="CA31:CA61" si="165">COUNTIF(F31:AI31, "10.5")</f>
        <v>0</v>
      </c>
      <c r="CB31" s="24">
        <f t="shared" si="130"/>
        <v>0</v>
      </c>
      <c r="CC31" s="24">
        <f t="shared" ref="CC31:CC61" si="166">COUNTIF(F31:AI31, "11")</f>
        <v>0</v>
      </c>
      <c r="CD31" s="24">
        <f t="shared" si="131"/>
        <v>0</v>
      </c>
      <c r="CE31" s="24">
        <f t="shared" ref="CE31:CE61" si="167">COUNTIF(F31:AI31, "11.5")</f>
        <v>0</v>
      </c>
      <c r="CF31" s="24">
        <f t="shared" si="132"/>
        <v>0</v>
      </c>
      <c r="CG31" s="24">
        <f t="shared" ref="CG31:CG61" si="168">COUNTIF(F31:AI31, "12")</f>
        <v>0</v>
      </c>
      <c r="CH31" s="24">
        <f t="shared" si="133"/>
        <v>0</v>
      </c>
      <c r="CI31" s="24">
        <f t="shared" ref="CI31:CI61" si="169">COUNTIF(F31:AI31, "12.5")</f>
        <v>0</v>
      </c>
      <c r="CJ31" s="24">
        <f t="shared" si="134"/>
        <v>0</v>
      </c>
      <c r="CK31" s="24">
        <f t="shared" ref="CK31:CK61" si="170">COUNTIF(F31:AI31, "13")</f>
        <v>0</v>
      </c>
      <c r="CL31" s="24">
        <f t="shared" si="135"/>
        <v>0</v>
      </c>
      <c r="CM31" s="24">
        <f t="shared" ref="CM31:CM61" si="171">COUNTIF(F31:AI31, "13.5")</f>
        <v>0</v>
      </c>
      <c r="CN31" s="24">
        <f t="shared" si="136"/>
        <v>0</v>
      </c>
      <c r="CO31" s="24">
        <f t="shared" ref="CO31:CO61" si="172">COUNTIF(F31:AI31, "14")</f>
        <v>0</v>
      </c>
      <c r="CP31" s="24">
        <f t="shared" si="137"/>
        <v>0</v>
      </c>
      <c r="CQ31" s="24">
        <f t="shared" ref="CQ31:CQ61" si="173">COUNTIF(F31:AI31, "14.5")</f>
        <v>0</v>
      </c>
      <c r="CR31" s="24">
        <f t="shared" si="138"/>
        <v>0</v>
      </c>
      <c r="CS31" s="24">
        <f t="shared" ref="CS31:CS61" si="174">COUNTIF(F31:AI31, "15")</f>
        <v>0</v>
      </c>
      <c r="CT31" s="24">
        <f t="shared" si="139"/>
        <v>0</v>
      </c>
      <c r="CU31" s="24">
        <f t="shared" ref="CU31:CU61" si="175">COUNTIF(F31:AI31, "15.5")</f>
        <v>0</v>
      </c>
      <c r="CV31" s="24">
        <f t="shared" si="140"/>
        <v>0</v>
      </c>
      <c r="CW31" s="24">
        <f t="shared" ref="CW31:CW61" si="176">COUNTIF(F31:AI31, "16")</f>
        <v>0</v>
      </c>
      <c r="CX31" s="24">
        <f t="shared" si="141"/>
        <v>0</v>
      </c>
      <c r="CY31" s="24">
        <f t="shared" ref="CY31:CY61" si="177">COUNTIF(F31:AI31, "16.5")</f>
        <v>0</v>
      </c>
      <c r="CZ31" s="24">
        <f t="shared" si="142"/>
        <v>0</v>
      </c>
      <c r="DA31" s="24">
        <f t="shared" ref="DA31:DA61" si="178">COUNTIF(F31:AI31, "17")</f>
        <v>0</v>
      </c>
      <c r="DB31" s="24">
        <f t="shared" si="143"/>
        <v>0</v>
      </c>
      <c r="DC31" s="24">
        <f t="shared" ref="DC31:DC61" si="179">COUNTIF(F31:AI31, "17.5")</f>
        <v>0</v>
      </c>
      <c r="DD31" s="24">
        <f t="shared" si="144"/>
        <v>0</v>
      </c>
      <c r="DE31" s="24">
        <f t="shared" ref="DE31:DE61" si="180">COUNTIF(F31:AI31, "18")</f>
        <v>0</v>
      </c>
      <c r="DF31" s="24">
        <f t="shared" si="145"/>
        <v>0</v>
      </c>
      <c r="DG31" s="24">
        <f t="shared" ref="DG31:DG61" si="181">COUNTIF(F31:AI31, "18.5")</f>
        <v>0</v>
      </c>
      <c r="DH31" s="24">
        <f t="shared" si="146"/>
        <v>0</v>
      </c>
      <c r="DI31" s="24">
        <f t="shared" ref="DI31:DI61" si="182">COUNTIF(F31:AI31, "19")</f>
        <v>0</v>
      </c>
      <c r="DJ31" s="24">
        <f t="shared" si="147"/>
        <v>0</v>
      </c>
      <c r="DK31" s="24">
        <f t="shared" ref="DK31:DK61" si="183">COUNTIF(F31:AI31, "19.5")</f>
        <v>0</v>
      </c>
      <c r="DL31" s="24">
        <f t="shared" si="148"/>
        <v>0</v>
      </c>
      <c r="DM31" s="24">
        <f t="shared" ref="DM31:DM61" si="184">COUNTIF(F31:AI31, "20")</f>
        <v>0</v>
      </c>
      <c r="DN31" s="24">
        <f t="shared" si="149"/>
        <v>0</v>
      </c>
      <c r="DO31" s="24">
        <f t="shared" ref="DO31:DO61" si="185">COUNTIF(F31:AI31, "20.5")</f>
        <v>0</v>
      </c>
      <c r="DP31" s="24">
        <f t="shared" si="150"/>
        <v>0</v>
      </c>
      <c r="DQ31" s="24">
        <f t="shared" ref="DQ31:DQ61" si="186">COUNTIF(F31:AI31, "21")</f>
        <v>0</v>
      </c>
      <c r="DR31" s="24">
        <f t="shared" si="151"/>
        <v>0</v>
      </c>
      <c r="DS31" s="24">
        <f t="shared" ref="DS31:DS61" si="187">COUNTIF(F31:AI31, "21.5")</f>
        <v>0</v>
      </c>
      <c r="DT31" s="24">
        <f t="shared" si="152"/>
        <v>0</v>
      </c>
      <c r="DU31" s="24">
        <f t="shared" ref="DU31:DU61" si="188">COUNTIF(F31:AI31, "22")</f>
        <v>0</v>
      </c>
      <c r="DV31" s="24">
        <f t="shared" si="153"/>
        <v>0</v>
      </c>
      <c r="DW31" s="24">
        <f t="shared" ref="DW31:DW61" si="189">COUNTIF(F31:AI31, "22.5")</f>
        <v>0</v>
      </c>
      <c r="DX31" s="24">
        <f t="shared" si="154"/>
        <v>0</v>
      </c>
      <c r="DY31" s="24">
        <f t="shared" ref="DY31:DY61" si="190">COUNTIF(F31:AI31, "23")</f>
        <v>0</v>
      </c>
      <c r="DZ31" s="24">
        <f t="shared" si="155"/>
        <v>0</v>
      </c>
      <c r="EA31" s="24">
        <f t="shared" ref="EA31:EA61" si="191">COUNTIF(F31:AI31, "23.5")</f>
        <v>0</v>
      </c>
      <c r="EB31" s="24">
        <f t="shared" si="156"/>
        <v>0</v>
      </c>
      <c r="EC31" s="24">
        <f t="shared" ref="EC31:EC61" si="192">COUNTIF(F31:AI31, "24")</f>
        <v>0</v>
      </c>
      <c r="ED31" s="24">
        <f t="shared" si="157"/>
        <v>0</v>
      </c>
      <c r="EE31" s="25"/>
    </row>
    <row r="32" spans="1:135" s="2" customFormat="1" ht="18" customHeight="1" x14ac:dyDescent="0.25">
      <c r="A32" s="15">
        <v>29</v>
      </c>
      <c r="B32" s="108" t="s">
        <v>401</v>
      </c>
      <c r="C32" s="26" t="s">
        <v>345</v>
      </c>
      <c r="D32" s="90" t="s">
        <v>107</v>
      </c>
      <c r="E32" s="18">
        <v>45497</v>
      </c>
      <c r="F32" s="19">
        <v>10</v>
      </c>
      <c r="G32" s="19">
        <v>8</v>
      </c>
      <c r="H32" s="19">
        <v>10</v>
      </c>
      <c r="I32" s="19">
        <v>10</v>
      </c>
      <c r="J32" s="19" t="s">
        <v>603</v>
      </c>
      <c r="K32" s="19">
        <v>10</v>
      </c>
      <c r="L32" s="19" t="s">
        <v>15</v>
      </c>
      <c r="M32" s="19">
        <v>10</v>
      </c>
      <c r="N32" s="19">
        <v>10</v>
      </c>
      <c r="O32" s="19">
        <v>10</v>
      </c>
      <c r="P32" s="19">
        <v>10</v>
      </c>
      <c r="Q32" s="19">
        <v>10</v>
      </c>
      <c r="R32" s="19">
        <v>10</v>
      </c>
      <c r="S32" s="19" t="s">
        <v>15</v>
      </c>
      <c r="T32" s="19">
        <v>10</v>
      </c>
      <c r="U32" s="19">
        <v>10</v>
      </c>
      <c r="V32" s="19">
        <v>10</v>
      </c>
      <c r="W32" s="19">
        <v>10</v>
      </c>
      <c r="X32" s="19">
        <v>10</v>
      </c>
      <c r="Y32" s="19">
        <v>10</v>
      </c>
      <c r="Z32" s="19" t="s">
        <v>15</v>
      </c>
      <c r="AA32" s="19">
        <v>11</v>
      </c>
      <c r="AB32" s="19">
        <v>11</v>
      </c>
      <c r="AC32" s="19">
        <v>11</v>
      </c>
      <c r="AD32" s="19">
        <v>11</v>
      </c>
      <c r="AE32" s="19">
        <v>11</v>
      </c>
      <c r="AF32" s="19">
        <v>11</v>
      </c>
      <c r="AG32" s="19" t="s">
        <v>15</v>
      </c>
      <c r="AH32" s="19">
        <v>11</v>
      </c>
      <c r="AI32" s="19">
        <v>11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f t="shared" si="119"/>
        <v>56</v>
      </c>
      <c r="AU32" s="19">
        <f t="shared" si="120"/>
        <v>0</v>
      </c>
      <c r="AV32" s="19">
        <f t="shared" si="121"/>
        <v>0</v>
      </c>
      <c r="AW32" s="16">
        <f t="shared" si="158"/>
        <v>30</v>
      </c>
      <c r="AX32" s="16">
        <f t="shared" si="159"/>
        <v>0</v>
      </c>
      <c r="AY32" s="38">
        <f t="shared" si="160"/>
        <v>0</v>
      </c>
      <c r="AZ32" s="37">
        <v>900</v>
      </c>
      <c r="BA32" s="20">
        <v>100</v>
      </c>
      <c r="BB32" s="21">
        <v>0</v>
      </c>
      <c r="BC32" s="19">
        <f t="shared" si="74"/>
        <v>900</v>
      </c>
      <c r="BD32" s="19">
        <f t="shared" si="75"/>
        <v>100</v>
      </c>
      <c r="BE32" s="19">
        <f t="shared" si="76"/>
        <v>263</v>
      </c>
      <c r="BF32" s="19">
        <f t="shared" si="77"/>
        <v>0</v>
      </c>
      <c r="BG32" s="19">
        <f t="shared" si="78"/>
        <v>0</v>
      </c>
      <c r="BH32" s="19">
        <f t="shared" si="79"/>
        <v>0</v>
      </c>
      <c r="BI32" s="19">
        <v>0</v>
      </c>
      <c r="BJ32" s="19">
        <v>95</v>
      </c>
      <c r="BK32" s="19">
        <f t="shared" si="122"/>
        <v>1358</v>
      </c>
      <c r="BL32" s="19">
        <v>0</v>
      </c>
      <c r="BM32" s="19">
        <v>0</v>
      </c>
      <c r="BN32" s="19">
        <f t="shared" si="123"/>
        <v>0</v>
      </c>
      <c r="BO32" s="19">
        <f t="shared" si="124"/>
        <v>1358</v>
      </c>
      <c r="BP32" s="19">
        <v>0</v>
      </c>
      <c r="BQ32" s="19">
        <v>0</v>
      </c>
      <c r="BR32" s="22">
        <f t="shared" si="125"/>
        <v>1358</v>
      </c>
      <c r="BS32" s="23">
        <f t="shared" si="161"/>
        <v>0</v>
      </c>
      <c r="BT32" s="24">
        <f t="shared" si="126"/>
        <v>0</v>
      </c>
      <c r="BU32" s="24">
        <f t="shared" si="162"/>
        <v>0</v>
      </c>
      <c r="BV32" s="24">
        <f t="shared" si="127"/>
        <v>0</v>
      </c>
      <c r="BW32" s="24">
        <f t="shared" si="163"/>
        <v>0</v>
      </c>
      <c r="BX32" s="24">
        <f t="shared" si="128"/>
        <v>0</v>
      </c>
      <c r="BY32" s="24">
        <f t="shared" si="164"/>
        <v>16</v>
      </c>
      <c r="BZ32" s="24">
        <f t="shared" si="129"/>
        <v>32</v>
      </c>
      <c r="CA32" s="24">
        <f t="shared" si="165"/>
        <v>0</v>
      </c>
      <c r="CB32" s="24">
        <f t="shared" si="130"/>
        <v>0</v>
      </c>
      <c r="CC32" s="24">
        <f t="shared" si="166"/>
        <v>8</v>
      </c>
      <c r="CD32" s="24">
        <f t="shared" si="131"/>
        <v>24</v>
      </c>
      <c r="CE32" s="24">
        <f t="shared" si="167"/>
        <v>0</v>
      </c>
      <c r="CF32" s="24">
        <f t="shared" si="132"/>
        <v>0</v>
      </c>
      <c r="CG32" s="24">
        <f t="shared" si="168"/>
        <v>0</v>
      </c>
      <c r="CH32" s="24">
        <f t="shared" si="133"/>
        <v>0</v>
      </c>
      <c r="CI32" s="24">
        <f t="shared" si="169"/>
        <v>0</v>
      </c>
      <c r="CJ32" s="24">
        <f t="shared" si="134"/>
        <v>0</v>
      </c>
      <c r="CK32" s="24">
        <f t="shared" si="170"/>
        <v>0</v>
      </c>
      <c r="CL32" s="24">
        <f t="shared" si="135"/>
        <v>0</v>
      </c>
      <c r="CM32" s="24">
        <f t="shared" si="171"/>
        <v>0</v>
      </c>
      <c r="CN32" s="24">
        <f t="shared" si="136"/>
        <v>0</v>
      </c>
      <c r="CO32" s="24">
        <f t="shared" si="172"/>
        <v>0</v>
      </c>
      <c r="CP32" s="24">
        <f t="shared" si="137"/>
        <v>0</v>
      </c>
      <c r="CQ32" s="24">
        <f t="shared" si="173"/>
        <v>0</v>
      </c>
      <c r="CR32" s="24">
        <f t="shared" si="138"/>
        <v>0</v>
      </c>
      <c r="CS32" s="24">
        <f t="shared" si="174"/>
        <v>0</v>
      </c>
      <c r="CT32" s="24">
        <f t="shared" si="139"/>
        <v>0</v>
      </c>
      <c r="CU32" s="24">
        <f t="shared" si="175"/>
        <v>0</v>
      </c>
      <c r="CV32" s="24">
        <f t="shared" si="140"/>
        <v>0</v>
      </c>
      <c r="CW32" s="24">
        <f t="shared" si="176"/>
        <v>0</v>
      </c>
      <c r="CX32" s="24">
        <f t="shared" si="141"/>
        <v>0</v>
      </c>
      <c r="CY32" s="24">
        <f t="shared" si="177"/>
        <v>0</v>
      </c>
      <c r="CZ32" s="24">
        <f t="shared" si="142"/>
        <v>0</v>
      </c>
      <c r="DA32" s="24">
        <f t="shared" si="178"/>
        <v>0</v>
      </c>
      <c r="DB32" s="24">
        <f t="shared" si="143"/>
        <v>0</v>
      </c>
      <c r="DC32" s="24">
        <f t="shared" si="179"/>
        <v>0</v>
      </c>
      <c r="DD32" s="24">
        <f t="shared" si="144"/>
        <v>0</v>
      </c>
      <c r="DE32" s="24">
        <f t="shared" si="180"/>
        <v>0</v>
      </c>
      <c r="DF32" s="24">
        <f t="shared" si="145"/>
        <v>0</v>
      </c>
      <c r="DG32" s="24">
        <f t="shared" si="181"/>
        <v>0</v>
      </c>
      <c r="DH32" s="24">
        <f t="shared" si="146"/>
        <v>0</v>
      </c>
      <c r="DI32" s="24">
        <f t="shared" si="182"/>
        <v>0</v>
      </c>
      <c r="DJ32" s="24">
        <f t="shared" si="147"/>
        <v>0</v>
      </c>
      <c r="DK32" s="24">
        <f t="shared" si="183"/>
        <v>0</v>
      </c>
      <c r="DL32" s="24">
        <f t="shared" si="148"/>
        <v>0</v>
      </c>
      <c r="DM32" s="24">
        <f t="shared" si="184"/>
        <v>0</v>
      </c>
      <c r="DN32" s="24">
        <f t="shared" si="149"/>
        <v>0</v>
      </c>
      <c r="DO32" s="24">
        <f t="shared" si="185"/>
        <v>0</v>
      </c>
      <c r="DP32" s="24">
        <f t="shared" si="150"/>
        <v>0</v>
      </c>
      <c r="DQ32" s="24">
        <f t="shared" si="186"/>
        <v>0</v>
      </c>
      <c r="DR32" s="24">
        <f t="shared" si="151"/>
        <v>0</v>
      </c>
      <c r="DS32" s="24">
        <f t="shared" si="187"/>
        <v>0</v>
      </c>
      <c r="DT32" s="24">
        <f t="shared" si="152"/>
        <v>0</v>
      </c>
      <c r="DU32" s="24">
        <f t="shared" si="188"/>
        <v>0</v>
      </c>
      <c r="DV32" s="24">
        <f t="shared" si="153"/>
        <v>0</v>
      </c>
      <c r="DW32" s="24">
        <f t="shared" si="189"/>
        <v>0</v>
      </c>
      <c r="DX32" s="24">
        <f t="shared" si="154"/>
        <v>0</v>
      </c>
      <c r="DY32" s="24">
        <f t="shared" si="190"/>
        <v>0</v>
      </c>
      <c r="DZ32" s="24">
        <f t="shared" si="155"/>
        <v>0</v>
      </c>
      <c r="EA32" s="24">
        <f t="shared" si="191"/>
        <v>0</v>
      </c>
      <c r="EB32" s="24">
        <f t="shared" si="156"/>
        <v>0</v>
      </c>
      <c r="EC32" s="24">
        <f t="shared" si="192"/>
        <v>0</v>
      </c>
      <c r="ED32" s="24">
        <f t="shared" si="157"/>
        <v>0</v>
      </c>
      <c r="EE32" s="25"/>
    </row>
    <row r="33" spans="1:135" s="2" customFormat="1" ht="18" customHeight="1" x14ac:dyDescent="0.25">
      <c r="A33" s="15">
        <v>30</v>
      </c>
      <c r="B33" s="108" t="s">
        <v>402</v>
      </c>
      <c r="C33" s="26" t="s">
        <v>365</v>
      </c>
      <c r="D33" s="90" t="s">
        <v>107</v>
      </c>
      <c r="E33" s="18">
        <v>45515</v>
      </c>
      <c r="F33" s="19">
        <v>10</v>
      </c>
      <c r="G33" s="19">
        <v>8</v>
      </c>
      <c r="H33" s="19">
        <v>10</v>
      </c>
      <c r="I33" s="19">
        <v>10</v>
      </c>
      <c r="J33" s="19" t="s">
        <v>603</v>
      </c>
      <c r="K33" s="19">
        <v>10</v>
      </c>
      <c r="L33" s="19" t="s">
        <v>15</v>
      </c>
      <c r="M33" s="19">
        <v>10</v>
      </c>
      <c r="N33" s="19">
        <v>10</v>
      </c>
      <c r="O33" s="19">
        <v>10</v>
      </c>
      <c r="P33" s="19">
        <v>10</v>
      </c>
      <c r="Q33" s="19">
        <v>10</v>
      </c>
      <c r="R33" s="19">
        <v>10</v>
      </c>
      <c r="S33" s="19" t="s">
        <v>15</v>
      </c>
      <c r="T33" s="19">
        <v>10</v>
      </c>
      <c r="U33" s="19">
        <v>10</v>
      </c>
      <c r="V33" s="19">
        <v>10</v>
      </c>
      <c r="W33" s="19">
        <v>10</v>
      </c>
      <c r="X33" s="19">
        <v>10</v>
      </c>
      <c r="Y33" s="19">
        <v>10</v>
      </c>
      <c r="Z33" s="19" t="s">
        <v>15</v>
      </c>
      <c r="AA33" s="19">
        <v>11</v>
      </c>
      <c r="AB33" s="19">
        <v>11</v>
      </c>
      <c r="AC33" s="19">
        <v>11</v>
      </c>
      <c r="AD33" s="19">
        <v>11</v>
      </c>
      <c r="AE33" s="19">
        <v>11</v>
      </c>
      <c r="AF33" s="19">
        <v>11</v>
      </c>
      <c r="AG33" s="19" t="s">
        <v>15</v>
      </c>
      <c r="AH33" s="19">
        <v>11</v>
      </c>
      <c r="AI33" s="19">
        <v>11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f t="shared" si="119"/>
        <v>56</v>
      </c>
      <c r="AU33" s="19">
        <f t="shared" si="120"/>
        <v>0</v>
      </c>
      <c r="AV33" s="19">
        <f t="shared" ref="AV33:AV61" si="193">SUM(AO33:AS33)</f>
        <v>0</v>
      </c>
      <c r="AW33" s="16">
        <f t="shared" si="158"/>
        <v>30</v>
      </c>
      <c r="AX33" s="16">
        <f t="shared" si="159"/>
        <v>0</v>
      </c>
      <c r="AY33" s="38">
        <f t="shared" si="160"/>
        <v>0</v>
      </c>
      <c r="AZ33" s="36">
        <v>900</v>
      </c>
      <c r="BA33" s="20">
        <v>100</v>
      </c>
      <c r="BB33" s="21">
        <v>0</v>
      </c>
      <c r="BC33" s="19">
        <f t="shared" si="74"/>
        <v>900</v>
      </c>
      <c r="BD33" s="19">
        <f t="shared" si="75"/>
        <v>100</v>
      </c>
      <c r="BE33" s="19">
        <f t="shared" si="76"/>
        <v>263</v>
      </c>
      <c r="BF33" s="19">
        <f t="shared" si="77"/>
        <v>0</v>
      </c>
      <c r="BG33" s="19">
        <f t="shared" si="78"/>
        <v>0</v>
      </c>
      <c r="BH33" s="19">
        <f t="shared" si="79"/>
        <v>0</v>
      </c>
      <c r="BI33" s="19">
        <v>0</v>
      </c>
      <c r="BJ33" s="19">
        <v>95</v>
      </c>
      <c r="BK33" s="19">
        <f t="shared" si="122"/>
        <v>1358</v>
      </c>
      <c r="BL33" s="19">
        <v>0</v>
      </c>
      <c r="BM33" s="19">
        <v>0</v>
      </c>
      <c r="BN33" s="19">
        <f t="shared" si="123"/>
        <v>0</v>
      </c>
      <c r="BO33" s="19">
        <f t="shared" si="124"/>
        <v>1358</v>
      </c>
      <c r="BP33" s="19">
        <v>0</v>
      </c>
      <c r="BQ33" s="19">
        <v>0</v>
      </c>
      <c r="BR33" s="22">
        <f t="shared" si="125"/>
        <v>1358</v>
      </c>
      <c r="BS33" s="23">
        <f t="shared" si="161"/>
        <v>0</v>
      </c>
      <c r="BT33" s="24">
        <f t="shared" ref="BT33:BT61" si="194">BS33*0.5</f>
        <v>0</v>
      </c>
      <c r="BU33" s="24">
        <f t="shared" si="162"/>
        <v>0</v>
      </c>
      <c r="BV33" s="24">
        <f t="shared" ref="BV33:BV61" si="195">BU33*1</f>
        <v>0</v>
      </c>
      <c r="BW33" s="24">
        <f t="shared" si="163"/>
        <v>0</v>
      </c>
      <c r="BX33" s="24">
        <f t="shared" ref="BX33:BX61" si="196">BW33*1.5</f>
        <v>0</v>
      </c>
      <c r="BY33" s="24">
        <f t="shared" si="164"/>
        <v>16</v>
      </c>
      <c r="BZ33" s="24">
        <f t="shared" ref="BZ33:BZ61" si="197">BY33*2</f>
        <v>32</v>
      </c>
      <c r="CA33" s="24">
        <f t="shared" si="165"/>
        <v>0</v>
      </c>
      <c r="CB33" s="24">
        <f t="shared" ref="CB33:CB61" si="198">CA33*2.5</f>
        <v>0</v>
      </c>
      <c r="CC33" s="24">
        <f t="shared" si="166"/>
        <v>8</v>
      </c>
      <c r="CD33" s="24">
        <f t="shared" ref="CD33:CD61" si="199">CC33*3</f>
        <v>24</v>
      </c>
      <c r="CE33" s="24">
        <f t="shared" si="167"/>
        <v>0</v>
      </c>
      <c r="CF33" s="24">
        <f t="shared" ref="CF33:CF61" si="200">CE33*3.5</f>
        <v>0</v>
      </c>
      <c r="CG33" s="24">
        <f t="shared" si="168"/>
        <v>0</v>
      </c>
      <c r="CH33" s="24">
        <f t="shared" ref="CH33:CH61" si="201">CG33*4</f>
        <v>0</v>
      </c>
      <c r="CI33" s="24">
        <f t="shared" si="169"/>
        <v>0</v>
      </c>
      <c r="CJ33" s="24">
        <f t="shared" ref="CJ33:CJ61" si="202">CI33*4.5</f>
        <v>0</v>
      </c>
      <c r="CK33" s="24">
        <f t="shared" si="170"/>
        <v>0</v>
      </c>
      <c r="CL33" s="24">
        <f t="shared" ref="CL33:CL61" si="203">CK33*5</f>
        <v>0</v>
      </c>
      <c r="CM33" s="24">
        <f t="shared" si="171"/>
        <v>0</v>
      </c>
      <c r="CN33" s="24">
        <f t="shared" ref="CN33:CN61" si="204">CM33*5.5</f>
        <v>0</v>
      </c>
      <c r="CO33" s="24">
        <f t="shared" si="172"/>
        <v>0</v>
      </c>
      <c r="CP33" s="24">
        <f t="shared" ref="CP33:CP61" si="205">CO33*6</f>
        <v>0</v>
      </c>
      <c r="CQ33" s="24">
        <f t="shared" si="173"/>
        <v>0</v>
      </c>
      <c r="CR33" s="24">
        <f t="shared" ref="CR33:CR61" si="206">CQ33*6.5</f>
        <v>0</v>
      </c>
      <c r="CS33" s="24">
        <f t="shared" si="174"/>
        <v>0</v>
      </c>
      <c r="CT33" s="24">
        <f t="shared" ref="CT33:CT61" si="207">CS33*7</f>
        <v>0</v>
      </c>
      <c r="CU33" s="24">
        <f t="shared" si="175"/>
        <v>0</v>
      </c>
      <c r="CV33" s="24">
        <f t="shared" ref="CV33:CV61" si="208">CU33*7.5</f>
        <v>0</v>
      </c>
      <c r="CW33" s="24">
        <f t="shared" si="176"/>
        <v>0</v>
      </c>
      <c r="CX33" s="24">
        <f t="shared" ref="CX33:CX61" si="209">CW33*8</f>
        <v>0</v>
      </c>
      <c r="CY33" s="24">
        <f t="shared" si="177"/>
        <v>0</v>
      </c>
      <c r="CZ33" s="24">
        <f t="shared" ref="CZ33:CZ61" si="210">CY33*8.5</f>
        <v>0</v>
      </c>
      <c r="DA33" s="24">
        <f t="shared" si="178"/>
        <v>0</v>
      </c>
      <c r="DB33" s="24">
        <f t="shared" ref="DB33:DB61" si="211">DA33*9</f>
        <v>0</v>
      </c>
      <c r="DC33" s="24">
        <f t="shared" si="179"/>
        <v>0</v>
      </c>
      <c r="DD33" s="24">
        <f t="shared" ref="DD33:DD61" si="212">DC33*9.5</f>
        <v>0</v>
      </c>
      <c r="DE33" s="24">
        <f t="shared" si="180"/>
        <v>0</v>
      </c>
      <c r="DF33" s="24">
        <f t="shared" ref="DF33:DF61" si="213">DE33*10</f>
        <v>0</v>
      </c>
      <c r="DG33" s="24">
        <f t="shared" si="181"/>
        <v>0</v>
      </c>
      <c r="DH33" s="24">
        <f t="shared" ref="DH33:DH61" si="214">DG33*10.5</f>
        <v>0</v>
      </c>
      <c r="DI33" s="24">
        <f t="shared" si="182"/>
        <v>0</v>
      </c>
      <c r="DJ33" s="24">
        <f t="shared" ref="DJ33:DJ61" si="215">DI33*11</f>
        <v>0</v>
      </c>
      <c r="DK33" s="24">
        <f t="shared" si="183"/>
        <v>0</v>
      </c>
      <c r="DL33" s="24">
        <f t="shared" ref="DL33:DL61" si="216">DK33*11.5</f>
        <v>0</v>
      </c>
      <c r="DM33" s="24">
        <f t="shared" si="184"/>
        <v>0</v>
      </c>
      <c r="DN33" s="24">
        <f t="shared" ref="DN33:DN61" si="217">DM33*12</f>
        <v>0</v>
      </c>
      <c r="DO33" s="24">
        <f t="shared" si="185"/>
        <v>0</v>
      </c>
      <c r="DP33" s="24">
        <f t="shared" ref="DP33:DP61" si="218">DO33*12.5</f>
        <v>0</v>
      </c>
      <c r="DQ33" s="24">
        <f t="shared" si="186"/>
        <v>0</v>
      </c>
      <c r="DR33" s="24">
        <f t="shared" ref="DR33:DR61" si="219">DQ33*13</f>
        <v>0</v>
      </c>
      <c r="DS33" s="24">
        <f t="shared" si="187"/>
        <v>0</v>
      </c>
      <c r="DT33" s="24">
        <f t="shared" ref="DT33:DT61" si="220">DS33*13.5</f>
        <v>0</v>
      </c>
      <c r="DU33" s="24">
        <f t="shared" si="188"/>
        <v>0</v>
      </c>
      <c r="DV33" s="24">
        <f t="shared" ref="DV33:DV61" si="221">DU33*14</f>
        <v>0</v>
      </c>
      <c r="DW33" s="24">
        <f t="shared" si="189"/>
        <v>0</v>
      </c>
      <c r="DX33" s="24">
        <f t="shared" ref="DX33:DX61" si="222">DW33*14.5</f>
        <v>0</v>
      </c>
      <c r="DY33" s="24">
        <f t="shared" si="190"/>
        <v>0</v>
      </c>
      <c r="DZ33" s="24">
        <f t="shared" ref="DZ33:DZ61" si="223">DY33*15</f>
        <v>0</v>
      </c>
      <c r="EA33" s="24">
        <f t="shared" si="191"/>
        <v>0</v>
      </c>
      <c r="EB33" s="24">
        <f t="shared" ref="EB33:EB61" si="224">EA33*15.5</f>
        <v>0</v>
      </c>
      <c r="EC33" s="24">
        <f t="shared" si="192"/>
        <v>0</v>
      </c>
      <c r="ED33" s="24">
        <f t="shared" ref="ED33:ED61" si="225">EC33*16</f>
        <v>0</v>
      </c>
      <c r="EE33" s="25"/>
    </row>
    <row r="34" spans="1:135" s="2" customFormat="1" ht="18" customHeight="1" x14ac:dyDescent="0.25">
      <c r="A34" s="15">
        <v>31</v>
      </c>
      <c r="B34" s="108" t="s">
        <v>403</v>
      </c>
      <c r="C34" s="26" t="s">
        <v>366</v>
      </c>
      <c r="D34" s="90" t="s">
        <v>107</v>
      </c>
      <c r="E34" s="18">
        <v>45516</v>
      </c>
      <c r="F34" s="19">
        <v>11</v>
      </c>
      <c r="G34" s="19">
        <v>11</v>
      </c>
      <c r="H34" s="19">
        <v>11</v>
      </c>
      <c r="I34" s="19">
        <v>11</v>
      </c>
      <c r="J34" s="19" t="s">
        <v>603</v>
      </c>
      <c r="K34" s="19">
        <v>11</v>
      </c>
      <c r="L34" s="19" t="s">
        <v>15</v>
      </c>
      <c r="M34" s="19">
        <v>11</v>
      </c>
      <c r="N34" s="19">
        <v>11</v>
      </c>
      <c r="O34" s="19">
        <v>11</v>
      </c>
      <c r="P34" s="19">
        <v>11</v>
      </c>
      <c r="Q34" s="19">
        <v>11</v>
      </c>
      <c r="R34" s="19">
        <v>11</v>
      </c>
      <c r="S34" s="19" t="s">
        <v>15</v>
      </c>
      <c r="T34" s="19">
        <v>11</v>
      </c>
      <c r="U34" s="19">
        <v>11</v>
      </c>
      <c r="V34" s="19">
        <v>11</v>
      </c>
      <c r="W34" s="19">
        <v>11</v>
      </c>
      <c r="X34" s="19">
        <v>11</v>
      </c>
      <c r="Y34" s="19">
        <v>11</v>
      </c>
      <c r="Z34" s="19" t="s">
        <v>15</v>
      </c>
      <c r="AA34" s="19" t="s">
        <v>316</v>
      </c>
      <c r="AB34" s="19">
        <v>11</v>
      </c>
      <c r="AC34" s="19">
        <v>11</v>
      </c>
      <c r="AD34" s="19">
        <v>11</v>
      </c>
      <c r="AE34" s="19">
        <v>11</v>
      </c>
      <c r="AF34" s="19">
        <v>11</v>
      </c>
      <c r="AG34" s="19" t="s">
        <v>316</v>
      </c>
      <c r="AH34" s="19">
        <v>11</v>
      </c>
      <c r="AI34" s="19">
        <v>11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11</v>
      </c>
      <c r="AP34" s="19">
        <v>0</v>
      </c>
      <c r="AQ34" s="19">
        <v>0</v>
      </c>
      <c r="AR34" s="19">
        <v>0</v>
      </c>
      <c r="AS34" s="19">
        <v>0</v>
      </c>
      <c r="AT34" s="19">
        <f t="shared" si="119"/>
        <v>72</v>
      </c>
      <c r="AU34" s="19">
        <f t="shared" si="120"/>
        <v>0</v>
      </c>
      <c r="AV34" s="19">
        <f t="shared" si="193"/>
        <v>11</v>
      </c>
      <c r="AW34" s="16">
        <f t="shared" si="158"/>
        <v>28</v>
      </c>
      <c r="AX34" s="16">
        <f t="shared" si="159"/>
        <v>2</v>
      </c>
      <c r="AY34" s="38">
        <f t="shared" si="160"/>
        <v>0</v>
      </c>
      <c r="AZ34" s="37">
        <v>900</v>
      </c>
      <c r="BA34" s="20">
        <v>100</v>
      </c>
      <c r="BB34" s="21">
        <v>0</v>
      </c>
      <c r="BC34" s="19">
        <f t="shared" si="74"/>
        <v>840</v>
      </c>
      <c r="BD34" s="19">
        <f t="shared" si="75"/>
        <v>93</v>
      </c>
      <c r="BE34" s="19">
        <f t="shared" si="76"/>
        <v>399</v>
      </c>
      <c r="BF34" s="19">
        <f t="shared" si="77"/>
        <v>0</v>
      </c>
      <c r="BG34" s="19">
        <f t="shared" si="78"/>
        <v>0</v>
      </c>
      <c r="BH34" s="19">
        <f t="shared" si="79"/>
        <v>0</v>
      </c>
      <c r="BI34" s="19">
        <v>0</v>
      </c>
      <c r="BJ34" s="19">
        <v>0</v>
      </c>
      <c r="BK34" s="19">
        <f t="shared" si="122"/>
        <v>1332</v>
      </c>
      <c r="BL34" s="19">
        <v>0</v>
      </c>
      <c r="BM34" s="19">
        <v>0</v>
      </c>
      <c r="BN34" s="19">
        <f t="shared" si="123"/>
        <v>0</v>
      </c>
      <c r="BO34" s="19">
        <f t="shared" si="124"/>
        <v>1332</v>
      </c>
      <c r="BP34" s="19">
        <v>0</v>
      </c>
      <c r="BQ34" s="19">
        <v>0</v>
      </c>
      <c r="BR34" s="22">
        <f t="shared" si="125"/>
        <v>1332</v>
      </c>
      <c r="BS34" s="23">
        <f t="shared" si="161"/>
        <v>0</v>
      </c>
      <c r="BT34" s="24">
        <f t="shared" si="194"/>
        <v>0</v>
      </c>
      <c r="BU34" s="24">
        <f t="shared" si="162"/>
        <v>0</v>
      </c>
      <c r="BV34" s="24">
        <f t="shared" si="195"/>
        <v>0</v>
      </c>
      <c r="BW34" s="24">
        <f t="shared" si="163"/>
        <v>0</v>
      </c>
      <c r="BX34" s="24">
        <f t="shared" si="196"/>
        <v>0</v>
      </c>
      <c r="BY34" s="24">
        <f t="shared" si="164"/>
        <v>0</v>
      </c>
      <c r="BZ34" s="24">
        <f t="shared" si="197"/>
        <v>0</v>
      </c>
      <c r="CA34" s="24">
        <f t="shared" si="165"/>
        <v>0</v>
      </c>
      <c r="CB34" s="24">
        <f t="shared" si="198"/>
        <v>0</v>
      </c>
      <c r="CC34" s="24">
        <f t="shared" si="166"/>
        <v>24</v>
      </c>
      <c r="CD34" s="24">
        <f t="shared" si="199"/>
        <v>72</v>
      </c>
      <c r="CE34" s="24">
        <f t="shared" si="167"/>
        <v>0</v>
      </c>
      <c r="CF34" s="24">
        <f t="shared" si="200"/>
        <v>0</v>
      </c>
      <c r="CG34" s="24">
        <f t="shared" si="168"/>
        <v>0</v>
      </c>
      <c r="CH34" s="24">
        <f t="shared" si="201"/>
        <v>0</v>
      </c>
      <c r="CI34" s="24">
        <f t="shared" si="169"/>
        <v>0</v>
      </c>
      <c r="CJ34" s="24">
        <f t="shared" si="202"/>
        <v>0</v>
      </c>
      <c r="CK34" s="24">
        <f t="shared" si="170"/>
        <v>0</v>
      </c>
      <c r="CL34" s="24">
        <f t="shared" si="203"/>
        <v>0</v>
      </c>
      <c r="CM34" s="24">
        <f t="shared" si="171"/>
        <v>0</v>
      </c>
      <c r="CN34" s="24">
        <f t="shared" si="204"/>
        <v>0</v>
      </c>
      <c r="CO34" s="24">
        <f t="shared" si="172"/>
        <v>0</v>
      </c>
      <c r="CP34" s="24">
        <f t="shared" si="205"/>
        <v>0</v>
      </c>
      <c r="CQ34" s="24">
        <f t="shared" si="173"/>
        <v>0</v>
      </c>
      <c r="CR34" s="24">
        <f t="shared" si="206"/>
        <v>0</v>
      </c>
      <c r="CS34" s="24">
        <f t="shared" si="174"/>
        <v>0</v>
      </c>
      <c r="CT34" s="24">
        <f t="shared" si="207"/>
        <v>0</v>
      </c>
      <c r="CU34" s="24">
        <f t="shared" si="175"/>
        <v>0</v>
      </c>
      <c r="CV34" s="24">
        <f t="shared" si="208"/>
        <v>0</v>
      </c>
      <c r="CW34" s="24">
        <f t="shared" si="176"/>
        <v>0</v>
      </c>
      <c r="CX34" s="24">
        <f t="shared" si="209"/>
        <v>0</v>
      </c>
      <c r="CY34" s="24">
        <f t="shared" si="177"/>
        <v>0</v>
      </c>
      <c r="CZ34" s="24">
        <f t="shared" si="210"/>
        <v>0</v>
      </c>
      <c r="DA34" s="24">
        <f t="shared" si="178"/>
        <v>0</v>
      </c>
      <c r="DB34" s="24">
        <f t="shared" si="211"/>
        <v>0</v>
      </c>
      <c r="DC34" s="24">
        <f t="shared" si="179"/>
        <v>0</v>
      </c>
      <c r="DD34" s="24">
        <f t="shared" si="212"/>
        <v>0</v>
      </c>
      <c r="DE34" s="24">
        <f t="shared" si="180"/>
        <v>0</v>
      </c>
      <c r="DF34" s="24">
        <f t="shared" si="213"/>
        <v>0</v>
      </c>
      <c r="DG34" s="24">
        <f t="shared" si="181"/>
        <v>0</v>
      </c>
      <c r="DH34" s="24">
        <f t="shared" si="214"/>
        <v>0</v>
      </c>
      <c r="DI34" s="24">
        <f t="shared" si="182"/>
        <v>0</v>
      </c>
      <c r="DJ34" s="24">
        <f t="shared" si="215"/>
        <v>0</v>
      </c>
      <c r="DK34" s="24">
        <f t="shared" si="183"/>
        <v>0</v>
      </c>
      <c r="DL34" s="24">
        <f t="shared" si="216"/>
        <v>0</v>
      </c>
      <c r="DM34" s="24">
        <f t="shared" si="184"/>
        <v>0</v>
      </c>
      <c r="DN34" s="24">
        <f t="shared" si="217"/>
        <v>0</v>
      </c>
      <c r="DO34" s="24">
        <f t="shared" si="185"/>
        <v>0</v>
      </c>
      <c r="DP34" s="24">
        <f t="shared" si="218"/>
        <v>0</v>
      </c>
      <c r="DQ34" s="24">
        <f t="shared" si="186"/>
        <v>0</v>
      </c>
      <c r="DR34" s="24">
        <f t="shared" si="219"/>
        <v>0</v>
      </c>
      <c r="DS34" s="24">
        <f t="shared" si="187"/>
        <v>0</v>
      </c>
      <c r="DT34" s="24">
        <f t="shared" si="220"/>
        <v>0</v>
      </c>
      <c r="DU34" s="24">
        <f t="shared" si="188"/>
        <v>0</v>
      </c>
      <c r="DV34" s="24">
        <f t="shared" si="221"/>
        <v>0</v>
      </c>
      <c r="DW34" s="24">
        <f t="shared" si="189"/>
        <v>0</v>
      </c>
      <c r="DX34" s="24">
        <f t="shared" si="222"/>
        <v>0</v>
      </c>
      <c r="DY34" s="24">
        <f t="shared" si="190"/>
        <v>0</v>
      </c>
      <c r="DZ34" s="24">
        <f t="shared" si="223"/>
        <v>0</v>
      </c>
      <c r="EA34" s="24">
        <f t="shared" si="191"/>
        <v>0</v>
      </c>
      <c r="EB34" s="24">
        <f t="shared" si="224"/>
        <v>0</v>
      </c>
      <c r="EC34" s="24">
        <f t="shared" si="192"/>
        <v>0</v>
      </c>
      <c r="ED34" s="24">
        <f t="shared" si="225"/>
        <v>0</v>
      </c>
      <c r="EE34" s="25"/>
    </row>
    <row r="35" spans="1:135" s="2" customFormat="1" ht="18" customHeight="1" x14ac:dyDescent="0.25">
      <c r="A35" s="15">
        <v>32</v>
      </c>
      <c r="B35" s="108" t="s">
        <v>404</v>
      </c>
      <c r="C35" s="26" t="s">
        <v>367</v>
      </c>
      <c r="D35" s="90" t="s">
        <v>107</v>
      </c>
      <c r="E35" s="18">
        <v>45517</v>
      </c>
      <c r="F35" s="19">
        <v>10</v>
      </c>
      <c r="G35" s="19">
        <v>10</v>
      </c>
      <c r="H35" s="19">
        <v>10</v>
      </c>
      <c r="I35" s="19">
        <v>10</v>
      </c>
      <c r="J35" s="19" t="s">
        <v>603</v>
      </c>
      <c r="K35" s="19">
        <v>10</v>
      </c>
      <c r="L35" s="19" t="s">
        <v>15</v>
      </c>
      <c r="M35" s="19">
        <v>10</v>
      </c>
      <c r="N35" s="19">
        <v>10</v>
      </c>
      <c r="O35" s="19">
        <v>10</v>
      </c>
      <c r="P35" s="19">
        <v>10</v>
      </c>
      <c r="Q35" s="19">
        <v>10</v>
      </c>
      <c r="R35" s="19">
        <v>10</v>
      </c>
      <c r="S35" s="19" t="s">
        <v>15</v>
      </c>
      <c r="T35" s="19">
        <v>10</v>
      </c>
      <c r="U35" s="19">
        <v>10</v>
      </c>
      <c r="V35" s="19">
        <v>10</v>
      </c>
      <c r="W35" s="19">
        <v>10</v>
      </c>
      <c r="X35" s="19">
        <v>10</v>
      </c>
      <c r="Y35" s="19">
        <v>10</v>
      </c>
      <c r="Z35" s="19" t="s">
        <v>15</v>
      </c>
      <c r="AA35" s="19">
        <v>10</v>
      </c>
      <c r="AB35" s="19">
        <v>10</v>
      </c>
      <c r="AC35" s="19">
        <v>10</v>
      </c>
      <c r="AD35" s="19">
        <v>10</v>
      </c>
      <c r="AE35" s="19">
        <v>10</v>
      </c>
      <c r="AF35" s="19">
        <v>10</v>
      </c>
      <c r="AG35" s="19" t="s">
        <v>15</v>
      </c>
      <c r="AH35" s="19">
        <v>10</v>
      </c>
      <c r="AI35" s="19">
        <v>10</v>
      </c>
      <c r="AJ35" s="19">
        <v>0</v>
      </c>
      <c r="AK35" s="19">
        <v>10</v>
      </c>
      <c r="AL35" s="19">
        <v>10</v>
      </c>
      <c r="AM35" s="19">
        <v>0</v>
      </c>
      <c r="AN35" s="19">
        <v>0</v>
      </c>
      <c r="AO35" s="19">
        <v>10</v>
      </c>
      <c r="AP35" s="19">
        <v>0</v>
      </c>
      <c r="AQ35" s="19">
        <v>0</v>
      </c>
      <c r="AR35" s="19">
        <v>0</v>
      </c>
      <c r="AS35" s="19">
        <v>0</v>
      </c>
      <c r="AT35" s="19">
        <f t="shared" si="119"/>
        <v>50</v>
      </c>
      <c r="AU35" s="19">
        <f t="shared" si="120"/>
        <v>20</v>
      </c>
      <c r="AV35" s="19">
        <f t="shared" si="193"/>
        <v>10</v>
      </c>
      <c r="AW35" s="16">
        <f t="shared" si="158"/>
        <v>30</v>
      </c>
      <c r="AX35" s="16">
        <f t="shared" si="159"/>
        <v>0</v>
      </c>
      <c r="AY35" s="38">
        <f t="shared" si="160"/>
        <v>0</v>
      </c>
      <c r="AZ35" s="36">
        <v>900</v>
      </c>
      <c r="BA35" s="20">
        <v>100</v>
      </c>
      <c r="BB35" s="21">
        <v>0</v>
      </c>
      <c r="BC35" s="19">
        <f t="shared" si="74"/>
        <v>900</v>
      </c>
      <c r="BD35" s="19">
        <f t="shared" si="75"/>
        <v>100</v>
      </c>
      <c r="BE35" s="19">
        <f t="shared" si="76"/>
        <v>403</v>
      </c>
      <c r="BF35" s="19">
        <f t="shared" si="77"/>
        <v>0</v>
      </c>
      <c r="BG35" s="19">
        <f t="shared" si="78"/>
        <v>0</v>
      </c>
      <c r="BH35" s="19">
        <f t="shared" si="79"/>
        <v>0</v>
      </c>
      <c r="BI35" s="19">
        <v>0</v>
      </c>
      <c r="BJ35" s="19">
        <v>95</v>
      </c>
      <c r="BK35" s="19">
        <f t="shared" si="122"/>
        <v>1498</v>
      </c>
      <c r="BL35" s="19">
        <v>0</v>
      </c>
      <c r="BM35" s="19">
        <v>0</v>
      </c>
      <c r="BN35" s="19">
        <f t="shared" si="123"/>
        <v>0</v>
      </c>
      <c r="BO35" s="19">
        <f t="shared" si="124"/>
        <v>1498</v>
      </c>
      <c r="BP35" s="19">
        <v>0</v>
      </c>
      <c r="BQ35" s="19">
        <v>0</v>
      </c>
      <c r="BR35" s="22">
        <f t="shared" si="125"/>
        <v>1498</v>
      </c>
      <c r="BS35" s="23">
        <f t="shared" si="161"/>
        <v>0</v>
      </c>
      <c r="BT35" s="24">
        <f t="shared" si="194"/>
        <v>0</v>
      </c>
      <c r="BU35" s="24">
        <f t="shared" si="162"/>
        <v>0</v>
      </c>
      <c r="BV35" s="24">
        <f t="shared" si="195"/>
        <v>0</v>
      </c>
      <c r="BW35" s="24">
        <f t="shared" si="163"/>
        <v>0</v>
      </c>
      <c r="BX35" s="24">
        <f t="shared" si="196"/>
        <v>0</v>
      </c>
      <c r="BY35" s="24">
        <f t="shared" si="164"/>
        <v>25</v>
      </c>
      <c r="BZ35" s="24">
        <f t="shared" si="197"/>
        <v>50</v>
      </c>
      <c r="CA35" s="24">
        <f t="shared" si="165"/>
        <v>0</v>
      </c>
      <c r="CB35" s="24">
        <f t="shared" si="198"/>
        <v>0</v>
      </c>
      <c r="CC35" s="24">
        <f t="shared" si="166"/>
        <v>0</v>
      </c>
      <c r="CD35" s="24">
        <f t="shared" si="199"/>
        <v>0</v>
      </c>
      <c r="CE35" s="24">
        <f t="shared" si="167"/>
        <v>0</v>
      </c>
      <c r="CF35" s="24">
        <f t="shared" si="200"/>
        <v>0</v>
      </c>
      <c r="CG35" s="24">
        <f t="shared" si="168"/>
        <v>0</v>
      </c>
      <c r="CH35" s="24">
        <f t="shared" si="201"/>
        <v>0</v>
      </c>
      <c r="CI35" s="24">
        <f t="shared" si="169"/>
        <v>0</v>
      </c>
      <c r="CJ35" s="24">
        <f t="shared" si="202"/>
        <v>0</v>
      </c>
      <c r="CK35" s="24">
        <f t="shared" si="170"/>
        <v>0</v>
      </c>
      <c r="CL35" s="24">
        <f t="shared" si="203"/>
        <v>0</v>
      </c>
      <c r="CM35" s="24">
        <f t="shared" si="171"/>
        <v>0</v>
      </c>
      <c r="CN35" s="24">
        <f t="shared" si="204"/>
        <v>0</v>
      </c>
      <c r="CO35" s="24">
        <f t="shared" si="172"/>
        <v>0</v>
      </c>
      <c r="CP35" s="24">
        <f t="shared" si="205"/>
        <v>0</v>
      </c>
      <c r="CQ35" s="24">
        <f t="shared" si="173"/>
        <v>0</v>
      </c>
      <c r="CR35" s="24">
        <f t="shared" si="206"/>
        <v>0</v>
      </c>
      <c r="CS35" s="24">
        <f t="shared" si="174"/>
        <v>0</v>
      </c>
      <c r="CT35" s="24">
        <f t="shared" si="207"/>
        <v>0</v>
      </c>
      <c r="CU35" s="24">
        <f t="shared" si="175"/>
        <v>0</v>
      </c>
      <c r="CV35" s="24">
        <f t="shared" si="208"/>
        <v>0</v>
      </c>
      <c r="CW35" s="24">
        <f t="shared" si="176"/>
        <v>0</v>
      </c>
      <c r="CX35" s="24">
        <f t="shared" si="209"/>
        <v>0</v>
      </c>
      <c r="CY35" s="24">
        <f t="shared" si="177"/>
        <v>0</v>
      </c>
      <c r="CZ35" s="24">
        <f t="shared" si="210"/>
        <v>0</v>
      </c>
      <c r="DA35" s="24">
        <f t="shared" si="178"/>
        <v>0</v>
      </c>
      <c r="DB35" s="24">
        <f t="shared" si="211"/>
        <v>0</v>
      </c>
      <c r="DC35" s="24">
        <f t="shared" si="179"/>
        <v>0</v>
      </c>
      <c r="DD35" s="24">
        <f t="shared" si="212"/>
        <v>0</v>
      </c>
      <c r="DE35" s="24">
        <f t="shared" si="180"/>
        <v>0</v>
      </c>
      <c r="DF35" s="24">
        <f t="shared" si="213"/>
        <v>0</v>
      </c>
      <c r="DG35" s="24">
        <f t="shared" si="181"/>
        <v>0</v>
      </c>
      <c r="DH35" s="24">
        <f t="shared" si="214"/>
        <v>0</v>
      </c>
      <c r="DI35" s="24">
        <f t="shared" si="182"/>
        <v>0</v>
      </c>
      <c r="DJ35" s="24">
        <f t="shared" si="215"/>
        <v>0</v>
      </c>
      <c r="DK35" s="24">
        <f t="shared" si="183"/>
        <v>0</v>
      </c>
      <c r="DL35" s="24">
        <f t="shared" si="216"/>
        <v>0</v>
      </c>
      <c r="DM35" s="24">
        <f t="shared" si="184"/>
        <v>0</v>
      </c>
      <c r="DN35" s="24">
        <f t="shared" si="217"/>
        <v>0</v>
      </c>
      <c r="DO35" s="24">
        <f t="shared" si="185"/>
        <v>0</v>
      </c>
      <c r="DP35" s="24">
        <f t="shared" si="218"/>
        <v>0</v>
      </c>
      <c r="DQ35" s="24">
        <f t="shared" si="186"/>
        <v>0</v>
      </c>
      <c r="DR35" s="24">
        <f t="shared" si="219"/>
        <v>0</v>
      </c>
      <c r="DS35" s="24">
        <f t="shared" si="187"/>
        <v>0</v>
      </c>
      <c r="DT35" s="24">
        <f t="shared" si="220"/>
        <v>0</v>
      </c>
      <c r="DU35" s="24">
        <f t="shared" si="188"/>
        <v>0</v>
      </c>
      <c r="DV35" s="24">
        <f t="shared" si="221"/>
        <v>0</v>
      </c>
      <c r="DW35" s="24">
        <f t="shared" si="189"/>
        <v>0</v>
      </c>
      <c r="DX35" s="24">
        <f t="shared" si="222"/>
        <v>0</v>
      </c>
      <c r="DY35" s="24">
        <f t="shared" si="190"/>
        <v>0</v>
      </c>
      <c r="DZ35" s="24">
        <f t="shared" si="223"/>
        <v>0</v>
      </c>
      <c r="EA35" s="24">
        <f t="shared" si="191"/>
        <v>0</v>
      </c>
      <c r="EB35" s="24">
        <f t="shared" si="224"/>
        <v>0</v>
      </c>
      <c r="EC35" s="24">
        <f t="shared" si="192"/>
        <v>0</v>
      </c>
      <c r="ED35" s="24">
        <f t="shared" si="225"/>
        <v>0</v>
      </c>
      <c r="EE35" s="25"/>
    </row>
    <row r="36" spans="1:135" s="2" customFormat="1" ht="18" customHeight="1" x14ac:dyDescent="0.25">
      <c r="A36" s="15">
        <v>33</v>
      </c>
      <c r="B36" s="108" t="s">
        <v>405</v>
      </c>
      <c r="C36" s="74" t="s">
        <v>371</v>
      </c>
      <c r="D36" s="16" t="s">
        <v>167</v>
      </c>
      <c r="E36" s="18">
        <v>45535</v>
      </c>
      <c r="F36" s="19">
        <v>10</v>
      </c>
      <c r="G36" s="19">
        <v>10</v>
      </c>
      <c r="H36" s="19">
        <v>10</v>
      </c>
      <c r="I36" s="19">
        <v>10</v>
      </c>
      <c r="J36" s="19" t="s">
        <v>603</v>
      </c>
      <c r="K36" s="19">
        <v>10</v>
      </c>
      <c r="L36" s="19" t="s">
        <v>15</v>
      </c>
      <c r="M36" s="19">
        <v>10</v>
      </c>
      <c r="N36" s="19">
        <v>10</v>
      </c>
      <c r="O36" s="19">
        <v>10</v>
      </c>
      <c r="P36" s="19">
        <v>10</v>
      </c>
      <c r="Q36" s="19">
        <v>10</v>
      </c>
      <c r="R36" s="19">
        <v>10</v>
      </c>
      <c r="S36" s="19" t="s">
        <v>15</v>
      </c>
      <c r="T36" s="19">
        <v>10</v>
      </c>
      <c r="U36" s="19">
        <v>10</v>
      </c>
      <c r="V36" s="19">
        <v>10</v>
      </c>
      <c r="W36" s="19">
        <v>10</v>
      </c>
      <c r="X36" s="19">
        <v>10</v>
      </c>
      <c r="Y36" s="19">
        <v>10</v>
      </c>
      <c r="Z36" s="19" t="s">
        <v>15</v>
      </c>
      <c r="AA36" s="19">
        <v>10</v>
      </c>
      <c r="AB36" s="19">
        <v>10</v>
      </c>
      <c r="AC36" s="19">
        <v>10</v>
      </c>
      <c r="AD36" s="19">
        <v>10</v>
      </c>
      <c r="AE36" s="19">
        <v>10</v>
      </c>
      <c r="AF36" s="19">
        <v>10</v>
      </c>
      <c r="AG36" s="19" t="s">
        <v>15</v>
      </c>
      <c r="AH36" s="19">
        <v>10</v>
      </c>
      <c r="AI36" s="19">
        <v>10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10</v>
      </c>
      <c r="AP36" s="19">
        <v>0</v>
      </c>
      <c r="AQ36" s="19">
        <v>0</v>
      </c>
      <c r="AR36" s="19">
        <v>0</v>
      </c>
      <c r="AS36" s="19">
        <v>0</v>
      </c>
      <c r="AT36" s="19">
        <f>SUM(BT36+BV36+BX36+BZ36+CB36+CD36+CF36+CH36+CJ36+CL36+CN36+CP36+CR36+CT36+CV36+CX36+CZ36+DB36+DD36+DF36+DH36+DJ36+DL36+DN36+DP36+DR36+DT36+DV36+DX36+DZ36+EB36+ED36)</f>
        <v>50</v>
      </c>
      <c r="AU36" s="19">
        <f>SUM(AJ36:AN36)</f>
        <v>0</v>
      </c>
      <c r="AV36" s="19">
        <f>SUM(AO36:AS36)</f>
        <v>10</v>
      </c>
      <c r="AW36" s="16">
        <f t="shared" si="158"/>
        <v>30</v>
      </c>
      <c r="AX36" s="16">
        <f t="shared" si="159"/>
        <v>0</v>
      </c>
      <c r="AY36" s="38">
        <f t="shared" si="160"/>
        <v>0</v>
      </c>
      <c r="AZ36" s="36">
        <v>850</v>
      </c>
      <c r="BA36" s="20">
        <v>100</v>
      </c>
      <c r="BB36" s="21">
        <v>0</v>
      </c>
      <c r="BC36" s="19">
        <f t="shared" si="74"/>
        <v>850</v>
      </c>
      <c r="BD36" s="19">
        <f t="shared" si="75"/>
        <v>100</v>
      </c>
      <c r="BE36" s="19">
        <f t="shared" si="76"/>
        <v>274</v>
      </c>
      <c r="BF36" s="19">
        <f t="shared" si="77"/>
        <v>0</v>
      </c>
      <c r="BG36" s="19">
        <f t="shared" si="78"/>
        <v>0</v>
      </c>
      <c r="BH36" s="19">
        <f t="shared" si="79"/>
        <v>0</v>
      </c>
      <c r="BI36" s="19">
        <v>0</v>
      </c>
      <c r="BJ36" s="19">
        <v>95</v>
      </c>
      <c r="BK36" s="19">
        <f>SUM(BC36:BJ36)</f>
        <v>1319</v>
      </c>
      <c r="BL36" s="19">
        <v>0</v>
      </c>
      <c r="BM36" s="19">
        <v>0</v>
      </c>
      <c r="BN36" s="19">
        <f>BL36+BM36</f>
        <v>0</v>
      </c>
      <c r="BO36" s="19">
        <f>BK36-BN36</f>
        <v>1319</v>
      </c>
      <c r="BP36" s="19">
        <v>0</v>
      </c>
      <c r="BQ36" s="19">
        <v>0</v>
      </c>
      <c r="BR36" s="22">
        <f>SUM(BO36:BP36)-BQ36</f>
        <v>1319</v>
      </c>
      <c r="BS36" s="23">
        <f t="shared" si="161"/>
        <v>0</v>
      </c>
      <c r="BT36" s="24">
        <f>BS36*0.5</f>
        <v>0</v>
      </c>
      <c r="BU36" s="24">
        <f t="shared" si="162"/>
        <v>0</v>
      </c>
      <c r="BV36" s="24">
        <f>BU36*1</f>
        <v>0</v>
      </c>
      <c r="BW36" s="24">
        <f t="shared" si="163"/>
        <v>0</v>
      </c>
      <c r="BX36" s="24">
        <f>BW36*1.5</f>
        <v>0</v>
      </c>
      <c r="BY36" s="24">
        <f t="shared" si="164"/>
        <v>25</v>
      </c>
      <c r="BZ36" s="24">
        <f>BY36*2</f>
        <v>50</v>
      </c>
      <c r="CA36" s="24">
        <f t="shared" si="165"/>
        <v>0</v>
      </c>
      <c r="CB36" s="24">
        <f>CA36*2.5</f>
        <v>0</v>
      </c>
      <c r="CC36" s="24">
        <f t="shared" si="166"/>
        <v>0</v>
      </c>
      <c r="CD36" s="24">
        <f>CC36*3</f>
        <v>0</v>
      </c>
      <c r="CE36" s="24">
        <f t="shared" si="167"/>
        <v>0</v>
      </c>
      <c r="CF36" s="24">
        <f>CE36*3.5</f>
        <v>0</v>
      </c>
      <c r="CG36" s="24">
        <f t="shared" si="168"/>
        <v>0</v>
      </c>
      <c r="CH36" s="24">
        <f>CG36*4</f>
        <v>0</v>
      </c>
      <c r="CI36" s="24">
        <f t="shared" si="169"/>
        <v>0</v>
      </c>
      <c r="CJ36" s="24">
        <f>CI36*4.5</f>
        <v>0</v>
      </c>
      <c r="CK36" s="24">
        <f t="shared" si="170"/>
        <v>0</v>
      </c>
      <c r="CL36" s="24">
        <f>CK36*5</f>
        <v>0</v>
      </c>
      <c r="CM36" s="24">
        <f t="shared" si="171"/>
        <v>0</v>
      </c>
      <c r="CN36" s="24">
        <f>CM36*5.5</f>
        <v>0</v>
      </c>
      <c r="CO36" s="24">
        <f t="shared" si="172"/>
        <v>0</v>
      </c>
      <c r="CP36" s="24">
        <f>CO36*6</f>
        <v>0</v>
      </c>
      <c r="CQ36" s="24">
        <f t="shared" si="173"/>
        <v>0</v>
      </c>
      <c r="CR36" s="24">
        <f>CQ36*6.5</f>
        <v>0</v>
      </c>
      <c r="CS36" s="24">
        <f t="shared" si="174"/>
        <v>0</v>
      </c>
      <c r="CT36" s="24">
        <f>CS36*7</f>
        <v>0</v>
      </c>
      <c r="CU36" s="24">
        <f t="shared" si="175"/>
        <v>0</v>
      </c>
      <c r="CV36" s="24">
        <f>CU36*7.5</f>
        <v>0</v>
      </c>
      <c r="CW36" s="24">
        <f t="shared" si="176"/>
        <v>0</v>
      </c>
      <c r="CX36" s="24">
        <f>CW36*8</f>
        <v>0</v>
      </c>
      <c r="CY36" s="24">
        <f t="shared" si="177"/>
        <v>0</v>
      </c>
      <c r="CZ36" s="24">
        <f>CY36*8.5</f>
        <v>0</v>
      </c>
      <c r="DA36" s="24">
        <f t="shared" si="178"/>
        <v>0</v>
      </c>
      <c r="DB36" s="24">
        <f>DA36*9</f>
        <v>0</v>
      </c>
      <c r="DC36" s="24">
        <f t="shared" si="179"/>
        <v>0</v>
      </c>
      <c r="DD36" s="24">
        <f>DC36*9.5</f>
        <v>0</v>
      </c>
      <c r="DE36" s="24">
        <f t="shared" si="180"/>
        <v>0</v>
      </c>
      <c r="DF36" s="24">
        <f>DE36*10</f>
        <v>0</v>
      </c>
      <c r="DG36" s="24">
        <f t="shared" si="181"/>
        <v>0</v>
      </c>
      <c r="DH36" s="24">
        <f>DG36*10.5</f>
        <v>0</v>
      </c>
      <c r="DI36" s="24">
        <f t="shared" si="182"/>
        <v>0</v>
      </c>
      <c r="DJ36" s="24">
        <f>DI36*11</f>
        <v>0</v>
      </c>
      <c r="DK36" s="24">
        <f t="shared" si="183"/>
        <v>0</v>
      </c>
      <c r="DL36" s="24">
        <f>DK36*11.5</f>
        <v>0</v>
      </c>
      <c r="DM36" s="24">
        <f t="shared" si="184"/>
        <v>0</v>
      </c>
      <c r="DN36" s="24">
        <f>DM36*12</f>
        <v>0</v>
      </c>
      <c r="DO36" s="24">
        <f t="shared" si="185"/>
        <v>0</v>
      </c>
      <c r="DP36" s="24">
        <f>DO36*12.5</f>
        <v>0</v>
      </c>
      <c r="DQ36" s="24">
        <f t="shared" si="186"/>
        <v>0</v>
      </c>
      <c r="DR36" s="24">
        <f>DQ36*13</f>
        <v>0</v>
      </c>
      <c r="DS36" s="24">
        <f t="shared" si="187"/>
        <v>0</v>
      </c>
      <c r="DT36" s="24">
        <f>DS36*13.5</f>
        <v>0</v>
      </c>
      <c r="DU36" s="24">
        <f t="shared" si="188"/>
        <v>0</v>
      </c>
      <c r="DV36" s="24">
        <f>DU36*14</f>
        <v>0</v>
      </c>
      <c r="DW36" s="24">
        <f t="shared" si="189"/>
        <v>0</v>
      </c>
      <c r="DX36" s="24">
        <f>DW36*14.5</f>
        <v>0</v>
      </c>
      <c r="DY36" s="24">
        <f t="shared" si="190"/>
        <v>0</v>
      </c>
      <c r="DZ36" s="24">
        <f>DY36*15</f>
        <v>0</v>
      </c>
      <c r="EA36" s="24">
        <f t="shared" si="191"/>
        <v>0</v>
      </c>
      <c r="EB36" s="24">
        <f>EA36*15.5</f>
        <v>0</v>
      </c>
      <c r="EC36" s="24">
        <f t="shared" si="192"/>
        <v>0</v>
      </c>
      <c r="ED36" s="24">
        <f>EC36*16</f>
        <v>0</v>
      </c>
      <c r="EE36" s="25"/>
    </row>
    <row r="37" spans="1:135" s="2" customFormat="1" ht="18" customHeight="1" x14ac:dyDescent="0.25">
      <c r="A37" s="15">
        <v>34</v>
      </c>
      <c r="B37" s="108" t="s">
        <v>406</v>
      </c>
      <c r="C37" s="74" t="s">
        <v>375</v>
      </c>
      <c r="D37" s="90" t="s">
        <v>107</v>
      </c>
      <c r="E37" s="18">
        <v>45537</v>
      </c>
      <c r="F37" s="19">
        <v>10</v>
      </c>
      <c r="G37" s="19">
        <v>10</v>
      </c>
      <c r="H37" s="19">
        <v>10</v>
      </c>
      <c r="I37" s="19">
        <v>10</v>
      </c>
      <c r="J37" s="19" t="s">
        <v>603</v>
      </c>
      <c r="K37" s="19">
        <v>10</v>
      </c>
      <c r="L37" s="19" t="s">
        <v>15</v>
      </c>
      <c r="M37" s="19">
        <v>10</v>
      </c>
      <c r="N37" s="19">
        <v>10</v>
      </c>
      <c r="O37" s="19">
        <v>10</v>
      </c>
      <c r="P37" s="19">
        <v>10</v>
      </c>
      <c r="Q37" s="19">
        <v>10</v>
      </c>
      <c r="R37" s="19">
        <v>10</v>
      </c>
      <c r="S37" s="19" t="s">
        <v>15</v>
      </c>
      <c r="T37" s="19">
        <v>10</v>
      </c>
      <c r="U37" s="19">
        <v>10</v>
      </c>
      <c r="V37" s="19">
        <v>10</v>
      </c>
      <c r="W37" s="19">
        <v>10</v>
      </c>
      <c r="X37" s="19">
        <v>10</v>
      </c>
      <c r="Y37" s="19">
        <v>10</v>
      </c>
      <c r="Z37" s="19" t="s">
        <v>15</v>
      </c>
      <c r="AA37" s="19">
        <v>10</v>
      </c>
      <c r="AB37" s="19">
        <v>10</v>
      </c>
      <c r="AC37" s="19">
        <v>10</v>
      </c>
      <c r="AD37" s="19">
        <v>12</v>
      </c>
      <c r="AE37" s="19">
        <v>10</v>
      </c>
      <c r="AF37" s="19">
        <v>10</v>
      </c>
      <c r="AG37" s="19" t="s">
        <v>15</v>
      </c>
      <c r="AH37" s="19">
        <v>10</v>
      </c>
      <c r="AI37" s="19">
        <v>10</v>
      </c>
      <c r="AJ37" s="19">
        <v>14</v>
      </c>
      <c r="AK37" s="19">
        <v>14</v>
      </c>
      <c r="AL37" s="19">
        <v>0</v>
      </c>
      <c r="AM37" s="19">
        <v>0</v>
      </c>
      <c r="AN37" s="19">
        <v>0</v>
      </c>
      <c r="AO37" s="19">
        <v>10</v>
      </c>
      <c r="AP37" s="19">
        <v>0</v>
      </c>
      <c r="AQ37" s="19">
        <v>0</v>
      </c>
      <c r="AR37" s="19">
        <v>0</v>
      </c>
      <c r="AS37" s="19">
        <v>0</v>
      </c>
      <c r="AT37" s="19">
        <f t="shared" si="119"/>
        <v>52</v>
      </c>
      <c r="AU37" s="19">
        <f t="shared" si="120"/>
        <v>28</v>
      </c>
      <c r="AV37" s="19">
        <f t="shared" si="193"/>
        <v>10</v>
      </c>
      <c r="AW37" s="16">
        <f t="shared" si="158"/>
        <v>30</v>
      </c>
      <c r="AX37" s="16">
        <f t="shared" si="159"/>
        <v>0</v>
      </c>
      <c r="AY37" s="38">
        <f t="shared" si="160"/>
        <v>0</v>
      </c>
      <c r="AZ37" s="36">
        <v>1000</v>
      </c>
      <c r="BA37" s="20">
        <v>100</v>
      </c>
      <c r="BB37" s="21">
        <v>0</v>
      </c>
      <c r="BC37" s="19">
        <f t="shared" si="74"/>
        <v>1000</v>
      </c>
      <c r="BD37" s="19">
        <f t="shared" si="75"/>
        <v>100</v>
      </c>
      <c r="BE37" s="19">
        <f t="shared" si="76"/>
        <v>508</v>
      </c>
      <c r="BF37" s="19">
        <f t="shared" si="77"/>
        <v>0</v>
      </c>
      <c r="BG37" s="19">
        <f t="shared" si="78"/>
        <v>0</v>
      </c>
      <c r="BH37" s="19">
        <f t="shared" si="79"/>
        <v>0</v>
      </c>
      <c r="BI37" s="19">
        <v>0</v>
      </c>
      <c r="BJ37" s="19">
        <v>95</v>
      </c>
      <c r="BK37" s="19">
        <f t="shared" si="122"/>
        <v>1703</v>
      </c>
      <c r="BL37" s="19">
        <v>0</v>
      </c>
      <c r="BM37" s="19">
        <v>0</v>
      </c>
      <c r="BN37" s="19">
        <f t="shared" si="123"/>
        <v>0</v>
      </c>
      <c r="BO37" s="19">
        <f t="shared" si="124"/>
        <v>1703</v>
      </c>
      <c r="BP37" s="19">
        <v>0</v>
      </c>
      <c r="BQ37" s="19">
        <v>0</v>
      </c>
      <c r="BR37" s="22">
        <f t="shared" si="125"/>
        <v>1703</v>
      </c>
      <c r="BS37" s="23">
        <f t="shared" si="161"/>
        <v>0</v>
      </c>
      <c r="BT37" s="24">
        <f t="shared" si="194"/>
        <v>0</v>
      </c>
      <c r="BU37" s="24">
        <f t="shared" si="162"/>
        <v>0</v>
      </c>
      <c r="BV37" s="24">
        <f t="shared" si="195"/>
        <v>0</v>
      </c>
      <c r="BW37" s="24">
        <f t="shared" si="163"/>
        <v>0</v>
      </c>
      <c r="BX37" s="24">
        <f t="shared" si="196"/>
        <v>0</v>
      </c>
      <c r="BY37" s="24">
        <f t="shared" si="164"/>
        <v>24</v>
      </c>
      <c r="BZ37" s="24">
        <f t="shared" si="197"/>
        <v>48</v>
      </c>
      <c r="CA37" s="24">
        <f t="shared" si="165"/>
        <v>0</v>
      </c>
      <c r="CB37" s="24">
        <f t="shared" si="198"/>
        <v>0</v>
      </c>
      <c r="CC37" s="24">
        <f t="shared" si="166"/>
        <v>0</v>
      </c>
      <c r="CD37" s="24">
        <f t="shared" si="199"/>
        <v>0</v>
      </c>
      <c r="CE37" s="24">
        <f t="shared" si="167"/>
        <v>0</v>
      </c>
      <c r="CF37" s="24">
        <f t="shared" si="200"/>
        <v>0</v>
      </c>
      <c r="CG37" s="24">
        <f t="shared" si="168"/>
        <v>1</v>
      </c>
      <c r="CH37" s="24">
        <f t="shared" si="201"/>
        <v>4</v>
      </c>
      <c r="CI37" s="24">
        <f t="shared" si="169"/>
        <v>0</v>
      </c>
      <c r="CJ37" s="24">
        <f t="shared" si="202"/>
        <v>0</v>
      </c>
      <c r="CK37" s="24">
        <f t="shared" si="170"/>
        <v>0</v>
      </c>
      <c r="CL37" s="24">
        <f t="shared" si="203"/>
        <v>0</v>
      </c>
      <c r="CM37" s="24">
        <f t="shared" si="171"/>
        <v>0</v>
      </c>
      <c r="CN37" s="24">
        <f t="shared" si="204"/>
        <v>0</v>
      </c>
      <c r="CO37" s="24">
        <f t="shared" si="172"/>
        <v>0</v>
      </c>
      <c r="CP37" s="24">
        <f t="shared" si="205"/>
        <v>0</v>
      </c>
      <c r="CQ37" s="24">
        <f t="shared" si="173"/>
        <v>0</v>
      </c>
      <c r="CR37" s="24">
        <f t="shared" si="206"/>
        <v>0</v>
      </c>
      <c r="CS37" s="24">
        <f t="shared" si="174"/>
        <v>0</v>
      </c>
      <c r="CT37" s="24">
        <f t="shared" si="207"/>
        <v>0</v>
      </c>
      <c r="CU37" s="24">
        <f t="shared" si="175"/>
        <v>0</v>
      </c>
      <c r="CV37" s="24">
        <f t="shared" si="208"/>
        <v>0</v>
      </c>
      <c r="CW37" s="24">
        <f t="shared" si="176"/>
        <v>0</v>
      </c>
      <c r="CX37" s="24">
        <f t="shared" si="209"/>
        <v>0</v>
      </c>
      <c r="CY37" s="24">
        <f t="shared" si="177"/>
        <v>0</v>
      </c>
      <c r="CZ37" s="24">
        <f t="shared" si="210"/>
        <v>0</v>
      </c>
      <c r="DA37" s="24">
        <f t="shared" si="178"/>
        <v>0</v>
      </c>
      <c r="DB37" s="24">
        <f t="shared" si="211"/>
        <v>0</v>
      </c>
      <c r="DC37" s="24">
        <f t="shared" si="179"/>
        <v>0</v>
      </c>
      <c r="DD37" s="24">
        <f t="shared" si="212"/>
        <v>0</v>
      </c>
      <c r="DE37" s="24">
        <f t="shared" si="180"/>
        <v>0</v>
      </c>
      <c r="DF37" s="24">
        <f t="shared" si="213"/>
        <v>0</v>
      </c>
      <c r="DG37" s="24">
        <f t="shared" si="181"/>
        <v>0</v>
      </c>
      <c r="DH37" s="24">
        <f t="shared" si="214"/>
        <v>0</v>
      </c>
      <c r="DI37" s="24">
        <f t="shared" si="182"/>
        <v>0</v>
      </c>
      <c r="DJ37" s="24">
        <f t="shared" si="215"/>
        <v>0</v>
      </c>
      <c r="DK37" s="24">
        <f t="shared" si="183"/>
        <v>0</v>
      </c>
      <c r="DL37" s="24">
        <f t="shared" si="216"/>
        <v>0</v>
      </c>
      <c r="DM37" s="24">
        <f t="shared" si="184"/>
        <v>0</v>
      </c>
      <c r="DN37" s="24">
        <f t="shared" si="217"/>
        <v>0</v>
      </c>
      <c r="DO37" s="24">
        <f t="shared" si="185"/>
        <v>0</v>
      </c>
      <c r="DP37" s="24">
        <f t="shared" si="218"/>
        <v>0</v>
      </c>
      <c r="DQ37" s="24">
        <f t="shared" si="186"/>
        <v>0</v>
      </c>
      <c r="DR37" s="24">
        <f t="shared" si="219"/>
        <v>0</v>
      </c>
      <c r="DS37" s="24">
        <f t="shared" si="187"/>
        <v>0</v>
      </c>
      <c r="DT37" s="24">
        <f t="shared" si="220"/>
        <v>0</v>
      </c>
      <c r="DU37" s="24">
        <f t="shared" si="188"/>
        <v>0</v>
      </c>
      <c r="DV37" s="24">
        <f t="shared" si="221"/>
        <v>0</v>
      </c>
      <c r="DW37" s="24">
        <f t="shared" si="189"/>
        <v>0</v>
      </c>
      <c r="DX37" s="24">
        <f t="shared" si="222"/>
        <v>0</v>
      </c>
      <c r="DY37" s="24">
        <f t="shared" si="190"/>
        <v>0</v>
      </c>
      <c r="DZ37" s="24">
        <f t="shared" si="223"/>
        <v>0</v>
      </c>
      <c r="EA37" s="24">
        <f t="shared" si="191"/>
        <v>0</v>
      </c>
      <c r="EB37" s="24">
        <f t="shared" si="224"/>
        <v>0</v>
      </c>
      <c r="EC37" s="24">
        <f t="shared" si="192"/>
        <v>0</v>
      </c>
      <c r="ED37" s="24">
        <f t="shared" si="225"/>
        <v>0</v>
      </c>
      <c r="EE37" s="25"/>
    </row>
    <row r="38" spans="1:135" s="2" customFormat="1" ht="18" customHeight="1" x14ac:dyDescent="0.25">
      <c r="A38" s="15">
        <v>35</v>
      </c>
      <c r="B38" s="108" t="s">
        <v>407</v>
      </c>
      <c r="C38" s="74" t="s">
        <v>412</v>
      </c>
      <c r="D38" s="16" t="s">
        <v>107</v>
      </c>
      <c r="E38" s="18">
        <v>45582</v>
      </c>
      <c r="F38" s="19" t="s">
        <v>417</v>
      </c>
      <c r="G38" s="19" t="s">
        <v>417</v>
      </c>
      <c r="H38" s="19" t="s">
        <v>417</v>
      </c>
      <c r="I38" s="19" t="s">
        <v>417</v>
      </c>
      <c r="J38" s="19" t="s">
        <v>417</v>
      </c>
      <c r="K38" s="19" t="s">
        <v>417</v>
      </c>
      <c r="L38" s="19" t="s">
        <v>417</v>
      </c>
      <c r="M38" s="19" t="s">
        <v>417</v>
      </c>
      <c r="N38" s="19" t="s">
        <v>417</v>
      </c>
      <c r="O38" s="19" t="s">
        <v>417</v>
      </c>
      <c r="P38" s="19" t="s">
        <v>417</v>
      </c>
      <c r="Q38" s="19" t="s">
        <v>417</v>
      </c>
      <c r="R38" s="19" t="s">
        <v>417</v>
      </c>
      <c r="S38" s="19" t="s">
        <v>417</v>
      </c>
      <c r="T38" s="19" t="s">
        <v>417</v>
      </c>
      <c r="U38" s="19" t="s">
        <v>417</v>
      </c>
      <c r="V38" s="19" t="s">
        <v>417</v>
      </c>
      <c r="W38" s="19">
        <v>8</v>
      </c>
      <c r="X38" s="19">
        <v>10</v>
      </c>
      <c r="Y38" s="19">
        <v>10</v>
      </c>
      <c r="Z38" s="19" t="s">
        <v>15</v>
      </c>
      <c r="AA38" s="19">
        <v>10</v>
      </c>
      <c r="AB38" s="19">
        <v>10</v>
      </c>
      <c r="AC38" s="19">
        <v>10</v>
      </c>
      <c r="AD38" s="19">
        <v>10</v>
      </c>
      <c r="AE38" s="19">
        <v>10</v>
      </c>
      <c r="AF38" s="19">
        <v>10</v>
      </c>
      <c r="AG38" s="19" t="s">
        <v>15</v>
      </c>
      <c r="AH38" s="19">
        <v>10</v>
      </c>
      <c r="AI38" s="19">
        <v>10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f>SUM(BT38+BV38+BX38+BZ38+CB38+CD38+CF38+CH38+CJ38+CL38+CN38+CP38+CR38+CT38+CV38+CX38+CZ38+DB38+DD38+DF38+DH38+DJ38+DL38+DN38+DP38+DR38+DT38+DV38+DX38+DZ38+EB38+ED38)</f>
        <v>20</v>
      </c>
      <c r="AU38" s="19">
        <f>SUM(AJ38:AN38)</f>
        <v>0</v>
      </c>
      <c r="AV38" s="19">
        <f>SUM(AO38:AS38)</f>
        <v>0</v>
      </c>
      <c r="AW38" s="16">
        <f t="shared" si="158"/>
        <v>13</v>
      </c>
      <c r="AX38" s="16">
        <f t="shared" si="159"/>
        <v>0</v>
      </c>
      <c r="AY38" s="38">
        <f t="shared" si="160"/>
        <v>0</v>
      </c>
      <c r="AZ38" s="36">
        <v>950</v>
      </c>
      <c r="BA38" s="20">
        <v>100</v>
      </c>
      <c r="BB38" s="21">
        <v>0</v>
      </c>
      <c r="BC38" s="19">
        <f t="shared" si="74"/>
        <v>412</v>
      </c>
      <c r="BD38" s="19">
        <f t="shared" si="75"/>
        <v>43</v>
      </c>
      <c r="BE38" s="19">
        <f t="shared" si="76"/>
        <v>99</v>
      </c>
      <c r="BF38" s="19">
        <f t="shared" si="77"/>
        <v>0</v>
      </c>
      <c r="BG38" s="19">
        <f t="shared" si="78"/>
        <v>0</v>
      </c>
      <c r="BH38" s="19">
        <f t="shared" si="79"/>
        <v>0</v>
      </c>
      <c r="BI38" s="19">
        <v>0</v>
      </c>
      <c r="BJ38" s="19">
        <v>0</v>
      </c>
      <c r="BK38" s="19">
        <f>SUM(BC38:BJ38)</f>
        <v>554</v>
      </c>
      <c r="BL38" s="19">
        <v>0</v>
      </c>
      <c r="BM38" s="19">
        <v>0</v>
      </c>
      <c r="BN38" s="19">
        <f>BL38+BM38</f>
        <v>0</v>
      </c>
      <c r="BO38" s="19">
        <f>BK38-BN38</f>
        <v>554</v>
      </c>
      <c r="BP38" s="19">
        <v>0</v>
      </c>
      <c r="BQ38" s="19">
        <v>0</v>
      </c>
      <c r="BR38" s="22">
        <f>SUM(BO38:BP38)-BQ38</f>
        <v>554</v>
      </c>
      <c r="BS38" s="23">
        <f t="shared" si="161"/>
        <v>0</v>
      </c>
      <c r="BT38" s="24">
        <f>BS38*0.5</f>
        <v>0</v>
      </c>
      <c r="BU38" s="24">
        <f t="shared" si="162"/>
        <v>0</v>
      </c>
      <c r="BV38" s="24">
        <f>BU38*1</f>
        <v>0</v>
      </c>
      <c r="BW38" s="24">
        <f t="shared" si="163"/>
        <v>0</v>
      </c>
      <c r="BX38" s="24">
        <f>BW38*1.5</f>
        <v>0</v>
      </c>
      <c r="BY38" s="24">
        <f t="shared" si="164"/>
        <v>10</v>
      </c>
      <c r="BZ38" s="24">
        <f>BY38*2</f>
        <v>20</v>
      </c>
      <c r="CA38" s="24">
        <f t="shared" si="165"/>
        <v>0</v>
      </c>
      <c r="CB38" s="24">
        <f>CA38*2.5</f>
        <v>0</v>
      </c>
      <c r="CC38" s="24">
        <f t="shared" si="166"/>
        <v>0</v>
      </c>
      <c r="CD38" s="24">
        <f>CC38*3</f>
        <v>0</v>
      </c>
      <c r="CE38" s="24">
        <f t="shared" si="167"/>
        <v>0</v>
      </c>
      <c r="CF38" s="24">
        <f>CE38*3.5</f>
        <v>0</v>
      </c>
      <c r="CG38" s="24">
        <f t="shared" si="168"/>
        <v>0</v>
      </c>
      <c r="CH38" s="24">
        <f>CG38*4</f>
        <v>0</v>
      </c>
      <c r="CI38" s="24">
        <f t="shared" si="169"/>
        <v>0</v>
      </c>
      <c r="CJ38" s="24">
        <f>CI38*4.5</f>
        <v>0</v>
      </c>
      <c r="CK38" s="24">
        <f t="shared" si="170"/>
        <v>0</v>
      </c>
      <c r="CL38" s="24">
        <f>CK38*5</f>
        <v>0</v>
      </c>
      <c r="CM38" s="24">
        <f t="shared" si="171"/>
        <v>0</v>
      </c>
      <c r="CN38" s="24">
        <f>CM38*5.5</f>
        <v>0</v>
      </c>
      <c r="CO38" s="24">
        <f t="shared" si="172"/>
        <v>0</v>
      </c>
      <c r="CP38" s="24">
        <f>CO38*6</f>
        <v>0</v>
      </c>
      <c r="CQ38" s="24">
        <f t="shared" si="173"/>
        <v>0</v>
      </c>
      <c r="CR38" s="24">
        <f>CQ38*6.5</f>
        <v>0</v>
      </c>
      <c r="CS38" s="24">
        <f t="shared" si="174"/>
        <v>0</v>
      </c>
      <c r="CT38" s="24">
        <f>CS38*7</f>
        <v>0</v>
      </c>
      <c r="CU38" s="24">
        <f t="shared" si="175"/>
        <v>0</v>
      </c>
      <c r="CV38" s="24">
        <f>CU38*7.5</f>
        <v>0</v>
      </c>
      <c r="CW38" s="24">
        <f t="shared" si="176"/>
        <v>0</v>
      </c>
      <c r="CX38" s="24">
        <f>CW38*8</f>
        <v>0</v>
      </c>
      <c r="CY38" s="24">
        <f t="shared" si="177"/>
        <v>0</v>
      </c>
      <c r="CZ38" s="24">
        <f>CY38*8.5</f>
        <v>0</v>
      </c>
      <c r="DA38" s="24">
        <f t="shared" si="178"/>
        <v>0</v>
      </c>
      <c r="DB38" s="24">
        <f>DA38*9</f>
        <v>0</v>
      </c>
      <c r="DC38" s="24">
        <f t="shared" si="179"/>
        <v>0</v>
      </c>
      <c r="DD38" s="24">
        <f>DC38*9.5</f>
        <v>0</v>
      </c>
      <c r="DE38" s="24">
        <f t="shared" si="180"/>
        <v>0</v>
      </c>
      <c r="DF38" s="24">
        <f>DE38*10</f>
        <v>0</v>
      </c>
      <c r="DG38" s="24">
        <f t="shared" si="181"/>
        <v>0</v>
      </c>
      <c r="DH38" s="24">
        <f>DG38*10.5</f>
        <v>0</v>
      </c>
      <c r="DI38" s="24">
        <f t="shared" si="182"/>
        <v>0</v>
      </c>
      <c r="DJ38" s="24">
        <f>DI38*11</f>
        <v>0</v>
      </c>
      <c r="DK38" s="24">
        <f t="shared" si="183"/>
        <v>0</v>
      </c>
      <c r="DL38" s="24">
        <f>DK38*11.5</f>
        <v>0</v>
      </c>
      <c r="DM38" s="24">
        <f t="shared" si="184"/>
        <v>0</v>
      </c>
      <c r="DN38" s="24">
        <f>DM38*12</f>
        <v>0</v>
      </c>
      <c r="DO38" s="24">
        <f t="shared" si="185"/>
        <v>0</v>
      </c>
      <c r="DP38" s="24">
        <f>DO38*12.5</f>
        <v>0</v>
      </c>
      <c r="DQ38" s="24">
        <f t="shared" si="186"/>
        <v>0</v>
      </c>
      <c r="DR38" s="24">
        <f>DQ38*13</f>
        <v>0</v>
      </c>
      <c r="DS38" s="24">
        <f t="shared" si="187"/>
        <v>0</v>
      </c>
      <c r="DT38" s="24">
        <f>DS38*13.5</f>
        <v>0</v>
      </c>
      <c r="DU38" s="24">
        <f t="shared" si="188"/>
        <v>0</v>
      </c>
      <c r="DV38" s="24">
        <f>DU38*14</f>
        <v>0</v>
      </c>
      <c r="DW38" s="24">
        <f t="shared" si="189"/>
        <v>0</v>
      </c>
      <c r="DX38" s="24">
        <f>DW38*14.5</f>
        <v>0</v>
      </c>
      <c r="DY38" s="24">
        <f t="shared" si="190"/>
        <v>0</v>
      </c>
      <c r="DZ38" s="24">
        <f>DY38*15</f>
        <v>0</v>
      </c>
      <c r="EA38" s="24">
        <f t="shared" si="191"/>
        <v>0</v>
      </c>
      <c r="EB38" s="24">
        <f>EA38*15.5</f>
        <v>0</v>
      </c>
      <c r="EC38" s="24">
        <f t="shared" si="192"/>
        <v>0</v>
      </c>
      <c r="ED38" s="24">
        <f>EC38*16</f>
        <v>0</v>
      </c>
      <c r="EE38" s="25"/>
    </row>
    <row r="39" spans="1:135" s="2" customFormat="1" ht="18" customHeight="1" x14ac:dyDescent="0.25">
      <c r="A39" s="15">
        <v>36</v>
      </c>
      <c r="B39" s="108" t="s">
        <v>408</v>
      </c>
      <c r="C39" s="74" t="s">
        <v>413</v>
      </c>
      <c r="D39" s="16" t="s">
        <v>107</v>
      </c>
      <c r="E39" s="18">
        <v>45593</v>
      </c>
      <c r="F39" s="19">
        <v>10</v>
      </c>
      <c r="G39" s="19">
        <v>10</v>
      </c>
      <c r="H39" s="19">
        <v>10</v>
      </c>
      <c r="I39" s="19">
        <v>10</v>
      </c>
      <c r="J39" s="19" t="s">
        <v>603</v>
      </c>
      <c r="K39" s="19">
        <v>10</v>
      </c>
      <c r="L39" s="19" t="s">
        <v>15</v>
      </c>
      <c r="M39" s="19">
        <v>10</v>
      </c>
      <c r="N39" s="19">
        <v>10</v>
      </c>
      <c r="O39" s="19">
        <v>10</v>
      </c>
      <c r="P39" s="19">
        <v>10</v>
      </c>
      <c r="Q39" s="19">
        <v>10</v>
      </c>
      <c r="R39" s="19">
        <v>10</v>
      </c>
      <c r="S39" s="19" t="s">
        <v>15</v>
      </c>
      <c r="T39" s="19">
        <v>10</v>
      </c>
      <c r="U39" s="19">
        <v>10</v>
      </c>
      <c r="V39" s="19">
        <v>10</v>
      </c>
      <c r="W39" s="19">
        <v>10</v>
      </c>
      <c r="X39" s="19">
        <v>10</v>
      </c>
      <c r="Y39" s="19">
        <v>10</v>
      </c>
      <c r="Z39" s="19" t="s">
        <v>15</v>
      </c>
      <c r="AA39" s="19">
        <v>10</v>
      </c>
      <c r="AB39" s="19">
        <v>10</v>
      </c>
      <c r="AC39" s="19">
        <v>10</v>
      </c>
      <c r="AD39" s="19">
        <v>10</v>
      </c>
      <c r="AE39" s="19">
        <v>10</v>
      </c>
      <c r="AF39" s="19">
        <v>10</v>
      </c>
      <c r="AG39" s="19" t="s">
        <v>15</v>
      </c>
      <c r="AH39" s="19">
        <v>10</v>
      </c>
      <c r="AI39" s="19">
        <v>10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f t="shared" si="119"/>
        <v>50</v>
      </c>
      <c r="AU39" s="19">
        <f t="shared" si="120"/>
        <v>0</v>
      </c>
      <c r="AV39" s="19">
        <f t="shared" si="193"/>
        <v>0</v>
      </c>
      <c r="AW39" s="16">
        <f t="shared" si="158"/>
        <v>30</v>
      </c>
      <c r="AX39" s="16">
        <f t="shared" si="159"/>
        <v>0</v>
      </c>
      <c r="AY39" s="38">
        <f t="shared" si="160"/>
        <v>0</v>
      </c>
      <c r="AZ39" s="36">
        <v>800</v>
      </c>
      <c r="BA39" s="20">
        <v>100</v>
      </c>
      <c r="BB39" s="21">
        <v>0</v>
      </c>
      <c r="BC39" s="19">
        <f t="shared" si="74"/>
        <v>800</v>
      </c>
      <c r="BD39" s="19">
        <f t="shared" si="75"/>
        <v>100</v>
      </c>
      <c r="BE39" s="19">
        <f t="shared" si="76"/>
        <v>208</v>
      </c>
      <c r="BF39" s="19">
        <f t="shared" si="77"/>
        <v>0</v>
      </c>
      <c r="BG39" s="19">
        <f t="shared" si="78"/>
        <v>0</v>
      </c>
      <c r="BH39" s="19">
        <f t="shared" si="79"/>
        <v>0</v>
      </c>
      <c r="BI39" s="19">
        <v>0</v>
      </c>
      <c r="BJ39" s="19">
        <v>95</v>
      </c>
      <c r="BK39" s="19">
        <f t="shared" si="122"/>
        <v>1203</v>
      </c>
      <c r="BL39" s="19">
        <v>0</v>
      </c>
      <c r="BM39" s="19">
        <v>0</v>
      </c>
      <c r="BN39" s="19">
        <f t="shared" si="123"/>
        <v>0</v>
      </c>
      <c r="BO39" s="19">
        <f t="shared" si="124"/>
        <v>1203</v>
      </c>
      <c r="BP39" s="19">
        <v>0</v>
      </c>
      <c r="BQ39" s="19">
        <v>0</v>
      </c>
      <c r="BR39" s="22">
        <f t="shared" si="125"/>
        <v>1203</v>
      </c>
      <c r="BS39" s="23">
        <f t="shared" si="161"/>
        <v>0</v>
      </c>
      <c r="BT39" s="24">
        <f t="shared" si="194"/>
        <v>0</v>
      </c>
      <c r="BU39" s="24">
        <f t="shared" si="162"/>
        <v>0</v>
      </c>
      <c r="BV39" s="24">
        <f t="shared" si="195"/>
        <v>0</v>
      </c>
      <c r="BW39" s="24">
        <f t="shared" si="163"/>
        <v>0</v>
      </c>
      <c r="BX39" s="24">
        <f t="shared" si="196"/>
        <v>0</v>
      </c>
      <c r="BY39" s="24">
        <f t="shared" si="164"/>
        <v>25</v>
      </c>
      <c r="BZ39" s="24">
        <f t="shared" si="197"/>
        <v>50</v>
      </c>
      <c r="CA39" s="24">
        <f t="shared" si="165"/>
        <v>0</v>
      </c>
      <c r="CB39" s="24">
        <f t="shared" si="198"/>
        <v>0</v>
      </c>
      <c r="CC39" s="24">
        <f t="shared" si="166"/>
        <v>0</v>
      </c>
      <c r="CD39" s="24">
        <f t="shared" si="199"/>
        <v>0</v>
      </c>
      <c r="CE39" s="24">
        <f t="shared" si="167"/>
        <v>0</v>
      </c>
      <c r="CF39" s="24">
        <f t="shared" si="200"/>
        <v>0</v>
      </c>
      <c r="CG39" s="24">
        <f t="shared" si="168"/>
        <v>0</v>
      </c>
      <c r="CH39" s="24">
        <f t="shared" si="201"/>
        <v>0</v>
      </c>
      <c r="CI39" s="24">
        <f t="shared" si="169"/>
        <v>0</v>
      </c>
      <c r="CJ39" s="24">
        <f t="shared" si="202"/>
        <v>0</v>
      </c>
      <c r="CK39" s="24">
        <f t="shared" si="170"/>
        <v>0</v>
      </c>
      <c r="CL39" s="24">
        <f t="shared" si="203"/>
        <v>0</v>
      </c>
      <c r="CM39" s="24">
        <f t="shared" si="171"/>
        <v>0</v>
      </c>
      <c r="CN39" s="24">
        <f t="shared" si="204"/>
        <v>0</v>
      </c>
      <c r="CO39" s="24">
        <f t="shared" si="172"/>
        <v>0</v>
      </c>
      <c r="CP39" s="24">
        <f t="shared" si="205"/>
        <v>0</v>
      </c>
      <c r="CQ39" s="24">
        <f t="shared" si="173"/>
        <v>0</v>
      </c>
      <c r="CR39" s="24">
        <f t="shared" si="206"/>
        <v>0</v>
      </c>
      <c r="CS39" s="24">
        <f t="shared" si="174"/>
        <v>0</v>
      </c>
      <c r="CT39" s="24">
        <f t="shared" si="207"/>
        <v>0</v>
      </c>
      <c r="CU39" s="24">
        <f t="shared" si="175"/>
        <v>0</v>
      </c>
      <c r="CV39" s="24">
        <f t="shared" si="208"/>
        <v>0</v>
      </c>
      <c r="CW39" s="24">
        <f t="shared" si="176"/>
        <v>0</v>
      </c>
      <c r="CX39" s="24">
        <f t="shared" si="209"/>
        <v>0</v>
      </c>
      <c r="CY39" s="24">
        <f t="shared" si="177"/>
        <v>0</v>
      </c>
      <c r="CZ39" s="24">
        <f t="shared" si="210"/>
        <v>0</v>
      </c>
      <c r="DA39" s="24">
        <f t="shared" si="178"/>
        <v>0</v>
      </c>
      <c r="DB39" s="24">
        <f t="shared" si="211"/>
        <v>0</v>
      </c>
      <c r="DC39" s="24">
        <f t="shared" si="179"/>
        <v>0</v>
      </c>
      <c r="DD39" s="24">
        <f t="shared" si="212"/>
        <v>0</v>
      </c>
      <c r="DE39" s="24">
        <f t="shared" si="180"/>
        <v>0</v>
      </c>
      <c r="DF39" s="24">
        <f t="shared" si="213"/>
        <v>0</v>
      </c>
      <c r="DG39" s="24">
        <f t="shared" si="181"/>
        <v>0</v>
      </c>
      <c r="DH39" s="24">
        <f t="shared" si="214"/>
        <v>0</v>
      </c>
      <c r="DI39" s="24">
        <f t="shared" si="182"/>
        <v>0</v>
      </c>
      <c r="DJ39" s="24">
        <f t="shared" si="215"/>
        <v>0</v>
      </c>
      <c r="DK39" s="24">
        <f t="shared" si="183"/>
        <v>0</v>
      </c>
      <c r="DL39" s="24">
        <f t="shared" si="216"/>
        <v>0</v>
      </c>
      <c r="DM39" s="24">
        <f t="shared" si="184"/>
        <v>0</v>
      </c>
      <c r="DN39" s="24">
        <f t="shared" si="217"/>
        <v>0</v>
      </c>
      <c r="DO39" s="24">
        <f t="shared" si="185"/>
        <v>0</v>
      </c>
      <c r="DP39" s="24">
        <f t="shared" si="218"/>
        <v>0</v>
      </c>
      <c r="DQ39" s="24">
        <f t="shared" si="186"/>
        <v>0</v>
      </c>
      <c r="DR39" s="24">
        <f t="shared" si="219"/>
        <v>0</v>
      </c>
      <c r="DS39" s="24">
        <f t="shared" si="187"/>
        <v>0</v>
      </c>
      <c r="DT39" s="24">
        <f t="shared" si="220"/>
        <v>0</v>
      </c>
      <c r="DU39" s="24">
        <f t="shared" si="188"/>
        <v>0</v>
      </c>
      <c r="DV39" s="24">
        <f t="shared" si="221"/>
        <v>0</v>
      </c>
      <c r="DW39" s="24">
        <f t="shared" si="189"/>
        <v>0</v>
      </c>
      <c r="DX39" s="24">
        <f t="shared" si="222"/>
        <v>0</v>
      </c>
      <c r="DY39" s="24">
        <f t="shared" si="190"/>
        <v>0</v>
      </c>
      <c r="DZ39" s="24">
        <f t="shared" si="223"/>
        <v>0</v>
      </c>
      <c r="EA39" s="24">
        <f t="shared" si="191"/>
        <v>0</v>
      </c>
      <c r="EB39" s="24">
        <f t="shared" si="224"/>
        <v>0</v>
      </c>
      <c r="EC39" s="24">
        <f t="shared" si="192"/>
        <v>0</v>
      </c>
      <c r="ED39" s="24">
        <f t="shared" si="225"/>
        <v>0</v>
      </c>
      <c r="EE39" s="25"/>
    </row>
    <row r="40" spans="1:135" s="2" customFormat="1" ht="18" customHeight="1" x14ac:dyDescent="0.25">
      <c r="A40" s="15">
        <v>37</v>
      </c>
      <c r="B40" s="108" t="s">
        <v>409</v>
      </c>
      <c r="C40" s="74" t="s">
        <v>414</v>
      </c>
      <c r="D40" s="90" t="s">
        <v>167</v>
      </c>
      <c r="E40" s="18">
        <v>45593</v>
      </c>
      <c r="F40" s="19">
        <v>10</v>
      </c>
      <c r="G40" s="19">
        <v>10</v>
      </c>
      <c r="H40" s="19">
        <v>10</v>
      </c>
      <c r="I40" s="19">
        <v>10</v>
      </c>
      <c r="J40" s="19" t="s">
        <v>603</v>
      </c>
      <c r="K40" s="19">
        <v>10</v>
      </c>
      <c r="L40" s="19" t="s">
        <v>15</v>
      </c>
      <c r="M40" s="19">
        <v>10</v>
      </c>
      <c r="N40" s="19">
        <v>10</v>
      </c>
      <c r="O40" s="19">
        <v>10</v>
      </c>
      <c r="P40" s="19">
        <v>10</v>
      </c>
      <c r="Q40" s="19">
        <v>10</v>
      </c>
      <c r="R40" s="19">
        <v>10</v>
      </c>
      <c r="S40" s="19" t="s">
        <v>15</v>
      </c>
      <c r="T40" s="19">
        <v>10</v>
      </c>
      <c r="U40" s="19">
        <v>10</v>
      </c>
      <c r="V40" s="19">
        <v>10</v>
      </c>
      <c r="W40" s="19">
        <v>10</v>
      </c>
      <c r="X40" s="19">
        <v>10</v>
      </c>
      <c r="Y40" s="19">
        <v>10</v>
      </c>
      <c r="Z40" s="19" t="s">
        <v>15</v>
      </c>
      <c r="AA40" s="19">
        <v>10</v>
      </c>
      <c r="AB40" s="19">
        <v>10</v>
      </c>
      <c r="AC40" s="19">
        <v>10</v>
      </c>
      <c r="AD40" s="19">
        <v>10</v>
      </c>
      <c r="AE40" s="19">
        <v>10</v>
      </c>
      <c r="AF40" s="19">
        <v>10</v>
      </c>
      <c r="AG40" s="19" t="s">
        <v>15</v>
      </c>
      <c r="AH40" s="19">
        <v>10</v>
      </c>
      <c r="AI40" s="19">
        <v>10</v>
      </c>
      <c r="AJ40" s="19">
        <v>10</v>
      </c>
      <c r="AK40" s="19">
        <v>10</v>
      </c>
      <c r="AL40" s="19">
        <v>10</v>
      </c>
      <c r="AM40" s="19">
        <v>10</v>
      </c>
      <c r="AN40" s="19">
        <v>0</v>
      </c>
      <c r="AO40" s="19">
        <v>10</v>
      </c>
      <c r="AP40" s="19">
        <v>0</v>
      </c>
      <c r="AQ40" s="19">
        <v>0</v>
      </c>
      <c r="AR40" s="19">
        <v>0</v>
      </c>
      <c r="AS40" s="19">
        <v>0</v>
      </c>
      <c r="AT40" s="19">
        <f t="shared" si="119"/>
        <v>50</v>
      </c>
      <c r="AU40" s="19">
        <f t="shared" si="120"/>
        <v>40</v>
      </c>
      <c r="AV40" s="19">
        <f t="shared" si="193"/>
        <v>10</v>
      </c>
      <c r="AW40" s="16">
        <f t="shared" si="158"/>
        <v>30</v>
      </c>
      <c r="AX40" s="16">
        <f t="shared" si="159"/>
        <v>0</v>
      </c>
      <c r="AY40" s="38">
        <f t="shared" si="160"/>
        <v>0</v>
      </c>
      <c r="AZ40" s="36">
        <v>950</v>
      </c>
      <c r="BA40" s="20">
        <v>100</v>
      </c>
      <c r="BB40" s="21">
        <v>0</v>
      </c>
      <c r="BC40" s="19">
        <f t="shared" si="74"/>
        <v>950</v>
      </c>
      <c r="BD40" s="19">
        <f t="shared" si="75"/>
        <v>100</v>
      </c>
      <c r="BE40" s="19">
        <f t="shared" si="76"/>
        <v>544</v>
      </c>
      <c r="BF40" s="19">
        <f t="shared" si="77"/>
        <v>0</v>
      </c>
      <c r="BG40" s="19">
        <f t="shared" si="78"/>
        <v>0</v>
      </c>
      <c r="BH40" s="19">
        <f t="shared" si="79"/>
        <v>0</v>
      </c>
      <c r="BI40" s="19">
        <v>0</v>
      </c>
      <c r="BJ40" s="19">
        <v>95</v>
      </c>
      <c r="BK40" s="19">
        <f t="shared" si="122"/>
        <v>1689</v>
      </c>
      <c r="BL40" s="19">
        <v>0</v>
      </c>
      <c r="BM40" s="19">
        <v>0</v>
      </c>
      <c r="BN40" s="19">
        <f t="shared" si="123"/>
        <v>0</v>
      </c>
      <c r="BO40" s="19">
        <f t="shared" si="124"/>
        <v>1689</v>
      </c>
      <c r="BP40" s="19">
        <v>0</v>
      </c>
      <c r="BQ40" s="19">
        <v>0</v>
      </c>
      <c r="BR40" s="22">
        <f t="shared" si="125"/>
        <v>1689</v>
      </c>
      <c r="BS40" s="23">
        <f t="shared" si="161"/>
        <v>0</v>
      </c>
      <c r="BT40" s="24">
        <f t="shared" si="194"/>
        <v>0</v>
      </c>
      <c r="BU40" s="24">
        <f t="shared" si="162"/>
        <v>0</v>
      </c>
      <c r="BV40" s="24">
        <f t="shared" si="195"/>
        <v>0</v>
      </c>
      <c r="BW40" s="24">
        <f t="shared" si="163"/>
        <v>0</v>
      </c>
      <c r="BX40" s="24">
        <f t="shared" si="196"/>
        <v>0</v>
      </c>
      <c r="BY40" s="24">
        <f t="shared" si="164"/>
        <v>25</v>
      </c>
      <c r="BZ40" s="24">
        <f t="shared" si="197"/>
        <v>50</v>
      </c>
      <c r="CA40" s="24">
        <f t="shared" si="165"/>
        <v>0</v>
      </c>
      <c r="CB40" s="24">
        <f t="shared" si="198"/>
        <v>0</v>
      </c>
      <c r="CC40" s="24">
        <f t="shared" si="166"/>
        <v>0</v>
      </c>
      <c r="CD40" s="24">
        <f t="shared" si="199"/>
        <v>0</v>
      </c>
      <c r="CE40" s="24">
        <f t="shared" si="167"/>
        <v>0</v>
      </c>
      <c r="CF40" s="24">
        <f t="shared" si="200"/>
        <v>0</v>
      </c>
      <c r="CG40" s="24">
        <f t="shared" si="168"/>
        <v>0</v>
      </c>
      <c r="CH40" s="24">
        <f t="shared" si="201"/>
        <v>0</v>
      </c>
      <c r="CI40" s="24">
        <f t="shared" si="169"/>
        <v>0</v>
      </c>
      <c r="CJ40" s="24">
        <f t="shared" si="202"/>
        <v>0</v>
      </c>
      <c r="CK40" s="24">
        <f t="shared" si="170"/>
        <v>0</v>
      </c>
      <c r="CL40" s="24">
        <f t="shared" si="203"/>
        <v>0</v>
      </c>
      <c r="CM40" s="24">
        <f t="shared" si="171"/>
        <v>0</v>
      </c>
      <c r="CN40" s="24">
        <f t="shared" si="204"/>
        <v>0</v>
      </c>
      <c r="CO40" s="24">
        <f t="shared" si="172"/>
        <v>0</v>
      </c>
      <c r="CP40" s="24">
        <f t="shared" si="205"/>
        <v>0</v>
      </c>
      <c r="CQ40" s="24">
        <f t="shared" si="173"/>
        <v>0</v>
      </c>
      <c r="CR40" s="24">
        <f t="shared" si="206"/>
        <v>0</v>
      </c>
      <c r="CS40" s="24">
        <f t="shared" si="174"/>
        <v>0</v>
      </c>
      <c r="CT40" s="24">
        <f t="shared" si="207"/>
        <v>0</v>
      </c>
      <c r="CU40" s="24">
        <f t="shared" si="175"/>
        <v>0</v>
      </c>
      <c r="CV40" s="24">
        <f t="shared" si="208"/>
        <v>0</v>
      </c>
      <c r="CW40" s="24">
        <f t="shared" si="176"/>
        <v>0</v>
      </c>
      <c r="CX40" s="24">
        <f t="shared" si="209"/>
        <v>0</v>
      </c>
      <c r="CY40" s="24">
        <f t="shared" si="177"/>
        <v>0</v>
      </c>
      <c r="CZ40" s="24">
        <f t="shared" si="210"/>
        <v>0</v>
      </c>
      <c r="DA40" s="24">
        <f t="shared" si="178"/>
        <v>0</v>
      </c>
      <c r="DB40" s="24">
        <f t="shared" si="211"/>
        <v>0</v>
      </c>
      <c r="DC40" s="24">
        <f t="shared" si="179"/>
        <v>0</v>
      </c>
      <c r="DD40" s="24">
        <f t="shared" si="212"/>
        <v>0</v>
      </c>
      <c r="DE40" s="24">
        <f t="shared" si="180"/>
        <v>0</v>
      </c>
      <c r="DF40" s="24">
        <f t="shared" si="213"/>
        <v>0</v>
      </c>
      <c r="DG40" s="24">
        <f t="shared" si="181"/>
        <v>0</v>
      </c>
      <c r="DH40" s="24">
        <f t="shared" si="214"/>
        <v>0</v>
      </c>
      <c r="DI40" s="24">
        <f t="shared" si="182"/>
        <v>0</v>
      </c>
      <c r="DJ40" s="24">
        <f t="shared" si="215"/>
        <v>0</v>
      </c>
      <c r="DK40" s="24">
        <f t="shared" si="183"/>
        <v>0</v>
      </c>
      <c r="DL40" s="24">
        <f t="shared" si="216"/>
        <v>0</v>
      </c>
      <c r="DM40" s="24">
        <f t="shared" si="184"/>
        <v>0</v>
      </c>
      <c r="DN40" s="24">
        <f t="shared" si="217"/>
        <v>0</v>
      </c>
      <c r="DO40" s="24">
        <f t="shared" si="185"/>
        <v>0</v>
      </c>
      <c r="DP40" s="24">
        <f t="shared" si="218"/>
        <v>0</v>
      </c>
      <c r="DQ40" s="24">
        <f t="shared" si="186"/>
        <v>0</v>
      </c>
      <c r="DR40" s="24">
        <f t="shared" si="219"/>
        <v>0</v>
      </c>
      <c r="DS40" s="24">
        <f t="shared" si="187"/>
        <v>0</v>
      </c>
      <c r="DT40" s="24">
        <f t="shared" si="220"/>
        <v>0</v>
      </c>
      <c r="DU40" s="24">
        <f t="shared" si="188"/>
        <v>0</v>
      </c>
      <c r="DV40" s="24">
        <f t="shared" si="221"/>
        <v>0</v>
      </c>
      <c r="DW40" s="24">
        <f t="shared" si="189"/>
        <v>0</v>
      </c>
      <c r="DX40" s="24">
        <f t="shared" si="222"/>
        <v>0</v>
      </c>
      <c r="DY40" s="24">
        <f t="shared" si="190"/>
        <v>0</v>
      </c>
      <c r="DZ40" s="24">
        <f t="shared" si="223"/>
        <v>0</v>
      </c>
      <c r="EA40" s="24">
        <f t="shared" si="191"/>
        <v>0</v>
      </c>
      <c r="EB40" s="24">
        <f t="shared" si="224"/>
        <v>0</v>
      </c>
      <c r="EC40" s="24">
        <f t="shared" si="192"/>
        <v>0</v>
      </c>
      <c r="ED40" s="24">
        <f t="shared" si="225"/>
        <v>0</v>
      </c>
      <c r="EE40" s="25"/>
    </row>
    <row r="41" spans="1:135" s="2" customFormat="1" ht="18" customHeight="1" x14ac:dyDescent="0.25">
      <c r="A41" s="15">
        <v>38</v>
      </c>
      <c r="B41" s="108" t="s">
        <v>411</v>
      </c>
      <c r="C41" s="17" t="s">
        <v>416</v>
      </c>
      <c r="D41" s="16" t="s">
        <v>167</v>
      </c>
      <c r="E41" s="18">
        <v>45596</v>
      </c>
      <c r="F41" s="19">
        <v>10</v>
      </c>
      <c r="G41" s="19">
        <v>10</v>
      </c>
      <c r="H41" s="19">
        <v>10</v>
      </c>
      <c r="I41" s="19">
        <v>10</v>
      </c>
      <c r="J41" s="19" t="s">
        <v>603</v>
      </c>
      <c r="K41" s="19">
        <v>10</v>
      </c>
      <c r="L41" s="19" t="s">
        <v>15</v>
      </c>
      <c r="M41" s="19">
        <v>10</v>
      </c>
      <c r="N41" s="19">
        <v>10</v>
      </c>
      <c r="O41" s="19">
        <v>10</v>
      </c>
      <c r="P41" s="19">
        <v>10</v>
      </c>
      <c r="Q41" s="19">
        <v>10</v>
      </c>
      <c r="R41" s="19">
        <v>10</v>
      </c>
      <c r="S41" s="19" t="s">
        <v>15</v>
      </c>
      <c r="T41" s="19">
        <v>10</v>
      </c>
      <c r="U41" s="19">
        <v>10</v>
      </c>
      <c r="V41" s="19">
        <v>10</v>
      </c>
      <c r="W41" s="19">
        <v>10</v>
      </c>
      <c r="X41" s="19">
        <v>10</v>
      </c>
      <c r="Y41" s="19">
        <v>10</v>
      </c>
      <c r="Z41" s="19" t="s">
        <v>15</v>
      </c>
      <c r="AA41" s="19">
        <v>10</v>
      </c>
      <c r="AB41" s="19">
        <v>10</v>
      </c>
      <c r="AC41" s="19">
        <v>10</v>
      </c>
      <c r="AD41" s="19">
        <v>10</v>
      </c>
      <c r="AE41" s="19">
        <v>10</v>
      </c>
      <c r="AF41" s="19">
        <v>10</v>
      </c>
      <c r="AG41" s="19" t="s">
        <v>15</v>
      </c>
      <c r="AH41" s="19">
        <v>10</v>
      </c>
      <c r="AI41" s="19">
        <v>10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10</v>
      </c>
      <c r="AP41" s="19">
        <v>0</v>
      </c>
      <c r="AQ41" s="19">
        <v>0</v>
      </c>
      <c r="AR41" s="19">
        <v>0</v>
      </c>
      <c r="AS41" s="19">
        <v>0</v>
      </c>
      <c r="AT41" s="19">
        <f t="shared" si="119"/>
        <v>50</v>
      </c>
      <c r="AU41" s="19">
        <f t="shared" si="120"/>
        <v>0</v>
      </c>
      <c r="AV41" s="19">
        <f t="shared" si="193"/>
        <v>10</v>
      </c>
      <c r="AW41" s="16">
        <f t="shared" si="158"/>
        <v>30</v>
      </c>
      <c r="AX41" s="16">
        <f t="shared" si="159"/>
        <v>0</v>
      </c>
      <c r="AY41" s="38">
        <f t="shared" si="160"/>
        <v>0</v>
      </c>
      <c r="AZ41" s="36">
        <v>950</v>
      </c>
      <c r="BA41" s="20">
        <v>100</v>
      </c>
      <c r="BB41" s="21">
        <v>0</v>
      </c>
      <c r="BC41" s="19">
        <f t="shared" si="74"/>
        <v>950</v>
      </c>
      <c r="BD41" s="19">
        <f t="shared" si="75"/>
        <v>100</v>
      </c>
      <c r="BE41" s="19">
        <f t="shared" si="76"/>
        <v>307</v>
      </c>
      <c r="BF41" s="19">
        <f t="shared" si="77"/>
        <v>0</v>
      </c>
      <c r="BG41" s="19">
        <f t="shared" si="78"/>
        <v>0</v>
      </c>
      <c r="BH41" s="19">
        <f t="shared" si="79"/>
        <v>0</v>
      </c>
      <c r="BI41" s="19">
        <v>0</v>
      </c>
      <c r="BJ41" s="19">
        <v>95</v>
      </c>
      <c r="BK41" s="19">
        <f t="shared" si="122"/>
        <v>1452</v>
      </c>
      <c r="BL41" s="19">
        <v>0</v>
      </c>
      <c r="BM41" s="19">
        <v>0</v>
      </c>
      <c r="BN41" s="19">
        <f t="shared" si="123"/>
        <v>0</v>
      </c>
      <c r="BO41" s="19">
        <f t="shared" si="124"/>
        <v>1452</v>
      </c>
      <c r="BP41" s="19">
        <v>0</v>
      </c>
      <c r="BQ41" s="19">
        <v>0</v>
      </c>
      <c r="BR41" s="22">
        <f t="shared" si="125"/>
        <v>1452</v>
      </c>
      <c r="BS41" s="23">
        <f t="shared" si="161"/>
        <v>0</v>
      </c>
      <c r="BT41" s="24">
        <f t="shared" si="194"/>
        <v>0</v>
      </c>
      <c r="BU41" s="24">
        <f t="shared" si="162"/>
        <v>0</v>
      </c>
      <c r="BV41" s="24">
        <f t="shared" si="195"/>
        <v>0</v>
      </c>
      <c r="BW41" s="24">
        <f t="shared" si="163"/>
        <v>0</v>
      </c>
      <c r="BX41" s="24">
        <f t="shared" si="196"/>
        <v>0</v>
      </c>
      <c r="BY41" s="24">
        <f t="shared" si="164"/>
        <v>25</v>
      </c>
      <c r="BZ41" s="24">
        <f t="shared" si="197"/>
        <v>50</v>
      </c>
      <c r="CA41" s="24">
        <f t="shared" si="165"/>
        <v>0</v>
      </c>
      <c r="CB41" s="24">
        <f t="shared" si="198"/>
        <v>0</v>
      </c>
      <c r="CC41" s="24">
        <f t="shared" si="166"/>
        <v>0</v>
      </c>
      <c r="CD41" s="24">
        <f t="shared" si="199"/>
        <v>0</v>
      </c>
      <c r="CE41" s="24">
        <f t="shared" si="167"/>
        <v>0</v>
      </c>
      <c r="CF41" s="24">
        <f t="shared" si="200"/>
        <v>0</v>
      </c>
      <c r="CG41" s="24">
        <f t="shared" si="168"/>
        <v>0</v>
      </c>
      <c r="CH41" s="24">
        <f t="shared" si="201"/>
        <v>0</v>
      </c>
      <c r="CI41" s="24">
        <f t="shared" si="169"/>
        <v>0</v>
      </c>
      <c r="CJ41" s="24">
        <f t="shared" si="202"/>
        <v>0</v>
      </c>
      <c r="CK41" s="24">
        <f t="shared" si="170"/>
        <v>0</v>
      </c>
      <c r="CL41" s="24">
        <f t="shared" si="203"/>
        <v>0</v>
      </c>
      <c r="CM41" s="24">
        <f t="shared" si="171"/>
        <v>0</v>
      </c>
      <c r="CN41" s="24">
        <f t="shared" si="204"/>
        <v>0</v>
      </c>
      <c r="CO41" s="24">
        <f t="shared" si="172"/>
        <v>0</v>
      </c>
      <c r="CP41" s="24">
        <f t="shared" si="205"/>
        <v>0</v>
      </c>
      <c r="CQ41" s="24">
        <f t="shared" si="173"/>
        <v>0</v>
      </c>
      <c r="CR41" s="24">
        <f t="shared" si="206"/>
        <v>0</v>
      </c>
      <c r="CS41" s="24">
        <f t="shared" si="174"/>
        <v>0</v>
      </c>
      <c r="CT41" s="24">
        <f t="shared" si="207"/>
        <v>0</v>
      </c>
      <c r="CU41" s="24">
        <f t="shared" si="175"/>
        <v>0</v>
      </c>
      <c r="CV41" s="24">
        <f t="shared" si="208"/>
        <v>0</v>
      </c>
      <c r="CW41" s="24">
        <f t="shared" si="176"/>
        <v>0</v>
      </c>
      <c r="CX41" s="24">
        <f t="shared" si="209"/>
        <v>0</v>
      </c>
      <c r="CY41" s="24">
        <f t="shared" si="177"/>
        <v>0</v>
      </c>
      <c r="CZ41" s="24">
        <f t="shared" si="210"/>
        <v>0</v>
      </c>
      <c r="DA41" s="24">
        <f t="shared" si="178"/>
        <v>0</v>
      </c>
      <c r="DB41" s="24">
        <f t="shared" si="211"/>
        <v>0</v>
      </c>
      <c r="DC41" s="24">
        <f t="shared" si="179"/>
        <v>0</v>
      </c>
      <c r="DD41" s="24">
        <f t="shared" si="212"/>
        <v>0</v>
      </c>
      <c r="DE41" s="24">
        <f t="shared" si="180"/>
        <v>0</v>
      </c>
      <c r="DF41" s="24">
        <f t="shared" si="213"/>
        <v>0</v>
      </c>
      <c r="DG41" s="24">
        <f t="shared" si="181"/>
        <v>0</v>
      </c>
      <c r="DH41" s="24">
        <f t="shared" si="214"/>
        <v>0</v>
      </c>
      <c r="DI41" s="24">
        <f t="shared" si="182"/>
        <v>0</v>
      </c>
      <c r="DJ41" s="24">
        <f t="shared" si="215"/>
        <v>0</v>
      </c>
      <c r="DK41" s="24">
        <f t="shared" si="183"/>
        <v>0</v>
      </c>
      <c r="DL41" s="24">
        <f t="shared" si="216"/>
        <v>0</v>
      </c>
      <c r="DM41" s="24">
        <f t="shared" si="184"/>
        <v>0</v>
      </c>
      <c r="DN41" s="24">
        <f t="shared" si="217"/>
        <v>0</v>
      </c>
      <c r="DO41" s="24">
        <f t="shared" si="185"/>
        <v>0</v>
      </c>
      <c r="DP41" s="24">
        <f t="shared" si="218"/>
        <v>0</v>
      </c>
      <c r="DQ41" s="24">
        <f t="shared" si="186"/>
        <v>0</v>
      </c>
      <c r="DR41" s="24">
        <f t="shared" si="219"/>
        <v>0</v>
      </c>
      <c r="DS41" s="24">
        <f t="shared" si="187"/>
        <v>0</v>
      </c>
      <c r="DT41" s="24">
        <f t="shared" si="220"/>
        <v>0</v>
      </c>
      <c r="DU41" s="24">
        <f t="shared" si="188"/>
        <v>0</v>
      </c>
      <c r="DV41" s="24">
        <f t="shared" si="221"/>
        <v>0</v>
      </c>
      <c r="DW41" s="24">
        <f t="shared" si="189"/>
        <v>0</v>
      </c>
      <c r="DX41" s="24">
        <f t="shared" si="222"/>
        <v>0</v>
      </c>
      <c r="DY41" s="24">
        <f t="shared" si="190"/>
        <v>0</v>
      </c>
      <c r="DZ41" s="24">
        <f t="shared" si="223"/>
        <v>0</v>
      </c>
      <c r="EA41" s="24">
        <f t="shared" si="191"/>
        <v>0</v>
      </c>
      <c r="EB41" s="24">
        <f t="shared" si="224"/>
        <v>0</v>
      </c>
      <c r="EC41" s="24">
        <f t="shared" si="192"/>
        <v>0</v>
      </c>
      <c r="ED41" s="24">
        <f t="shared" si="225"/>
        <v>0</v>
      </c>
      <c r="EE41" s="25"/>
    </row>
    <row r="42" spans="1:135" s="2" customFormat="1" ht="18" customHeight="1" x14ac:dyDescent="0.25">
      <c r="A42" s="15">
        <v>39</v>
      </c>
      <c r="B42" s="108" t="s">
        <v>437</v>
      </c>
      <c r="C42" s="74" t="s">
        <v>442</v>
      </c>
      <c r="D42" s="16" t="s">
        <v>107</v>
      </c>
      <c r="E42" s="18">
        <v>45643</v>
      </c>
      <c r="F42" s="19">
        <v>10.5</v>
      </c>
      <c r="G42" s="19">
        <v>10.5</v>
      </c>
      <c r="H42" s="19">
        <v>10.5</v>
      </c>
      <c r="I42" s="19">
        <v>10.5</v>
      </c>
      <c r="J42" s="19" t="s">
        <v>603</v>
      </c>
      <c r="K42" s="19">
        <v>10.5</v>
      </c>
      <c r="L42" s="19" t="s">
        <v>15</v>
      </c>
      <c r="M42" s="19">
        <v>10.5</v>
      </c>
      <c r="N42" s="19">
        <v>10.5</v>
      </c>
      <c r="O42" s="19">
        <v>10.5</v>
      </c>
      <c r="P42" s="19">
        <v>10.5</v>
      </c>
      <c r="Q42" s="19">
        <v>10.5</v>
      </c>
      <c r="R42" s="19">
        <v>10.5</v>
      </c>
      <c r="S42" s="19" t="s">
        <v>15</v>
      </c>
      <c r="T42" s="19">
        <v>10.5</v>
      </c>
      <c r="U42" s="19">
        <v>10.5</v>
      </c>
      <c r="V42" s="19">
        <v>10.5</v>
      </c>
      <c r="W42" s="19">
        <v>10.5</v>
      </c>
      <c r="X42" s="19">
        <v>10.5</v>
      </c>
      <c r="Y42" s="19">
        <v>10.5</v>
      </c>
      <c r="Z42" s="19" t="s">
        <v>15</v>
      </c>
      <c r="AA42" s="19">
        <v>10.5</v>
      </c>
      <c r="AB42" s="19">
        <v>10.5</v>
      </c>
      <c r="AC42" s="19">
        <v>10.5</v>
      </c>
      <c r="AD42" s="19">
        <v>10.5</v>
      </c>
      <c r="AE42" s="19">
        <v>10.5</v>
      </c>
      <c r="AF42" s="19">
        <v>10.5</v>
      </c>
      <c r="AG42" s="19" t="s">
        <v>15</v>
      </c>
      <c r="AH42" s="19">
        <v>10.5</v>
      </c>
      <c r="AI42" s="19">
        <v>10.5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f t="shared" si="119"/>
        <v>62.5</v>
      </c>
      <c r="AU42" s="19">
        <f t="shared" si="120"/>
        <v>0</v>
      </c>
      <c r="AV42" s="19">
        <f t="shared" si="193"/>
        <v>0</v>
      </c>
      <c r="AW42" s="16">
        <f t="shared" si="158"/>
        <v>30</v>
      </c>
      <c r="AX42" s="16">
        <f t="shared" si="159"/>
        <v>0</v>
      </c>
      <c r="AY42" s="38">
        <f t="shared" si="160"/>
        <v>0</v>
      </c>
      <c r="AZ42" s="36">
        <v>1000</v>
      </c>
      <c r="BA42" s="20">
        <v>100</v>
      </c>
      <c r="BB42" s="21">
        <v>0</v>
      </c>
      <c r="BC42" s="19">
        <f t="shared" si="74"/>
        <v>1000</v>
      </c>
      <c r="BD42" s="19">
        <f t="shared" si="75"/>
        <v>100</v>
      </c>
      <c r="BE42" s="19">
        <f t="shared" si="76"/>
        <v>326</v>
      </c>
      <c r="BF42" s="19">
        <f t="shared" si="77"/>
        <v>0</v>
      </c>
      <c r="BG42" s="19">
        <f t="shared" si="78"/>
        <v>0</v>
      </c>
      <c r="BH42" s="19">
        <f t="shared" si="79"/>
        <v>0</v>
      </c>
      <c r="BI42" s="19">
        <v>0</v>
      </c>
      <c r="BJ42" s="19">
        <v>95</v>
      </c>
      <c r="BK42" s="19">
        <f t="shared" si="122"/>
        <v>1521</v>
      </c>
      <c r="BL42" s="19">
        <v>0</v>
      </c>
      <c r="BM42" s="19">
        <v>0</v>
      </c>
      <c r="BN42" s="19">
        <f t="shared" si="123"/>
        <v>0</v>
      </c>
      <c r="BO42" s="19">
        <f t="shared" si="124"/>
        <v>1521</v>
      </c>
      <c r="BP42" s="19">
        <v>0</v>
      </c>
      <c r="BQ42" s="19">
        <v>0</v>
      </c>
      <c r="BR42" s="22">
        <f t="shared" si="125"/>
        <v>1521</v>
      </c>
      <c r="BS42" s="23">
        <f t="shared" si="161"/>
        <v>0</v>
      </c>
      <c r="BT42" s="24">
        <f t="shared" si="194"/>
        <v>0</v>
      </c>
      <c r="BU42" s="24">
        <f t="shared" si="162"/>
        <v>0</v>
      </c>
      <c r="BV42" s="24">
        <f t="shared" si="195"/>
        <v>0</v>
      </c>
      <c r="BW42" s="24">
        <f t="shared" si="163"/>
        <v>0</v>
      </c>
      <c r="BX42" s="24">
        <f t="shared" si="196"/>
        <v>0</v>
      </c>
      <c r="BY42" s="24">
        <f t="shared" si="164"/>
        <v>0</v>
      </c>
      <c r="BZ42" s="24">
        <f t="shared" si="197"/>
        <v>0</v>
      </c>
      <c r="CA42" s="24">
        <f t="shared" si="165"/>
        <v>25</v>
      </c>
      <c r="CB42" s="24">
        <f t="shared" si="198"/>
        <v>62.5</v>
      </c>
      <c r="CC42" s="24">
        <f t="shared" si="166"/>
        <v>0</v>
      </c>
      <c r="CD42" s="24">
        <f t="shared" si="199"/>
        <v>0</v>
      </c>
      <c r="CE42" s="24">
        <f t="shared" si="167"/>
        <v>0</v>
      </c>
      <c r="CF42" s="24">
        <f t="shared" si="200"/>
        <v>0</v>
      </c>
      <c r="CG42" s="24">
        <f t="shared" si="168"/>
        <v>0</v>
      </c>
      <c r="CH42" s="24">
        <f t="shared" si="201"/>
        <v>0</v>
      </c>
      <c r="CI42" s="24">
        <f t="shared" si="169"/>
        <v>0</v>
      </c>
      <c r="CJ42" s="24">
        <f t="shared" si="202"/>
        <v>0</v>
      </c>
      <c r="CK42" s="24">
        <f t="shared" si="170"/>
        <v>0</v>
      </c>
      <c r="CL42" s="24">
        <f t="shared" si="203"/>
        <v>0</v>
      </c>
      <c r="CM42" s="24">
        <f t="shared" si="171"/>
        <v>0</v>
      </c>
      <c r="CN42" s="24">
        <f t="shared" si="204"/>
        <v>0</v>
      </c>
      <c r="CO42" s="24">
        <f t="shared" si="172"/>
        <v>0</v>
      </c>
      <c r="CP42" s="24">
        <f t="shared" si="205"/>
        <v>0</v>
      </c>
      <c r="CQ42" s="24">
        <f t="shared" si="173"/>
        <v>0</v>
      </c>
      <c r="CR42" s="24">
        <f t="shared" si="206"/>
        <v>0</v>
      </c>
      <c r="CS42" s="24">
        <f t="shared" si="174"/>
        <v>0</v>
      </c>
      <c r="CT42" s="24">
        <f t="shared" si="207"/>
        <v>0</v>
      </c>
      <c r="CU42" s="24">
        <f t="shared" si="175"/>
        <v>0</v>
      </c>
      <c r="CV42" s="24">
        <f t="shared" si="208"/>
        <v>0</v>
      </c>
      <c r="CW42" s="24">
        <f t="shared" si="176"/>
        <v>0</v>
      </c>
      <c r="CX42" s="24">
        <f t="shared" si="209"/>
        <v>0</v>
      </c>
      <c r="CY42" s="24">
        <f t="shared" si="177"/>
        <v>0</v>
      </c>
      <c r="CZ42" s="24">
        <f t="shared" si="210"/>
        <v>0</v>
      </c>
      <c r="DA42" s="24">
        <f t="shared" si="178"/>
        <v>0</v>
      </c>
      <c r="DB42" s="24">
        <f t="shared" si="211"/>
        <v>0</v>
      </c>
      <c r="DC42" s="24">
        <f t="shared" si="179"/>
        <v>0</v>
      </c>
      <c r="DD42" s="24">
        <f t="shared" si="212"/>
        <v>0</v>
      </c>
      <c r="DE42" s="24">
        <f t="shared" si="180"/>
        <v>0</v>
      </c>
      <c r="DF42" s="24">
        <f t="shared" si="213"/>
        <v>0</v>
      </c>
      <c r="DG42" s="24">
        <f t="shared" si="181"/>
        <v>0</v>
      </c>
      <c r="DH42" s="24">
        <f t="shared" si="214"/>
        <v>0</v>
      </c>
      <c r="DI42" s="24">
        <f t="shared" si="182"/>
        <v>0</v>
      </c>
      <c r="DJ42" s="24">
        <f t="shared" si="215"/>
        <v>0</v>
      </c>
      <c r="DK42" s="24">
        <f t="shared" si="183"/>
        <v>0</v>
      </c>
      <c r="DL42" s="24">
        <f t="shared" si="216"/>
        <v>0</v>
      </c>
      <c r="DM42" s="24">
        <f t="shared" si="184"/>
        <v>0</v>
      </c>
      <c r="DN42" s="24">
        <f t="shared" si="217"/>
        <v>0</v>
      </c>
      <c r="DO42" s="24">
        <f t="shared" si="185"/>
        <v>0</v>
      </c>
      <c r="DP42" s="24">
        <f t="shared" si="218"/>
        <v>0</v>
      </c>
      <c r="DQ42" s="24">
        <f t="shared" si="186"/>
        <v>0</v>
      </c>
      <c r="DR42" s="24">
        <f t="shared" si="219"/>
        <v>0</v>
      </c>
      <c r="DS42" s="24">
        <f t="shared" si="187"/>
        <v>0</v>
      </c>
      <c r="DT42" s="24">
        <f t="shared" si="220"/>
        <v>0</v>
      </c>
      <c r="DU42" s="24">
        <f t="shared" si="188"/>
        <v>0</v>
      </c>
      <c r="DV42" s="24">
        <f t="shared" si="221"/>
        <v>0</v>
      </c>
      <c r="DW42" s="24">
        <f t="shared" si="189"/>
        <v>0</v>
      </c>
      <c r="DX42" s="24">
        <f t="shared" si="222"/>
        <v>0</v>
      </c>
      <c r="DY42" s="24">
        <f t="shared" si="190"/>
        <v>0</v>
      </c>
      <c r="DZ42" s="24">
        <f t="shared" si="223"/>
        <v>0</v>
      </c>
      <c r="EA42" s="24">
        <f t="shared" si="191"/>
        <v>0</v>
      </c>
      <c r="EB42" s="24">
        <f t="shared" si="224"/>
        <v>0</v>
      </c>
      <c r="EC42" s="24">
        <f t="shared" si="192"/>
        <v>0</v>
      </c>
      <c r="ED42" s="24">
        <f t="shared" si="225"/>
        <v>0</v>
      </c>
      <c r="EE42" s="25"/>
    </row>
    <row r="43" spans="1:135" s="2" customFormat="1" ht="18" customHeight="1" x14ac:dyDescent="0.25">
      <c r="A43" s="15">
        <v>40</v>
      </c>
      <c r="B43" s="108" t="s">
        <v>438</v>
      </c>
      <c r="C43" s="74" t="s">
        <v>443</v>
      </c>
      <c r="D43" s="16" t="s">
        <v>107</v>
      </c>
      <c r="E43" s="18">
        <v>45643</v>
      </c>
      <c r="F43" s="19">
        <v>10.5</v>
      </c>
      <c r="G43" s="19">
        <v>10.5</v>
      </c>
      <c r="H43" s="19">
        <v>10.5</v>
      </c>
      <c r="I43" s="19">
        <v>10.5</v>
      </c>
      <c r="J43" s="19" t="s">
        <v>603</v>
      </c>
      <c r="K43" s="19">
        <v>10.5</v>
      </c>
      <c r="L43" s="19" t="s">
        <v>15</v>
      </c>
      <c r="M43" s="19">
        <v>10.5</v>
      </c>
      <c r="N43" s="19">
        <v>10.5</v>
      </c>
      <c r="O43" s="19">
        <v>10.5</v>
      </c>
      <c r="P43" s="19">
        <v>10.5</v>
      </c>
      <c r="Q43" s="19">
        <v>10.5</v>
      </c>
      <c r="R43" s="19">
        <v>10.5</v>
      </c>
      <c r="S43" s="19" t="s">
        <v>15</v>
      </c>
      <c r="T43" s="19">
        <v>10.5</v>
      </c>
      <c r="U43" s="19">
        <v>10.5</v>
      </c>
      <c r="V43" s="19">
        <v>10.5</v>
      </c>
      <c r="W43" s="19">
        <v>10.5</v>
      </c>
      <c r="X43" s="19">
        <v>10.5</v>
      </c>
      <c r="Y43" s="19">
        <v>10.5</v>
      </c>
      <c r="Z43" s="19" t="s">
        <v>15</v>
      </c>
      <c r="AA43" s="19">
        <v>10.5</v>
      </c>
      <c r="AB43" s="19">
        <v>10.5</v>
      </c>
      <c r="AC43" s="19">
        <v>10.5</v>
      </c>
      <c r="AD43" s="19">
        <v>10.5</v>
      </c>
      <c r="AE43" s="19">
        <v>10.5</v>
      </c>
      <c r="AF43" s="19">
        <v>10.5</v>
      </c>
      <c r="AG43" s="19" t="s">
        <v>15</v>
      </c>
      <c r="AH43" s="19">
        <v>10.5</v>
      </c>
      <c r="AI43" s="19">
        <v>10.5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f t="shared" si="119"/>
        <v>62.5</v>
      </c>
      <c r="AU43" s="19">
        <f t="shared" si="120"/>
        <v>0</v>
      </c>
      <c r="AV43" s="19">
        <f t="shared" si="193"/>
        <v>0</v>
      </c>
      <c r="AW43" s="16">
        <f t="shared" si="158"/>
        <v>30</v>
      </c>
      <c r="AX43" s="16">
        <f t="shared" si="159"/>
        <v>0</v>
      </c>
      <c r="AY43" s="38">
        <f t="shared" si="160"/>
        <v>0</v>
      </c>
      <c r="AZ43" s="36">
        <v>850</v>
      </c>
      <c r="BA43" s="20">
        <v>100</v>
      </c>
      <c r="BB43" s="21">
        <v>0</v>
      </c>
      <c r="BC43" s="19">
        <f t="shared" si="74"/>
        <v>850</v>
      </c>
      <c r="BD43" s="19">
        <f t="shared" si="75"/>
        <v>100</v>
      </c>
      <c r="BE43" s="19">
        <f t="shared" si="76"/>
        <v>277</v>
      </c>
      <c r="BF43" s="19">
        <f t="shared" si="77"/>
        <v>0</v>
      </c>
      <c r="BG43" s="19">
        <f t="shared" si="78"/>
        <v>0</v>
      </c>
      <c r="BH43" s="19">
        <f t="shared" si="79"/>
        <v>0</v>
      </c>
      <c r="BI43" s="19">
        <v>0</v>
      </c>
      <c r="BJ43" s="19">
        <v>95</v>
      </c>
      <c r="BK43" s="19">
        <f t="shared" si="122"/>
        <v>1322</v>
      </c>
      <c r="BL43" s="19">
        <v>0</v>
      </c>
      <c r="BM43" s="19">
        <v>0</v>
      </c>
      <c r="BN43" s="19">
        <f t="shared" si="123"/>
        <v>0</v>
      </c>
      <c r="BO43" s="19">
        <f t="shared" si="124"/>
        <v>1322</v>
      </c>
      <c r="BP43" s="19">
        <v>0</v>
      </c>
      <c r="BQ43" s="19">
        <v>0</v>
      </c>
      <c r="BR43" s="22">
        <f t="shared" si="125"/>
        <v>1322</v>
      </c>
      <c r="BS43" s="23">
        <f t="shared" si="161"/>
        <v>0</v>
      </c>
      <c r="BT43" s="24">
        <f t="shared" si="194"/>
        <v>0</v>
      </c>
      <c r="BU43" s="24">
        <f t="shared" si="162"/>
        <v>0</v>
      </c>
      <c r="BV43" s="24">
        <f t="shared" si="195"/>
        <v>0</v>
      </c>
      <c r="BW43" s="24">
        <f t="shared" si="163"/>
        <v>0</v>
      </c>
      <c r="BX43" s="24">
        <f t="shared" si="196"/>
        <v>0</v>
      </c>
      <c r="BY43" s="24">
        <f t="shared" si="164"/>
        <v>0</v>
      </c>
      <c r="BZ43" s="24">
        <f t="shared" si="197"/>
        <v>0</v>
      </c>
      <c r="CA43" s="24">
        <f t="shared" si="165"/>
        <v>25</v>
      </c>
      <c r="CB43" s="24">
        <f t="shared" si="198"/>
        <v>62.5</v>
      </c>
      <c r="CC43" s="24">
        <f t="shared" si="166"/>
        <v>0</v>
      </c>
      <c r="CD43" s="24">
        <f t="shared" si="199"/>
        <v>0</v>
      </c>
      <c r="CE43" s="24">
        <f t="shared" si="167"/>
        <v>0</v>
      </c>
      <c r="CF43" s="24">
        <f t="shared" si="200"/>
        <v>0</v>
      </c>
      <c r="CG43" s="24">
        <f t="shared" si="168"/>
        <v>0</v>
      </c>
      <c r="CH43" s="24">
        <f t="shared" si="201"/>
        <v>0</v>
      </c>
      <c r="CI43" s="24">
        <f t="shared" si="169"/>
        <v>0</v>
      </c>
      <c r="CJ43" s="24">
        <f t="shared" si="202"/>
        <v>0</v>
      </c>
      <c r="CK43" s="24">
        <f t="shared" si="170"/>
        <v>0</v>
      </c>
      <c r="CL43" s="24">
        <f t="shared" si="203"/>
        <v>0</v>
      </c>
      <c r="CM43" s="24">
        <f t="shared" si="171"/>
        <v>0</v>
      </c>
      <c r="CN43" s="24">
        <f t="shared" si="204"/>
        <v>0</v>
      </c>
      <c r="CO43" s="24">
        <f t="shared" si="172"/>
        <v>0</v>
      </c>
      <c r="CP43" s="24">
        <f t="shared" si="205"/>
        <v>0</v>
      </c>
      <c r="CQ43" s="24">
        <f t="shared" si="173"/>
        <v>0</v>
      </c>
      <c r="CR43" s="24">
        <f t="shared" si="206"/>
        <v>0</v>
      </c>
      <c r="CS43" s="24">
        <f t="shared" si="174"/>
        <v>0</v>
      </c>
      <c r="CT43" s="24">
        <f t="shared" si="207"/>
        <v>0</v>
      </c>
      <c r="CU43" s="24">
        <f t="shared" si="175"/>
        <v>0</v>
      </c>
      <c r="CV43" s="24">
        <f t="shared" si="208"/>
        <v>0</v>
      </c>
      <c r="CW43" s="24">
        <f t="shared" si="176"/>
        <v>0</v>
      </c>
      <c r="CX43" s="24">
        <f t="shared" si="209"/>
        <v>0</v>
      </c>
      <c r="CY43" s="24">
        <f t="shared" si="177"/>
        <v>0</v>
      </c>
      <c r="CZ43" s="24">
        <f t="shared" si="210"/>
        <v>0</v>
      </c>
      <c r="DA43" s="24">
        <f t="shared" si="178"/>
        <v>0</v>
      </c>
      <c r="DB43" s="24">
        <f t="shared" si="211"/>
        <v>0</v>
      </c>
      <c r="DC43" s="24">
        <f t="shared" si="179"/>
        <v>0</v>
      </c>
      <c r="DD43" s="24">
        <f t="shared" si="212"/>
        <v>0</v>
      </c>
      <c r="DE43" s="24">
        <f t="shared" si="180"/>
        <v>0</v>
      </c>
      <c r="DF43" s="24">
        <f t="shared" si="213"/>
        <v>0</v>
      </c>
      <c r="DG43" s="24">
        <f t="shared" si="181"/>
        <v>0</v>
      </c>
      <c r="DH43" s="24">
        <f t="shared" si="214"/>
        <v>0</v>
      </c>
      <c r="DI43" s="24">
        <f t="shared" si="182"/>
        <v>0</v>
      </c>
      <c r="DJ43" s="24">
        <f t="shared" si="215"/>
        <v>0</v>
      </c>
      <c r="DK43" s="24">
        <f t="shared" si="183"/>
        <v>0</v>
      </c>
      <c r="DL43" s="24">
        <f t="shared" si="216"/>
        <v>0</v>
      </c>
      <c r="DM43" s="24">
        <f t="shared" si="184"/>
        <v>0</v>
      </c>
      <c r="DN43" s="24">
        <f t="shared" si="217"/>
        <v>0</v>
      </c>
      <c r="DO43" s="24">
        <f t="shared" si="185"/>
        <v>0</v>
      </c>
      <c r="DP43" s="24">
        <f t="shared" si="218"/>
        <v>0</v>
      </c>
      <c r="DQ43" s="24">
        <f t="shared" si="186"/>
        <v>0</v>
      </c>
      <c r="DR43" s="24">
        <f t="shared" si="219"/>
        <v>0</v>
      </c>
      <c r="DS43" s="24">
        <f t="shared" si="187"/>
        <v>0</v>
      </c>
      <c r="DT43" s="24">
        <f t="shared" si="220"/>
        <v>0</v>
      </c>
      <c r="DU43" s="24">
        <f t="shared" si="188"/>
        <v>0</v>
      </c>
      <c r="DV43" s="24">
        <f t="shared" si="221"/>
        <v>0</v>
      </c>
      <c r="DW43" s="24">
        <f t="shared" si="189"/>
        <v>0</v>
      </c>
      <c r="DX43" s="24">
        <f t="shared" si="222"/>
        <v>0</v>
      </c>
      <c r="DY43" s="24">
        <f t="shared" si="190"/>
        <v>0</v>
      </c>
      <c r="DZ43" s="24">
        <f t="shared" si="223"/>
        <v>0</v>
      </c>
      <c r="EA43" s="24">
        <f t="shared" si="191"/>
        <v>0</v>
      </c>
      <c r="EB43" s="24">
        <f t="shared" si="224"/>
        <v>0</v>
      </c>
      <c r="EC43" s="24">
        <f t="shared" si="192"/>
        <v>0</v>
      </c>
      <c r="ED43" s="24">
        <f t="shared" si="225"/>
        <v>0</v>
      </c>
      <c r="EE43" s="25"/>
    </row>
    <row r="44" spans="1:135" s="2" customFormat="1" ht="18" customHeight="1" x14ac:dyDescent="0.25">
      <c r="A44" s="15">
        <v>41</v>
      </c>
      <c r="B44" s="108" t="s">
        <v>439</v>
      </c>
      <c r="C44" s="74" t="s">
        <v>444</v>
      </c>
      <c r="D44" s="90" t="s">
        <v>107</v>
      </c>
      <c r="E44" s="18">
        <v>45643</v>
      </c>
      <c r="F44" s="19">
        <v>10.5</v>
      </c>
      <c r="G44" s="19">
        <v>10.5</v>
      </c>
      <c r="H44" s="19">
        <v>10.5</v>
      </c>
      <c r="I44" s="19">
        <v>10.5</v>
      </c>
      <c r="J44" s="19" t="s">
        <v>603</v>
      </c>
      <c r="K44" s="19">
        <v>10.5</v>
      </c>
      <c r="L44" s="19" t="s">
        <v>15</v>
      </c>
      <c r="M44" s="19">
        <v>10.5</v>
      </c>
      <c r="N44" s="19">
        <v>10.5</v>
      </c>
      <c r="O44" s="19">
        <v>10.5</v>
      </c>
      <c r="P44" s="19">
        <v>10.5</v>
      </c>
      <c r="Q44" s="19">
        <v>10.5</v>
      </c>
      <c r="R44" s="19">
        <v>10.5</v>
      </c>
      <c r="S44" s="19" t="s">
        <v>15</v>
      </c>
      <c r="T44" s="19">
        <v>10.5</v>
      </c>
      <c r="U44" s="19">
        <v>10.5</v>
      </c>
      <c r="V44" s="19">
        <v>10.5</v>
      </c>
      <c r="W44" s="19">
        <v>10.5</v>
      </c>
      <c r="X44" s="19">
        <v>10.5</v>
      </c>
      <c r="Y44" s="19">
        <v>10.5</v>
      </c>
      <c r="Z44" s="19" t="s">
        <v>15</v>
      </c>
      <c r="AA44" s="19">
        <v>10.5</v>
      </c>
      <c r="AB44" s="19">
        <v>10.5</v>
      </c>
      <c r="AC44" s="19">
        <v>10.5</v>
      </c>
      <c r="AD44" s="19">
        <v>10.5</v>
      </c>
      <c r="AE44" s="19">
        <v>10.5</v>
      </c>
      <c r="AF44" s="19">
        <v>10.5</v>
      </c>
      <c r="AG44" s="19" t="s">
        <v>15</v>
      </c>
      <c r="AH44" s="19">
        <v>10.5</v>
      </c>
      <c r="AI44" s="19">
        <v>10.5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f t="shared" si="119"/>
        <v>62.5</v>
      </c>
      <c r="AU44" s="19">
        <f t="shared" si="120"/>
        <v>0</v>
      </c>
      <c r="AV44" s="19">
        <f t="shared" si="193"/>
        <v>0</v>
      </c>
      <c r="AW44" s="16">
        <f t="shared" si="158"/>
        <v>30</v>
      </c>
      <c r="AX44" s="16">
        <f t="shared" si="159"/>
        <v>0</v>
      </c>
      <c r="AY44" s="38">
        <f t="shared" si="160"/>
        <v>0</v>
      </c>
      <c r="AZ44" s="36">
        <v>950</v>
      </c>
      <c r="BA44" s="20">
        <v>100</v>
      </c>
      <c r="BB44" s="21">
        <v>0</v>
      </c>
      <c r="BC44" s="19">
        <f t="shared" si="74"/>
        <v>950</v>
      </c>
      <c r="BD44" s="19">
        <f t="shared" si="75"/>
        <v>100</v>
      </c>
      <c r="BE44" s="19">
        <f t="shared" si="76"/>
        <v>309</v>
      </c>
      <c r="BF44" s="19">
        <f t="shared" si="77"/>
        <v>0</v>
      </c>
      <c r="BG44" s="19">
        <f t="shared" si="78"/>
        <v>0</v>
      </c>
      <c r="BH44" s="19">
        <f t="shared" si="79"/>
        <v>0</v>
      </c>
      <c r="BI44" s="19">
        <v>0</v>
      </c>
      <c r="BJ44" s="19">
        <v>95</v>
      </c>
      <c r="BK44" s="19">
        <f t="shared" si="122"/>
        <v>1454</v>
      </c>
      <c r="BL44" s="19">
        <v>0</v>
      </c>
      <c r="BM44" s="19">
        <v>0</v>
      </c>
      <c r="BN44" s="19">
        <f t="shared" si="123"/>
        <v>0</v>
      </c>
      <c r="BO44" s="19">
        <f t="shared" si="124"/>
        <v>1454</v>
      </c>
      <c r="BP44" s="19">
        <v>0</v>
      </c>
      <c r="BQ44" s="19">
        <v>0</v>
      </c>
      <c r="BR44" s="22">
        <f t="shared" si="125"/>
        <v>1454</v>
      </c>
      <c r="BS44" s="23">
        <f t="shared" si="161"/>
        <v>0</v>
      </c>
      <c r="BT44" s="24">
        <f t="shared" si="194"/>
        <v>0</v>
      </c>
      <c r="BU44" s="24">
        <f t="shared" si="162"/>
        <v>0</v>
      </c>
      <c r="BV44" s="24">
        <f t="shared" si="195"/>
        <v>0</v>
      </c>
      <c r="BW44" s="24">
        <f t="shared" si="163"/>
        <v>0</v>
      </c>
      <c r="BX44" s="24">
        <f t="shared" si="196"/>
        <v>0</v>
      </c>
      <c r="BY44" s="24">
        <f t="shared" si="164"/>
        <v>0</v>
      </c>
      <c r="BZ44" s="24">
        <f t="shared" si="197"/>
        <v>0</v>
      </c>
      <c r="CA44" s="24">
        <f t="shared" si="165"/>
        <v>25</v>
      </c>
      <c r="CB44" s="24">
        <f t="shared" si="198"/>
        <v>62.5</v>
      </c>
      <c r="CC44" s="24">
        <f t="shared" si="166"/>
        <v>0</v>
      </c>
      <c r="CD44" s="24">
        <f t="shared" si="199"/>
        <v>0</v>
      </c>
      <c r="CE44" s="24">
        <f t="shared" si="167"/>
        <v>0</v>
      </c>
      <c r="CF44" s="24">
        <f t="shared" si="200"/>
        <v>0</v>
      </c>
      <c r="CG44" s="24">
        <f t="shared" si="168"/>
        <v>0</v>
      </c>
      <c r="CH44" s="24">
        <f t="shared" si="201"/>
        <v>0</v>
      </c>
      <c r="CI44" s="24">
        <f t="shared" si="169"/>
        <v>0</v>
      </c>
      <c r="CJ44" s="24">
        <f t="shared" si="202"/>
        <v>0</v>
      </c>
      <c r="CK44" s="24">
        <f t="shared" si="170"/>
        <v>0</v>
      </c>
      <c r="CL44" s="24">
        <f t="shared" si="203"/>
        <v>0</v>
      </c>
      <c r="CM44" s="24">
        <f t="shared" si="171"/>
        <v>0</v>
      </c>
      <c r="CN44" s="24">
        <f t="shared" si="204"/>
        <v>0</v>
      </c>
      <c r="CO44" s="24">
        <f t="shared" si="172"/>
        <v>0</v>
      </c>
      <c r="CP44" s="24">
        <f t="shared" si="205"/>
        <v>0</v>
      </c>
      <c r="CQ44" s="24">
        <f t="shared" si="173"/>
        <v>0</v>
      </c>
      <c r="CR44" s="24">
        <f t="shared" si="206"/>
        <v>0</v>
      </c>
      <c r="CS44" s="24">
        <f t="shared" si="174"/>
        <v>0</v>
      </c>
      <c r="CT44" s="24">
        <f t="shared" si="207"/>
        <v>0</v>
      </c>
      <c r="CU44" s="24">
        <f t="shared" si="175"/>
        <v>0</v>
      </c>
      <c r="CV44" s="24">
        <f t="shared" si="208"/>
        <v>0</v>
      </c>
      <c r="CW44" s="24">
        <f t="shared" si="176"/>
        <v>0</v>
      </c>
      <c r="CX44" s="24">
        <f t="shared" si="209"/>
        <v>0</v>
      </c>
      <c r="CY44" s="24">
        <f t="shared" si="177"/>
        <v>0</v>
      </c>
      <c r="CZ44" s="24">
        <f t="shared" si="210"/>
        <v>0</v>
      </c>
      <c r="DA44" s="24">
        <f t="shared" si="178"/>
        <v>0</v>
      </c>
      <c r="DB44" s="24">
        <f t="shared" si="211"/>
        <v>0</v>
      </c>
      <c r="DC44" s="24">
        <f t="shared" si="179"/>
        <v>0</v>
      </c>
      <c r="DD44" s="24">
        <f t="shared" si="212"/>
        <v>0</v>
      </c>
      <c r="DE44" s="24">
        <f t="shared" si="180"/>
        <v>0</v>
      </c>
      <c r="DF44" s="24">
        <f t="shared" si="213"/>
        <v>0</v>
      </c>
      <c r="DG44" s="24">
        <f t="shared" si="181"/>
        <v>0</v>
      </c>
      <c r="DH44" s="24">
        <f t="shared" si="214"/>
        <v>0</v>
      </c>
      <c r="DI44" s="24">
        <f t="shared" si="182"/>
        <v>0</v>
      </c>
      <c r="DJ44" s="24">
        <f t="shared" si="215"/>
        <v>0</v>
      </c>
      <c r="DK44" s="24">
        <f t="shared" si="183"/>
        <v>0</v>
      </c>
      <c r="DL44" s="24">
        <f t="shared" si="216"/>
        <v>0</v>
      </c>
      <c r="DM44" s="24">
        <f t="shared" si="184"/>
        <v>0</v>
      </c>
      <c r="DN44" s="24">
        <f t="shared" si="217"/>
        <v>0</v>
      </c>
      <c r="DO44" s="24">
        <f t="shared" si="185"/>
        <v>0</v>
      </c>
      <c r="DP44" s="24">
        <f t="shared" si="218"/>
        <v>0</v>
      </c>
      <c r="DQ44" s="24">
        <f t="shared" si="186"/>
        <v>0</v>
      </c>
      <c r="DR44" s="24">
        <f t="shared" si="219"/>
        <v>0</v>
      </c>
      <c r="DS44" s="24">
        <f t="shared" si="187"/>
        <v>0</v>
      </c>
      <c r="DT44" s="24">
        <f t="shared" si="220"/>
        <v>0</v>
      </c>
      <c r="DU44" s="24">
        <f t="shared" si="188"/>
        <v>0</v>
      </c>
      <c r="DV44" s="24">
        <f t="shared" si="221"/>
        <v>0</v>
      </c>
      <c r="DW44" s="24">
        <f t="shared" si="189"/>
        <v>0</v>
      </c>
      <c r="DX44" s="24">
        <f t="shared" si="222"/>
        <v>0</v>
      </c>
      <c r="DY44" s="24">
        <f t="shared" si="190"/>
        <v>0</v>
      </c>
      <c r="DZ44" s="24">
        <f t="shared" si="223"/>
        <v>0</v>
      </c>
      <c r="EA44" s="24">
        <f t="shared" si="191"/>
        <v>0</v>
      </c>
      <c r="EB44" s="24">
        <f t="shared" si="224"/>
        <v>0</v>
      </c>
      <c r="EC44" s="24">
        <f t="shared" si="192"/>
        <v>0</v>
      </c>
      <c r="ED44" s="24">
        <f t="shared" si="225"/>
        <v>0</v>
      </c>
      <c r="EE44" s="25"/>
    </row>
    <row r="45" spans="1:135" s="2" customFormat="1" ht="18" customHeight="1" x14ac:dyDescent="0.25">
      <c r="A45" s="15">
        <v>42</v>
      </c>
      <c r="B45" s="108" t="s">
        <v>440</v>
      </c>
      <c r="C45" s="74" t="s">
        <v>445</v>
      </c>
      <c r="D45" s="90" t="s">
        <v>107</v>
      </c>
      <c r="E45" s="18">
        <v>45643</v>
      </c>
      <c r="F45" s="19">
        <v>10.5</v>
      </c>
      <c r="G45" s="19">
        <v>10.5</v>
      </c>
      <c r="H45" s="19">
        <v>10.5</v>
      </c>
      <c r="I45" s="19">
        <v>10.5</v>
      </c>
      <c r="J45" s="19" t="s">
        <v>603</v>
      </c>
      <c r="K45" s="19">
        <v>10.5</v>
      </c>
      <c r="L45" s="19" t="s">
        <v>15</v>
      </c>
      <c r="M45" s="19">
        <v>10.5</v>
      </c>
      <c r="N45" s="19">
        <v>10.5</v>
      </c>
      <c r="O45" s="19">
        <v>10.5</v>
      </c>
      <c r="P45" s="19">
        <v>10.5</v>
      </c>
      <c r="Q45" s="19">
        <v>10.5</v>
      </c>
      <c r="R45" s="19">
        <v>10.5</v>
      </c>
      <c r="S45" s="19" t="s">
        <v>15</v>
      </c>
      <c r="T45" s="19">
        <v>10.5</v>
      </c>
      <c r="U45" s="19">
        <v>10.5</v>
      </c>
      <c r="V45" s="19">
        <v>10.5</v>
      </c>
      <c r="W45" s="19">
        <v>10.5</v>
      </c>
      <c r="X45" s="19">
        <v>10.5</v>
      </c>
      <c r="Y45" s="19">
        <v>10.5</v>
      </c>
      <c r="Z45" s="19" t="s">
        <v>15</v>
      </c>
      <c r="AA45" s="19">
        <v>10.5</v>
      </c>
      <c r="AB45" s="19">
        <v>10.5</v>
      </c>
      <c r="AC45" s="19">
        <v>10.5</v>
      </c>
      <c r="AD45" s="19">
        <v>10.5</v>
      </c>
      <c r="AE45" s="19">
        <v>10.5</v>
      </c>
      <c r="AF45" s="19">
        <v>10.5</v>
      </c>
      <c r="AG45" s="19" t="s">
        <v>15</v>
      </c>
      <c r="AH45" s="19">
        <v>10.5</v>
      </c>
      <c r="AI45" s="19">
        <v>10.5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f t="shared" si="119"/>
        <v>62.5</v>
      </c>
      <c r="AU45" s="19">
        <f t="shared" si="120"/>
        <v>0</v>
      </c>
      <c r="AV45" s="19">
        <f t="shared" si="193"/>
        <v>0</v>
      </c>
      <c r="AW45" s="16">
        <f t="shared" si="158"/>
        <v>30</v>
      </c>
      <c r="AX45" s="16">
        <f t="shared" si="159"/>
        <v>0</v>
      </c>
      <c r="AY45" s="38">
        <f t="shared" si="160"/>
        <v>0</v>
      </c>
      <c r="AZ45" s="36">
        <v>950</v>
      </c>
      <c r="BA45" s="20">
        <v>100</v>
      </c>
      <c r="BB45" s="21">
        <v>0</v>
      </c>
      <c r="BC45" s="19">
        <f t="shared" si="74"/>
        <v>950</v>
      </c>
      <c r="BD45" s="19">
        <f t="shared" si="75"/>
        <v>100</v>
      </c>
      <c r="BE45" s="19">
        <f t="shared" si="76"/>
        <v>309</v>
      </c>
      <c r="BF45" s="19">
        <f t="shared" si="77"/>
        <v>0</v>
      </c>
      <c r="BG45" s="19">
        <f t="shared" si="78"/>
        <v>0</v>
      </c>
      <c r="BH45" s="19">
        <f t="shared" si="79"/>
        <v>0</v>
      </c>
      <c r="BI45" s="19">
        <v>0</v>
      </c>
      <c r="BJ45" s="19">
        <v>95</v>
      </c>
      <c r="BK45" s="19">
        <f t="shared" si="122"/>
        <v>1454</v>
      </c>
      <c r="BL45" s="19">
        <v>0</v>
      </c>
      <c r="BM45" s="19">
        <v>0</v>
      </c>
      <c r="BN45" s="19">
        <f t="shared" si="123"/>
        <v>0</v>
      </c>
      <c r="BO45" s="19">
        <f t="shared" si="124"/>
        <v>1454</v>
      </c>
      <c r="BP45" s="19">
        <v>0</v>
      </c>
      <c r="BQ45" s="19">
        <v>0</v>
      </c>
      <c r="BR45" s="22">
        <f t="shared" si="125"/>
        <v>1454</v>
      </c>
      <c r="BS45" s="23">
        <f t="shared" si="161"/>
        <v>0</v>
      </c>
      <c r="BT45" s="24">
        <f t="shared" si="194"/>
        <v>0</v>
      </c>
      <c r="BU45" s="24">
        <f t="shared" si="162"/>
        <v>0</v>
      </c>
      <c r="BV45" s="24">
        <f t="shared" si="195"/>
        <v>0</v>
      </c>
      <c r="BW45" s="24">
        <f t="shared" si="163"/>
        <v>0</v>
      </c>
      <c r="BX45" s="24">
        <f t="shared" si="196"/>
        <v>0</v>
      </c>
      <c r="BY45" s="24">
        <f t="shared" si="164"/>
        <v>0</v>
      </c>
      <c r="BZ45" s="24">
        <f t="shared" si="197"/>
        <v>0</v>
      </c>
      <c r="CA45" s="24">
        <f t="shared" si="165"/>
        <v>25</v>
      </c>
      <c r="CB45" s="24">
        <f t="shared" si="198"/>
        <v>62.5</v>
      </c>
      <c r="CC45" s="24">
        <f t="shared" si="166"/>
        <v>0</v>
      </c>
      <c r="CD45" s="24">
        <f t="shared" si="199"/>
        <v>0</v>
      </c>
      <c r="CE45" s="24">
        <f t="shared" si="167"/>
        <v>0</v>
      </c>
      <c r="CF45" s="24">
        <f t="shared" si="200"/>
        <v>0</v>
      </c>
      <c r="CG45" s="24">
        <f t="shared" si="168"/>
        <v>0</v>
      </c>
      <c r="CH45" s="24">
        <f t="shared" si="201"/>
        <v>0</v>
      </c>
      <c r="CI45" s="24">
        <f t="shared" si="169"/>
        <v>0</v>
      </c>
      <c r="CJ45" s="24">
        <f t="shared" si="202"/>
        <v>0</v>
      </c>
      <c r="CK45" s="24">
        <f t="shared" si="170"/>
        <v>0</v>
      </c>
      <c r="CL45" s="24">
        <f t="shared" si="203"/>
        <v>0</v>
      </c>
      <c r="CM45" s="24">
        <f t="shared" si="171"/>
        <v>0</v>
      </c>
      <c r="CN45" s="24">
        <f t="shared" si="204"/>
        <v>0</v>
      </c>
      <c r="CO45" s="24">
        <f t="shared" si="172"/>
        <v>0</v>
      </c>
      <c r="CP45" s="24">
        <f t="shared" si="205"/>
        <v>0</v>
      </c>
      <c r="CQ45" s="24">
        <f t="shared" si="173"/>
        <v>0</v>
      </c>
      <c r="CR45" s="24">
        <f t="shared" si="206"/>
        <v>0</v>
      </c>
      <c r="CS45" s="24">
        <f t="shared" si="174"/>
        <v>0</v>
      </c>
      <c r="CT45" s="24">
        <f t="shared" si="207"/>
        <v>0</v>
      </c>
      <c r="CU45" s="24">
        <f t="shared" si="175"/>
        <v>0</v>
      </c>
      <c r="CV45" s="24">
        <f t="shared" si="208"/>
        <v>0</v>
      </c>
      <c r="CW45" s="24">
        <f t="shared" si="176"/>
        <v>0</v>
      </c>
      <c r="CX45" s="24">
        <f t="shared" si="209"/>
        <v>0</v>
      </c>
      <c r="CY45" s="24">
        <f t="shared" si="177"/>
        <v>0</v>
      </c>
      <c r="CZ45" s="24">
        <f t="shared" si="210"/>
        <v>0</v>
      </c>
      <c r="DA45" s="24">
        <f t="shared" si="178"/>
        <v>0</v>
      </c>
      <c r="DB45" s="24">
        <f t="shared" si="211"/>
        <v>0</v>
      </c>
      <c r="DC45" s="24">
        <f t="shared" si="179"/>
        <v>0</v>
      </c>
      <c r="DD45" s="24">
        <f t="shared" si="212"/>
        <v>0</v>
      </c>
      <c r="DE45" s="24">
        <f t="shared" si="180"/>
        <v>0</v>
      </c>
      <c r="DF45" s="24">
        <f t="shared" si="213"/>
        <v>0</v>
      </c>
      <c r="DG45" s="24">
        <f t="shared" si="181"/>
        <v>0</v>
      </c>
      <c r="DH45" s="24">
        <f t="shared" si="214"/>
        <v>0</v>
      </c>
      <c r="DI45" s="24">
        <f t="shared" si="182"/>
        <v>0</v>
      </c>
      <c r="DJ45" s="24">
        <f t="shared" si="215"/>
        <v>0</v>
      </c>
      <c r="DK45" s="24">
        <f t="shared" si="183"/>
        <v>0</v>
      </c>
      <c r="DL45" s="24">
        <f t="shared" si="216"/>
        <v>0</v>
      </c>
      <c r="DM45" s="24">
        <f t="shared" si="184"/>
        <v>0</v>
      </c>
      <c r="DN45" s="24">
        <f t="shared" si="217"/>
        <v>0</v>
      </c>
      <c r="DO45" s="24">
        <f t="shared" si="185"/>
        <v>0</v>
      </c>
      <c r="DP45" s="24">
        <f t="shared" si="218"/>
        <v>0</v>
      </c>
      <c r="DQ45" s="24">
        <f t="shared" si="186"/>
        <v>0</v>
      </c>
      <c r="DR45" s="24">
        <f t="shared" si="219"/>
        <v>0</v>
      </c>
      <c r="DS45" s="24">
        <f t="shared" si="187"/>
        <v>0</v>
      </c>
      <c r="DT45" s="24">
        <f t="shared" si="220"/>
        <v>0</v>
      </c>
      <c r="DU45" s="24">
        <f t="shared" si="188"/>
        <v>0</v>
      </c>
      <c r="DV45" s="24">
        <f t="shared" si="221"/>
        <v>0</v>
      </c>
      <c r="DW45" s="24">
        <f t="shared" si="189"/>
        <v>0</v>
      </c>
      <c r="DX45" s="24">
        <f t="shared" si="222"/>
        <v>0</v>
      </c>
      <c r="DY45" s="24">
        <f t="shared" si="190"/>
        <v>0</v>
      </c>
      <c r="DZ45" s="24">
        <f t="shared" si="223"/>
        <v>0</v>
      </c>
      <c r="EA45" s="24">
        <f t="shared" si="191"/>
        <v>0</v>
      </c>
      <c r="EB45" s="24">
        <f t="shared" si="224"/>
        <v>0</v>
      </c>
      <c r="EC45" s="24">
        <f t="shared" si="192"/>
        <v>0</v>
      </c>
      <c r="ED45" s="24">
        <f t="shared" si="225"/>
        <v>0</v>
      </c>
      <c r="EE45" s="25"/>
    </row>
    <row r="46" spans="1:135" s="2" customFormat="1" ht="18" customHeight="1" x14ac:dyDescent="0.25">
      <c r="A46" s="15">
        <v>43</v>
      </c>
      <c r="B46" s="108" t="s">
        <v>441</v>
      </c>
      <c r="C46" s="17" t="s">
        <v>446</v>
      </c>
      <c r="D46" s="16" t="s">
        <v>107</v>
      </c>
      <c r="E46" s="18">
        <v>45643</v>
      </c>
      <c r="F46" s="19">
        <v>11</v>
      </c>
      <c r="G46" s="19">
        <v>11</v>
      </c>
      <c r="H46" s="19">
        <v>11</v>
      </c>
      <c r="I46" s="19">
        <v>11</v>
      </c>
      <c r="J46" s="19" t="s">
        <v>603</v>
      </c>
      <c r="K46" s="19">
        <v>11</v>
      </c>
      <c r="L46" s="19" t="s">
        <v>15</v>
      </c>
      <c r="M46" s="19">
        <v>11</v>
      </c>
      <c r="N46" s="19">
        <v>11</v>
      </c>
      <c r="O46" s="19">
        <v>11</v>
      </c>
      <c r="P46" s="19">
        <v>11</v>
      </c>
      <c r="Q46" s="19">
        <v>11</v>
      </c>
      <c r="R46" s="19">
        <v>11</v>
      </c>
      <c r="S46" s="19" t="s">
        <v>15</v>
      </c>
      <c r="T46" s="19">
        <v>11</v>
      </c>
      <c r="U46" s="19">
        <v>11</v>
      </c>
      <c r="V46" s="19">
        <v>11</v>
      </c>
      <c r="W46" s="19">
        <v>11</v>
      </c>
      <c r="X46" s="19">
        <v>11</v>
      </c>
      <c r="Y46" s="19">
        <v>11</v>
      </c>
      <c r="Z46" s="19" t="s">
        <v>15</v>
      </c>
      <c r="AA46" s="19">
        <v>11</v>
      </c>
      <c r="AB46" s="19">
        <v>11</v>
      </c>
      <c r="AC46" s="19">
        <v>11</v>
      </c>
      <c r="AD46" s="19">
        <v>11</v>
      </c>
      <c r="AE46" s="19">
        <v>11</v>
      </c>
      <c r="AF46" s="19">
        <v>11</v>
      </c>
      <c r="AG46" s="19" t="s">
        <v>15</v>
      </c>
      <c r="AH46" s="19">
        <v>11</v>
      </c>
      <c r="AI46" s="19">
        <v>11</v>
      </c>
      <c r="AJ46" s="19">
        <v>0</v>
      </c>
      <c r="AK46" s="19">
        <v>0</v>
      </c>
      <c r="AL46" s="19">
        <v>11</v>
      </c>
      <c r="AM46" s="19">
        <v>0</v>
      </c>
      <c r="AN46" s="19">
        <v>0</v>
      </c>
      <c r="AO46" s="19">
        <v>11</v>
      </c>
      <c r="AP46" s="19">
        <v>0</v>
      </c>
      <c r="AQ46" s="19">
        <v>0</v>
      </c>
      <c r="AR46" s="19">
        <v>0</v>
      </c>
      <c r="AS46" s="19">
        <v>0</v>
      </c>
      <c r="AT46" s="19">
        <f t="shared" si="119"/>
        <v>75</v>
      </c>
      <c r="AU46" s="19">
        <f t="shared" si="120"/>
        <v>11</v>
      </c>
      <c r="AV46" s="19">
        <f t="shared" si="193"/>
        <v>11</v>
      </c>
      <c r="AW46" s="16">
        <f t="shared" si="158"/>
        <v>30</v>
      </c>
      <c r="AX46" s="16">
        <f t="shared" si="159"/>
        <v>0</v>
      </c>
      <c r="AY46" s="38">
        <f t="shared" si="160"/>
        <v>0</v>
      </c>
      <c r="AZ46" s="36">
        <v>950</v>
      </c>
      <c r="BA46" s="20">
        <v>100</v>
      </c>
      <c r="BB46" s="21">
        <v>0</v>
      </c>
      <c r="BC46" s="19">
        <f t="shared" si="74"/>
        <v>950</v>
      </c>
      <c r="BD46" s="19">
        <f t="shared" si="75"/>
        <v>100</v>
      </c>
      <c r="BE46" s="19">
        <f t="shared" si="76"/>
        <v>502</v>
      </c>
      <c r="BF46" s="19">
        <f t="shared" si="77"/>
        <v>0</v>
      </c>
      <c r="BG46" s="19">
        <f t="shared" si="78"/>
        <v>0</v>
      </c>
      <c r="BH46" s="19">
        <f t="shared" si="79"/>
        <v>0</v>
      </c>
      <c r="BI46" s="19">
        <v>0</v>
      </c>
      <c r="BJ46" s="19">
        <v>95</v>
      </c>
      <c r="BK46" s="19">
        <f t="shared" si="122"/>
        <v>1647</v>
      </c>
      <c r="BL46" s="19">
        <v>0</v>
      </c>
      <c r="BM46" s="19">
        <v>0</v>
      </c>
      <c r="BN46" s="19">
        <f t="shared" si="123"/>
        <v>0</v>
      </c>
      <c r="BO46" s="19">
        <f t="shared" si="124"/>
        <v>1647</v>
      </c>
      <c r="BP46" s="19">
        <v>0</v>
      </c>
      <c r="BQ46" s="19">
        <v>0</v>
      </c>
      <c r="BR46" s="22">
        <f t="shared" si="125"/>
        <v>1647</v>
      </c>
      <c r="BS46" s="23">
        <f t="shared" si="161"/>
        <v>0</v>
      </c>
      <c r="BT46" s="24">
        <f t="shared" si="194"/>
        <v>0</v>
      </c>
      <c r="BU46" s="24">
        <f t="shared" si="162"/>
        <v>0</v>
      </c>
      <c r="BV46" s="24">
        <f t="shared" si="195"/>
        <v>0</v>
      </c>
      <c r="BW46" s="24">
        <f t="shared" si="163"/>
        <v>0</v>
      </c>
      <c r="BX46" s="24">
        <f t="shared" si="196"/>
        <v>0</v>
      </c>
      <c r="BY46" s="24">
        <f t="shared" si="164"/>
        <v>0</v>
      </c>
      <c r="BZ46" s="24">
        <f t="shared" si="197"/>
        <v>0</v>
      </c>
      <c r="CA46" s="24">
        <f t="shared" si="165"/>
        <v>0</v>
      </c>
      <c r="CB46" s="24">
        <f t="shared" si="198"/>
        <v>0</v>
      </c>
      <c r="CC46" s="24">
        <f t="shared" si="166"/>
        <v>25</v>
      </c>
      <c r="CD46" s="24">
        <f t="shared" si="199"/>
        <v>75</v>
      </c>
      <c r="CE46" s="24">
        <f t="shared" si="167"/>
        <v>0</v>
      </c>
      <c r="CF46" s="24">
        <f t="shared" si="200"/>
        <v>0</v>
      </c>
      <c r="CG46" s="24">
        <f t="shared" si="168"/>
        <v>0</v>
      </c>
      <c r="CH46" s="24">
        <f t="shared" si="201"/>
        <v>0</v>
      </c>
      <c r="CI46" s="24">
        <f t="shared" si="169"/>
        <v>0</v>
      </c>
      <c r="CJ46" s="24">
        <f t="shared" si="202"/>
        <v>0</v>
      </c>
      <c r="CK46" s="24">
        <f t="shared" si="170"/>
        <v>0</v>
      </c>
      <c r="CL46" s="24">
        <f t="shared" si="203"/>
        <v>0</v>
      </c>
      <c r="CM46" s="24">
        <f t="shared" si="171"/>
        <v>0</v>
      </c>
      <c r="CN46" s="24">
        <f t="shared" si="204"/>
        <v>0</v>
      </c>
      <c r="CO46" s="24">
        <f t="shared" si="172"/>
        <v>0</v>
      </c>
      <c r="CP46" s="24">
        <f t="shared" si="205"/>
        <v>0</v>
      </c>
      <c r="CQ46" s="24">
        <f t="shared" si="173"/>
        <v>0</v>
      </c>
      <c r="CR46" s="24">
        <f t="shared" si="206"/>
        <v>0</v>
      </c>
      <c r="CS46" s="24">
        <f t="shared" si="174"/>
        <v>0</v>
      </c>
      <c r="CT46" s="24">
        <f t="shared" si="207"/>
        <v>0</v>
      </c>
      <c r="CU46" s="24">
        <f t="shared" si="175"/>
        <v>0</v>
      </c>
      <c r="CV46" s="24">
        <f t="shared" si="208"/>
        <v>0</v>
      </c>
      <c r="CW46" s="24">
        <f t="shared" si="176"/>
        <v>0</v>
      </c>
      <c r="CX46" s="24">
        <f t="shared" si="209"/>
        <v>0</v>
      </c>
      <c r="CY46" s="24">
        <f t="shared" si="177"/>
        <v>0</v>
      </c>
      <c r="CZ46" s="24">
        <f t="shared" si="210"/>
        <v>0</v>
      </c>
      <c r="DA46" s="24">
        <f t="shared" si="178"/>
        <v>0</v>
      </c>
      <c r="DB46" s="24">
        <f t="shared" si="211"/>
        <v>0</v>
      </c>
      <c r="DC46" s="24">
        <f t="shared" si="179"/>
        <v>0</v>
      </c>
      <c r="DD46" s="24">
        <f t="shared" si="212"/>
        <v>0</v>
      </c>
      <c r="DE46" s="24">
        <f t="shared" si="180"/>
        <v>0</v>
      </c>
      <c r="DF46" s="24">
        <f t="shared" si="213"/>
        <v>0</v>
      </c>
      <c r="DG46" s="24">
        <f t="shared" si="181"/>
        <v>0</v>
      </c>
      <c r="DH46" s="24">
        <f t="shared" si="214"/>
        <v>0</v>
      </c>
      <c r="DI46" s="24">
        <f t="shared" si="182"/>
        <v>0</v>
      </c>
      <c r="DJ46" s="24">
        <f t="shared" si="215"/>
        <v>0</v>
      </c>
      <c r="DK46" s="24">
        <f t="shared" si="183"/>
        <v>0</v>
      </c>
      <c r="DL46" s="24">
        <f t="shared" si="216"/>
        <v>0</v>
      </c>
      <c r="DM46" s="24">
        <f t="shared" si="184"/>
        <v>0</v>
      </c>
      <c r="DN46" s="24">
        <f t="shared" si="217"/>
        <v>0</v>
      </c>
      <c r="DO46" s="24">
        <f t="shared" si="185"/>
        <v>0</v>
      </c>
      <c r="DP46" s="24">
        <f t="shared" si="218"/>
        <v>0</v>
      </c>
      <c r="DQ46" s="24">
        <f t="shared" si="186"/>
        <v>0</v>
      </c>
      <c r="DR46" s="24">
        <f t="shared" si="219"/>
        <v>0</v>
      </c>
      <c r="DS46" s="24">
        <f t="shared" si="187"/>
        <v>0</v>
      </c>
      <c r="DT46" s="24">
        <f t="shared" si="220"/>
        <v>0</v>
      </c>
      <c r="DU46" s="24">
        <f t="shared" si="188"/>
        <v>0</v>
      </c>
      <c r="DV46" s="24">
        <f t="shared" si="221"/>
        <v>0</v>
      </c>
      <c r="DW46" s="24">
        <f t="shared" si="189"/>
        <v>0</v>
      </c>
      <c r="DX46" s="24">
        <f t="shared" si="222"/>
        <v>0</v>
      </c>
      <c r="DY46" s="24">
        <f t="shared" si="190"/>
        <v>0</v>
      </c>
      <c r="DZ46" s="24">
        <f t="shared" si="223"/>
        <v>0</v>
      </c>
      <c r="EA46" s="24">
        <f t="shared" si="191"/>
        <v>0</v>
      </c>
      <c r="EB46" s="24">
        <f t="shared" si="224"/>
        <v>0</v>
      </c>
      <c r="EC46" s="24">
        <f t="shared" si="192"/>
        <v>0</v>
      </c>
      <c r="ED46" s="24">
        <f t="shared" si="225"/>
        <v>0</v>
      </c>
      <c r="EE46" s="25"/>
    </row>
    <row r="47" spans="1:135" s="2" customFormat="1" ht="18" customHeight="1" x14ac:dyDescent="0.25">
      <c r="A47" s="15">
        <v>44</v>
      </c>
      <c r="B47" s="108">
        <v>293</v>
      </c>
      <c r="C47" s="74" t="s">
        <v>463</v>
      </c>
      <c r="D47" s="90" t="s">
        <v>107</v>
      </c>
      <c r="E47" s="18">
        <v>45697</v>
      </c>
      <c r="F47" s="19">
        <v>10</v>
      </c>
      <c r="G47" s="19">
        <v>10</v>
      </c>
      <c r="H47" s="19">
        <v>10</v>
      </c>
      <c r="I47" s="19">
        <v>10</v>
      </c>
      <c r="J47" s="19" t="s">
        <v>603</v>
      </c>
      <c r="K47" s="19">
        <v>10</v>
      </c>
      <c r="L47" s="19" t="s">
        <v>15</v>
      </c>
      <c r="M47" s="19">
        <v>10</v>
      </c>
      <c r="N47" s="19">
        <v>10</v>
      </c>
      <c r="O47" s="19">
        <v>10</v>
      </c>
      <c r="P47" s="19">
        <v>10</v>
      </c>
      <c r="Q47" s="19">
        <v>10</v>
      </c>
      <c r="R47" s="19">
        <v>10</v>
      </c>
      <c r="S47" s="19" t="s">
        <v>15</v>
      </c>
      <c r="T47" s="19">
        <v>10</v>
      </c>
      <c r="U47" s="19">
        <v>10</v>
      </c>
      <c r="V47" s="19">
        <v>10</v>
      </c>
      <c r="W47" s="19">
        <v>12</v>
      </c>
      <c r="X47" s="19">
        <v>10</v>
      </c>
      <c r="Y47" s="19">
        <v>10</v>
      </c>
      <c r="Z47" s="19" t="s">
        <v>15</v>
      </c>
      <c r="AA47" s="19">
        <v>10</v>
      </c>
      <c r="AB47" s="19">
        <v>10</v>
      </c>
      <c r="AC47" s="19">
        <v>10</v>
      </c>
      <c r="AD47" s="19">
        <v>12</v>
      </c>
      <c r="AE47" s="19">
        <v>10</v>
      </c>
      <c r="AF47" s="19">
        <v>10</v>
      </c>
      <c r="AG47" s="19" t="s">
        <v>15</v>
      </c>
      <c r="AH47" s="19">
        <v>10</v>
      </c>
      <c r="AI47" s="19">
        <v>10</v>
      </c>
      <c r="AJ47" s="19">
        <v>14</v>
      </c>
      <c r="AK47" s="19">
        <v>0</v>
      </c>
      <c r="AL47" s="19">
        <v>0</v>
      </c>
      <c r="AM47" s="19">
        <v>0</v>
      </c>
      <c r="AN47" s="19">
        <v>0</v>
      </c>
      <c r="AO47" s="19">
        <v>10</v>
      </c>
      <c r="AP47" s="19">
        <v>0</v>
      </c>
      <c r="AQ47" s="19">
        <v>0</v>
      </c>
      <c r="AR47" s="19">
        <v>0</v>
      </c>
      <c r="AS47" s="19">
        <v>0</v>
      </c>
      <c r="AT47" s="19">
        <f t="shared" si="119"/>
        <v>54</v>
      </c>
      <c r="AU47" s="19">
        <f t="shared" si="120"/>
        <v>14</v>
      </c>
      <c r="AV47" s="19">
        <f t="shared" si="193"/>
        <v>10</v>
      </c>
      <c r="AW47" s="16">
        <f t="shared" si="158"/>
        <v>30</v>
      </c>
      <c r="AX47" s="16">
        <f t="shared" si="159"/>
        <v>0</v>
      </c>
      <c r="AY47" s="38">
        <f t="shared" si="160"/>
        <v>0</v>
      </c>
      <c r="AZ47" s="36">
        <v>900</v>
      </c>
      <c r="BA47" s="20">
        <v>100</v>
      </c>
      <c r="BB47" s="21">
        <v>0</v>
      </c>
      <c r="BC47" s="19">
        <f t="shared" si="74"/>
        <v>900</v>
      </c>
      <c r="BD47" s="19">
        <f t="shared" si="75"/>
        <v>100</v>
      </c>
      <c r="BE47" s="19">
        <f t="shared" si="76"/>
        <v>388</v>
      </c>
      <c r="BF47" s="19">
        <f t="shared" si="77"/>
        <v>0</v>
      </c>
      <c r="BG47" s="19">
        <f t="shared" si="78"/>
        <v>0</v>
      </c>
      <c r="BH47" s="19">
        <f t="shared" si="79"/>
        <v>0</v>
      </c>
      <c r="BI47" s="19">
        <v>0</v>
      </c>
      <c r="BJ47" s="19">
        <v>95</v>
      </c>
      <c r="BK47" s="19">
        <f t="shared" si="122"/>
        <v>1483</v>
      </c>
      <c r="BL47" s="19">
        <v>0</v>
      </c>
      <c r="BM47" s="19">
        <v>0</v>
      </c>
      <c r="BN47" s="19">
        <f t="shared" si="123"/>
        <v>0</v>
      </c>
      <c r="BO47" s="19">
        <f t="shared" si="124"/>
        <v>1483</v>
      </c>
      <c r="BP47" s="19">
        <v>0</v>
      </c>
      <c r="BQ47" s="19">
        <v>0</v>
      </c>
      <c r="BR47" s="22">
        <f t="shared" si="125"/>
        <v>1483</v>
      </c>
      <c r="BS47" s="23">
        <f t="shared" si="161"/>
        <v>0</v>
      </c>
      <c r="BT47" s="24">
        <f t="shared" si="194"/>
        <v>0</v>
      </c>
      <c r="BU47" s="24">
        <f t="shared" si="162"/>
        <v>0</v>
      </c>
      <c r="BV47" s="24">
        <f t="shared" si="195"/>
        <v>0</v>
      </c>
      <c r="BW47" s="24">
        <f t="shared" si="163"/>
        <v>0</v>
      </c>
      <c r="BX47" s="24">
        <f t="shared" si="196"/>
        <v>0</v>
      </c>
      <c r="BY47" s="24">
        <f t="shared" si="164"/>
        <v>23</v>
      </c>
      <c r="BZ47" s="24">
        <f t="shared" si="197"/>
        <v>46</v>
      </c>
      <c r="CA47" s="24">
        <f t="shared" si="165"/>
        <v>0</v>
      </c>
      <c r="CB47" s="24">
        <f t="shared" si="198"/>
        <v>0</v>
      </c>
      <c r="CC47" s="24">
        <f t="shared" si="166"/>
        <v>0</v>
      </c>
      <c r="CD47" s="24">
        <f t="shared" si="199"/>
        <v>0</v>
      </c>
      <c r="CE47" s="24">
        <f t="shared" si="167"/>
        <v>0</v>
      </c>
      <c r="CF47" s="24">
        <f t="shared" si="200"/>
        <v>0</v>
      </c>
      <c r="CG47" s="24">
        <f t="shared" si="168"/>
        <v>2</v>
      </c>
      <c r="CH47" s="24">
        <f t="shared" si="201"/>
        <v>8</v>
      </c>
      <c r="CI47" s="24">
        <f t="shared" si="169"/>
        <v>0</v>
      </c>
      <c r="CJ47" s="24">
        <f t="shared" si="202"/>
        <v>0</v>
      </c>
      <c r="CK47" s="24">
        <f t="shared" si="170"/>
        <v>0</v>
      </c>
      <c r="CL47" s="24">
        <f t="shared" si="203"/>
        <v>0</v>
      </c>
      <c r="CM47" s="24">
        <f t="shared" si="171"/>
        <v>0</v>
      </c>
      <c r="CN47" s="24">
        <f t="shared" si="204"/>
        <v>0</v>
      </c>
      <c r="CO47" s="24">
        <f t="shared" si="172"/>
        <v>0</v>
      </c>
      <c r="CP47" s="24">
        <f t="shared" si="205"/>
        <v>0</v>
      </c>
      <c r="CQ47" s="24">
        <f t="shared" si="173"/>
        <v>0</v>
      </c>
      <c r="CR47" s="24">
        <f t="shared" si="206"/>
        <v>0</v>
      </c>
      <c r="CS47" s="24">
        <f t="shared" si="174"/>
        <v>0</v>
      </c>
      <c r="CT47" s="24">
        <f t="shared" si="207"/>
        <v>0</v>
      </c>
      <c r="CU47" s="24">
        <f t="shared" si="175"/>
        <v>0</v>
      </c>
      <c r="CV47" s="24">
        <f t="shared" si="208"/>
        <v>0</v>
      </c>
      <c r="CW47" s="24">
        <f t="shared" si="176"/>
        <v>0</v>
      </c>
      <c r="CX47" s="24">
        <f t="shared" si="209"/>
        <v>0</v>
      </c>
      <c r="CY47" s="24">
        <f t="shared" si="177"/>
        <v>0</v>
      </c>
      <c r="CZ47" s="24">
        <f t="shared" si="210"/>
        <v>0</v>
      </c>
      <c r="DA47" s="24">
        <f t="shared" si="178"/>
        <v>0</v>
      </c>
      <c r="DB47" s="24">
        <f t="shared" si="211"/>
        <v>0</v>
      </c>
      <c r="DC47" s="24">
        <f t="shared" si="179"/>
        <v>0</v>
      </c>
      <c r="DD47" s="24">
        <f t="shared" si="212"/>
        <v>0</v>
      </c>
      <c r="DE47" s="24">
        <f t="shared" si="180"/>
        <v>0</v>
      </c>
      <c r="DF47" s="24">
        <f t="shared" si="213"/>
        <v>0</v>
      </c>
      <c r="DG47" s="24">
        <f t="shared" si="181"/>
        <v>0</v>
      </c>
      <c r="DH47" s="24">
        <f t="shared" si="214"/>
        <v>0</v>
      </c>
      <c r="DI47" s="24">
        <f t="shared" si="182"/>
        <v>0</v>
      </c>
      <c r="DJ47" s="24">
        <f t="shared" si="215"/>
        <v>0</v>
      </c>
      <c r="DK47" s="24">
        <f t="shared" si="183"/>
        <v>0</v>
      </c>
      <c r="DL47" s="24">
        <f t="shared" si="216"/>
        <v>0</v>
      </c>
      <c r="DM47" s="24">
        <f t="shared" si="184"/>
        <v>0</v>
      </c>
      <c r="DN47" s="24">
        <f t="shared" si="217"/>
        <v>0</v>
      </c>
      <c r="DO47" s="24">
        <f t="shared" si="185"/>
        <v>0</v>
      </c>
      <c r="DP47" s="24">
        <f t="shared" si="218"/>
        <v>0</v>
      </c>
      <c r="DQ47" s="24">
        <f t="shared" si="186"/>
        <v>0</v>
      </c>
      <c r="DR47" s="24">
        <f t="shared" si="219"/>
        <v>0</v>
      </c>
      <c r="DS47" s="24">
        <f t="shared" si="187"/>
        <v>0</v>
      </c>
      <c r="DT47" s="24">
        <f t="shared" si="220"/>
        <v>0</v>
      </c>
      <c r="DU47" s="24">
        <f t="shared" si="188"/>
        <v>0</v>
      </c>
      <c r="DV47" s="24">
        <f t="shared" si="221"/>
        <v>0</v>
      </c>
      <c r="DW47" s="24">
        <f t="shared" si="189"/>
        <v>0</v>
      </c>
      <c r="DX47" s="24">
        <f t="shared" si="222"/>
        <v>0</v>
      </c>
      <c r="DY47" s="24">
        <f t="shared" si="190"/>
        <v>0</v>
      </c>
      <c r="DZ47" s="24">
        <f t="shared" si="223"/>
        <v>0</v>
      </c>
      <c r="EA47" s="24">
        <f t="shared" si="191"/>
        <v>0</v>
      </c>
      <c r="EB47" s="24">
        <f t="shared" si="224"/>
        <v>0</v>
      </c>
      <c r="EC47" s="24">
        <f t="shared" si="192"/>
        <v>0</v>
      </c>
      <c r="ED47" s="24">
        <f t="shared" si="225"/>
        <v>0</v>
      </c>
      <c r="EE47" s="25"/>
    </row>
    <row r="48" spans="1:135" s="2" customFormat="1" ht="18" customHeight="1" x14ac:dyDescent="0.25">
      <c r="A48" s="15">
        <v>45</v>
      </c>
      <c r="B48" s="108">
        <v>294</v>
      </c>
      <c r="C48" s="74" t="s">
        <v>464</v>
      </c>
      <c r="D48" s="90" t="s">
        <v>107</v>
      </c>
      <c r="E48" s="18">
        <v>45697</v>
      </c>
      <c r="F48" s="19">
        <v>11</v>
      </c>
      <c r="G48" s="19">
        <v>11</v>
      </c>
      <c r="H48" s="19">
        <v>11</v>
      </c>
      <c r="I48" s="19">
        <v>11</v>
      </c>
      <c r="J48" s="19" t="s">
        <v>603</v>
      </c>
      <c r="K48" s="19" t="s">
        <v>316</v>
      </c>
      <c r="L48" s="19" t="s">
        <v>316</v>
      </c>
      <c r="M48" s="19">
        <v>11</v>
      </c>
      <c r="N48" s="19">
        <v>11</v>
      </c>
      <c r="O48" s="19">
        <v>11</v>
      </c>
      <c r="P48" s="19">
        <v>11</v>
      </c>
      <c r="Q48" s="19">
        <v>11</v>
      </c>
      <c r="R48" s="19">
        <v>11</v>
      </c>
      <c r="S48" s="19" t="s">
        <v>15</v>
      </c>
      <c r="T48" s="19">
        <v>11</v>
      </c>
      <c r="U48" s="19">
        <v>11</v>
      </c>
      <c r="V48" s="19">
        <v>11</v>
      </c>
      <c r="W48" s="19">
        <v>11</v>
      </c>
      <c r="X48" s="19">
        <v>11</v>
      </c>
      <c r="Y48" s="19">
        <v>11</v>
      </c>
      <c r="Z48" s="19" t="s">
        <v>15</v>
      </c>
      <c r="AA48" s="19">
        <v>11</v>
      </c>
      <c r="AB48" s="19">
        <v>11</v>
      </c>
      <c r="AC48" s="19">
        <v>11</v>
      </c>
      <c r="AD48" s="19">
        <v>11</v>
      </c>
      <c r="AE48" s="19">
        <v>11</v>
      </c>
      <c r="AF48" s="19">
        <v>11</v>
      </c>
      <c r="AG48" s="19" t="s">
        <v>15</v>
      </c>
      <c r="AH48" s="19">
        <v>11</v>
      </c>
      <c r="AI48" s="19">
        <v>11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11</v>
      </c>
      <c r="AP48" s="19">
        <v>0</v>
      </c>
      <c r="AQ48" s="19">
        <v>0</v>
      </c>
      <c r="AR48" s="19">
        <v>0</v>
      </c>
      <c r="AS48" s="19">
        <v>0</v>
      </c>
      <c r="AT48" s="19">
        <f t="shared" si="119"/>
        <v>72</v>
      </c>
      <c r="AU48" s="19">
        <f t="shared" si="120"/>
        <v>0</v>
      </c>
      <c r="AV48" s="19">
        <f t="shared" si="193"/>
        <v>11</v>
      </c>
      <c r="AW48" s="16">
        <f t="shared" si="158"/>
        <v>28</v>
      </c>
      <c r="AX48" s="16">
        <f t="shared" si="159"/>
        <v>2</v>
      </c>
      <c r="AY48" s="38">
        <f t="shared" si="160"/>
        <v>0</v>
      </c>
      <c r="AZ48" s="36">
        <v>950</v>
      </c>
      <c r="BA48" s="20">
        <v>100</v>
      </c>
      <c r="BB48" s="21">
        <v>0</v>
      </c>
      <c r="BC48" s="19">
        <f t="shared" si="74"/>
        <v>887</v>
      </c>
      <c r="BD48" s="19">
        <f t="shared" si="75"/>
        <v>93</v>
      </c>
      <c r="BE48" s="19">
        <f t="shared" si="76"/>
        <v>422</v>
      </c>
      <c r="BF48" s="19">
        <f t="shared" si="77"/>
        <v>0</v>
      </c>
      <c r="BG48" s="19">
        <f t="shared" si="78"/>
        <v>0</v>
      </c>
      <c r="BH48" s="19">
        <f t="shared" si="79"/>
        <v>0</v>
      </c>
      <c r="BI48" s="19">
        <v>0</v>
      </c>
      <c r="BJ48" s="19">
        <v>0</v>
      </c>
      <c r="BK48" s="19">
        <f t="shared" si="122"/>
        <v>1402</v>
      </c>
      <c r="BL48" s="19">
        <v>0</v>
      </c>
      <c r="BM48" s="19">
        <v>0</v>
      </c>
      <c r="BN48" s="19">
        <f t="shared" si="123"/>
        <v>0</v>
      </c>
      <c r="BO48" s="19">
        <f t="shared" si="124"/>
        <v>1402</v>
      </c>
      <c r="BP48" s="19">
        <v>0</v>
      </c>
      <c r="BQ48" s="19">
        <v>0</v>
      </c>
      <c r="BR48" s="22">
        <f t="shared" si="125"/>
        <v>1402</v>
      </c>
      <c r="BS48" s="23">
        <f t="shared" si="161"/>
        <v>0</v>
      </c>
      <c r="BT48" s="24">
        <f t="shared" si="194"/>
        <v>0</v>
      </c>
      <c r="BU48" s="24">
        <f t="shared" si="162"/>
        <v>0</v>
      </c>
      <c r="BV48" s="24">
        <f t="shared" si="195"/>
        <v>0</v>
      </c>
      <c r="BW48" s="24">
        <f t="shared" si="163"/>
        <v>0</v>
      </c>
      <c r="BX48" s="24">
        <f t="shared" si="196"/>
        <v>0</v>
      </c>
      <c r="BY48" s="24">
        <f t="shared" si="164"/>
        <v>0</v>
      </c>
      <c r="BZ48" s="24">
        <f t="shared" si="197"/>
        <v>0</v>
      </c>
      <c r="CA48" s="24">
        <f t="shared" si="165"/>
        <v>0</v>
      </c>
      <c r="CB48" s="24">
        <f t="shared" si="198"/>
        <v>0</v>
      </c>
      <c r="CC48" s="24">
        <f t="shared" si="166"/>
        <v>24</v>
      </c>
      <c r="CD48" s="24">
        <f t="shared" si="199"/>
        <v>72</v>
      </c>
      <c r="CE48" s="24">
        <f t="shared" si="167"/>
        <v>0</v>
      </c>
      <c r="CF48" s="24">
        <f t="shared" si="200"/>
        <v>0</v>
      </c>
      <c r="CG48" s="24">
        <f t="shared" si="168"/>
        <v>0</v>
      </c>
      <c r="CH48" s="24">
        <f t="shared" si="201"/>
        <v>0</v>
      </c>
      <c r="CI48" s="24">
        <f t="shared" si="169"/>
        <v>0</v>
      </c>
      <c r="CJ48" s="24">
        <f t="shared" si="202"/>
        <v>0</v>
      </c>
      <c r="CK48" s="24">
        <f t="shared" si="170"/>
        <v>0</v>
      </c>
      <c r="CL48" s="24">
        <f t="shared" si="203"/>
        <v>0</v>
      </c>
      <c r="CM48" s="24">
        <f t="shared" si="171"/>
        <v>0</v>
      </c>
      <c r="CN48" s="24">
        <f t="shared" si="204"/>
        <v>0</v>
      </c>
      <c r="CO48" s="24">
        <f t="shared" si="172"/>
        <v>0</v>
      </c>
      <c r="CP48" s="24">
        <f t="shared" si="205"/>
        <v>0</v>
      </c>
      <c r="CQ48" s="24">
        <f t="shared" si="173"/>
        <v>0</v>
      </c>
      <c r="CR48" s="24">
        <f t="shared" si="206"/>
        <v>0</v>
      </c>
      <c r="CS48" s="24">
        <f t="shared" si="174"/>
        <v>0</v>
      </c>
      <c r="CT48" s="24">
        <f t="shared" si="207"/>
        <v>0</v>
      </c>
      <c r="CU48" s="24">
        <f t="shared" si="175"/>
        <v>0</v>
      </c>
      <c r="CV48" s="24">
        <f t="shared" si="208"/>
        <v>0</v>
      </c>
      <c r="CW48" s="24">
        <f t="shared" si="176"/>
        <v>0</v>
      </c>
      <c r="CX48" s="24">
        <f t="shared" si="209"/>
        <v>0</v>
      </c>
      <c r="CY48" s="24">
        <f t="shared" si="177"/>
        <v>0</v>
      </c>
      <c r="CZ48" s="24">
        <f t="shared" si="210"/>
        <v>0</v>
      </c>
      <c r="DA48" s="24">
        <f t="shared" si="178"/>
        <v>0</v>
      </c>
      <c r="DB48" s="24">
        <f t="shared" si="211"/>
        <v>0</v>
      </c>
      <c r="DC48" s="24">
        <f t="shared" si="179"/>
        <v>0</v>
      </c>
      <c r="DD48" s="24">
        <f t="shared" si="212"/>
        <v>0</v>
      </c>
      <c r="DE48" s="24">
        <f t="shared" si="180"/>
        <v>0</v>
      </c>
      <c r="DF48" s="24">
        <f t="shared" si="213"/>
        <v>0</v>
      </c>
      <c r="DG48" s="24">
        <f t="shared" si="181"/>
        <v>0</v>
      </c>
      <c r="DH48" s="24">
        <f t="shared" si="214"/>
        <v>0</v>
      </c>
      <c r="DI48" s="24">
        <f t="shared" si="182"/>
        <v>0</v>
      </c>
      <c r="DJ48" s="24">
        <f t="shared" si="215"/>
        <v>0</v>
      </c>
      <c r="DK48" s="24">
        <f t="shared" si="183"/>
        <v>0</v>
      </c>
      <c r="DL48" s="24">
        <f t="shared" si="216"/>
        <v>0</v>
      </c>
      <c r="DM48" s="24">
        <f t="shared" si="184"/>
        <v>0</v>
      </c>
      <c r="DN48" s="24">
        <f t="shared" si="217"/>
        <v>0</v>
      </c>
      <c r="DO48" s="24">
        <f t="shared" si="185"/>
        <v>0</v>
      </c>
      <c r="DP48" s="24">
        <f t="shared" si="218"/>
        <v>0</v>
      </c>
      <c r="DQ48" s="24">
        <f t="shared" si="186"/>
        <v>0</v>
      </c>
      <c r="DR48" s="24">
        <f t="shared" si="219"/>
        <v>0</v>
      </c>
      <c r="DS48" s="24">
        <f t="shared" si="187"/>
        <v>0</v>
      </c>
      <c r="DT48" s="24">
        <f t="shared" si="220"/>
        <v>0</v>
      </c>
      <c r="DU48" s="24">
        <f t="shared" si="188"/>
        <v>0</v>
      </c>
      <c r="DV48" s="24">
        <f t="shared" si="221"/>
        <v>0</v>
      </c>
      <c r="DW48" s="24">
        <f t="shared" si="189"/>
        <v>0</v>
      </c>
      <c r="DX48" s="24">
        <f t="shared" si="222"/>
        <v>0</v>
      </c>
      <c r="DY48" s="24">
        <f t="shared" si="190"/>
        <v>0</v>
      </c>
      <c r="DZ48" s="24">
        <f t="shared" si="223"/>
        <v>0</v>
      </c>
      <c r="EA48" s="24">
        <f t="shared" si="191"/>
        <v>0</v>
      </c>
      <c r="EB48" s="24">
        <f t="shared" si="224"/>
        <v>0</v>
      </c>
      <c r="EC48" s="24">
        <f t="shared" si="192"/>
        <v>0</v>
      </c>
      <c r="ED48" s="24">
        <f t="shared" si="225"/>
        <v>0</v>
      </c>
      <c r="EE48" s="25"/>
    </row>
    <row r="49" spans="1:135" s="2" customFormat="1" ht="18" customHeight="1" x14ac:dyDescent="0.25">
      <c r="A49" s="15">
        <v>46</v>
      </c>
      <c r="B49" s="108">
        <v>295</v>
      </c>
      <c r="C49" s="74" t="s">
        <v>465</v>
      </c>
      <c r="D49" s="90" t="s">
        <v>107</v>
      </c>
      <c r="E49" s="18">
        <v>45702</v>
      </c>
      <c r="F49" s="19">
        <v>11</v>
      </c>
      <c r="G49" s="19">
        <v>11</v>
      </c>
      <c r="H49" s="19">
        <v>11</v>
      </c>
      <c r="I49" s="19">
        <v>11</v>
      </c>
      <c r="J49" s="19" t="s">
        <v>603</v>
      </c>
      <c r="K49" s="19">
        <v>11</v>
      </c>
      <c r="L49" s="19" t="s">
        <v>15</v>
      </c>
      <c r="M49" s="19">
        <v>11</v>
      </c>
      <c r="N49" s="19">
        <v>11</v>
      </c>
      <c r="O49" s="19">
        <v>11</v>
      </c>
      <c r="P49" s="19">
        <v>11</v>
      </c>
      <c r="Q49" s="19">
        <v>11</v>
      </c>
      <c r="R49" s="19">
        <v>11</v>
      </c>
      <c r="S49" s="19" t="s">
        <v>15</v>
      </c>
      <c r="T49" s="19">
        <v>11</v>
      </c>
      <c r="U49" s="19">
        <v>11</v>
      </c>
      <c r="V49" s="19">
        <v>11</v>
      </c>
      <c r="W49" s="19">
        <v>11</v>
      </c>
      <c r="X49" s="19">
        <v>11</v>
      </c>
      <c r="Y49" s="19">
        <v>11</v>
      </c>
      <c r="Z49" s="19" t="s">
        <v>15</v>
      </c>
      <c r="AA49" s="19">
        <v>11</v>
      </c>
      <c r="AB49" s="19">
        <v>11</v>
      </c>
      <c r="AC49" s="19">
        <v>11</v>
      </c>
      <c r="AD49" s="19">
        <v>11</v>
      </c>
      <c r="AE49" s="19">
        <v>11</v>
      </c>
      <c r="AF49" s="19">
        <v>11</v>
      </c>
      <c r="AG49" s="19" t="s">
        <v>15</v>
      </c>
      <c r="AH49" s="19">
        <v>11</v>
      </c>
      <c r="AI49" s="19">
        <v>11</v>
      </c>
      <c r="AJ49" s="19">
        <v>0</v>
      </c>
      <c r="AK49" s="19">
        <v>0</v>
      </c>
      <c r="AL49" s="19">
        <v>0</v>
      </c>
      <c r="AM49" s="19">
        <v>11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f t="shared" si="119"/>
        <v>75</v>
      </c>
      <c r="AU49" s="19">
        <f t="shared" si="120"/>
        <v>11</v>
      </c>
      <c r="AV49" s="19">
        <f t="shared" si="193"/>
        <v>0</v>
      </c>
      <c r="AW49" s="16">
        <f t="shared" si="158"/>
        <v>30</v>
      </c>
      <c r="AX49" s="16">
        <f t="shared" si="159"/>
        <v>0</v>
      </c>
      <c r="AY49" s="38">
        <f t="shared" si="160"/>
        <v>0</v>
      </c>
      <c r="AZ49" s="36">
        <v>950</v>
      </c>
      <c r="BA49" s="20">
        <v>100</v>
      </c>
      <c r="BB49" s="21">
        <v>0</v>
      </c>
      <c r="BC49" s="19">
        <f t="shared" si="74"/>
        <v>950</v>
      </c>
      <c r="BD49" s="19">
        <f t="shared" si="75"/>
        <v>100</v>
      </c>
      <c r="BE49" s="19">
        <f t="shared" si="76"/>
        <v>436</v>
      </c>
      <c r="BF49" s="19">
        <f t="shared" si="77"/>
        <v>0</v>
      </c>
      <c r="BG49" s="19">
        <f t="shared" si="78"/>
        <v>0</v>
      </c>
      <c r="BH49" s="19">
        <f t="shared" si="79"/>
        <v>0</v>
      </c>
      <c r="BI49" s="19">
        <v>0</v>
      </c>
      <c r="BJ49" s="19">
        <v>95</v>
      </c>
      <c r="BK49" s="19">
        <f t="shared" si="122"/>
        <v>1581</v>
      </c>
      <c r="BL49" s="19">
        <v>0</v>
      </c>
      <c r="BM49" s="19">
        <v>0</v>
      </c>
      <c r="BN49" s="19">
        <f t="shared" si="123"/>
        <v>0</v>
      </c>
      <c r="BO49" s="19">
        <f t="shared" si="124"/>
        <v>1581</v>
      </c>
      <c r="BP49" s="19">
        <v>0</v>
      </c>
      <c r="BQ49" s="19">
        <v>0</v>
      </c>
      <c r="BR49" s="22">
        <f t="shared" si="125"/>
        <v>1581</v>
      </c>
      <c r="BS49" s="23">
        <f t="shared" si="161"/>
        <v>0</v>
      </c>
      <c r="BT49" s="24">
        <f t="shared" si="194"/>
        <v>0</v>
      </c>
      <c r="BU49" s="24">
        <f t="shared" si="162"/>
        <v>0</v>
      </c>
      <c r="BV49" s="24">
        <f t="shared" si="195"/>
        <v>0</v>
      </c>
      <c r="BW49" s="24">
        <f t="shared" si="163"/>
        <v>0</v>
      </c>
      <c r="BX49" s="24">
        <f t="shared" si="196"/>
        <v>0</v>
      </c>
      <c r="BY49" s="24">
        <f t="shared" si="164"/>
        <v>0</v>
      </c>
      <c r="BZ49" s="24">
        <f t="shared" si="197"/>
        <v>0</v>
      </c>
      <c r="CA49" s="24">
        <f t="shared" si="165"/>
        <v>0</v>
      </c>
      <c r="CB49" s="24">
        <f t="shared" si="198"/>
        <v>0</v>
      </c>
      <c r="CC49" s="24">
        <f t="shared" si="166"/>
        <v>25</v>
      </c>
      <c r="CD49" s="24">
        <f t="shared" si="199"/>
        <v>75</v>
      </c>
      <c r="CE49" s="24">
        <f t="shared" si="167"/>
        <v>0</v>
      </c>
      <c r="CF49" s="24">
        <f t="shared" si="200"/>
        <v>0</v>
      </c>
      <c r="CG49" s="24">
        <f t="shared" si="168"/>
        <v>0</v>
      </c>
      <c r="CH49" s="24">
        <f t="shared" si="201"/>
        <v>0</v>
      </c>
      <c r="CI49" s="24">
        <f t="shared" si="169"/>
        <v>0</v>
      </c>
      <c r="CJ49" s="24">
        <f t="shared" si="202"/>
        <v>0</v>
      </c>
      <c r="CK49" s="24">
        <f t="shared" si="170"/>
        <v>0</v>
      </c>
      <c r="CL49" s="24">
        <f t="shared" si="203"/>
        <v>0</v>
      </c>
      <c r="CM49" s="24">
        <f t="shared" si="171"/>
        <v>0</v>
      </c>
      <c r="CN49" s="24">
        <f t="shared" si="204"/>
        <v>0</v>
      </c>
      <c r="CO49" s="24">
        <f t="shared" si="172"/>
        <v>0</v>
      </c>
      <c r="CP49" s="24">
        <f t="shared" si="205"/>
        <v>0</v>
      </c>
      <c r="CQ49" s="24">
        <f t="shared" si="173"/>
        <v>0</v>
      </c>
      <c r="CR49" s="24">
        <f t="shared" si="206"/>
        <v>0</v>
      </c>
      <c r="CS49" s="24">
        <f t="shared" si="174"/>
        <v>0</v>
      </c>
      <c r="CT49" s="24">
        <f t="shared" si="207"/>
        <v>0</v>
      </c>
      <c r="CU49" s="24">
        <f t="shared" si="175"/>
        <v>0</v>
      </c>
      <c r="CV49" s="24">
        <f t="shared" si="208"/>
        <v>0</v>
      </c>
      <c r="CW49" s="24">
        <f t="shared" si="176"/>
        <v>0</v>
      </c>
      <c r="CX49" s="24">
        <f t="shared" si="209"/>
        <v>0</v>
      </c>
      <c r="CY49" s="24">
        <f t="shared" si="177"/>
        <v>0</v>
      </c>
      <c r="CZ49" s="24">
        <f t="shared" si="210"/>
        <v>0</v>
      </c>
      <c r="DA49" s="24">
        <f t="shared" si="178"/>
        <v>0</v>
      </c>
      <c r="DB49" s="24">
        <f t="shared" si="211"/>
        <v>0</v>
      </c>
      <c r="DC49" s="24">
        <f t="shared" si="179"/>
        <v>0</v>
      </c>
      <c r="DD49" s="24">
        <f t="shared" si="212"/>
        <v>0</v>
      </c>
      <c r="DE49" s="24">
        <f t="shared" si="180"/>
        <v>0</v>
      </c>
      <c r="DF49" s="24">
        <f t="shared" si="213"/>
        <v>0</v>
      </c>
      <c r="DG49" s="24">
        <f t="shared" si="181"/>
        <v>0</v>
      </c>
      <c r="DH49" s="24">
        <f t="shared" si="214"/>
        <v>0</v>
      </c>
      <c r="DI49" s="24">
        <f t="shared" si="182"/>
        <v>0</v>
      </c>
      <c r="DJ49" s="24">
        <f t="shared" si="215"/>
        <v>0</v>
      </c>
      <c r="DK49" s="24">
        <f t="shared" si="183"/>
        <v>0</v>
      </c>
      <c r="DL49" s="24">
        <f t="shared" si="216"/>
        <v>0</v>
      </c>
      <c r="DM49" s="24">
        <f t="shared" si="184"/>
        <v>0</v>
      </c>
      <c r="DN49" s="24">
        <f t="shared" si="217"/>
        <v>0</v>
      </c>
      <c r="DO49" s="24">
        <f t="shared" si="185"/>
        <v>0</v>
      </c>
      <c r="DP49" s="24">
        <f t="shared" si="218"/>
        <v>0</v>
      </c>
      <c r="DQ49" s="24">
        <f t="shared" si="186"/>
        <v>0</v>
      </c>
      <c r="DR49" s="24">
        <f t="shared" si="219"/>
        <v>0</v>
      </c>
      <c r="DS49" s="24">
        <f t="shared" si="187"/>
        <v>0</v>
      </c>
      <c r="DT49" s="24">
        <f t="shared" si="220"/>
        <v>0</v>
      </c>
      <c r="DU49" s="24">
        <f t="shared" si="188"/>
        <v>0</v>
      </c>
      <c r="DV49" s="24">
        <f t="shared" si="221"/>
        <v>0</v>
      </c>
      <c r="DW49" s="24">
        <f t="shared" si="189"/>
        <v>0</v>
      </c>
      <c r="DX49" s="24">
        <f t="shared" si="222"/>
        <v>0</v>
      </c>
      <c r="DY49" s="24">
        <f t="shared" si="190"/>
        <v>0</v>
      </c>
      <c r="DZ49" s="24">
        <f t="shared" si="223"/>
        <v>0</v>
      </c>
      <c r="EA49" s="24">
        <f t="shared" si="191"/>
        <v>0</v>
      </c>
      <c r="EB49" s="24">
        <f t="shared" si="224"/>
        <v>0</v>
      </c>
      <c r="EC49" s="24">
        <f t="shared" si="192"/>
        <v>0</v>
      </c>
      <c r="ED49" s="24">
        <f t="shared" si="225"/>
        <v>0</v>
      </c>
      <c r="EE49" s="25"/>
    </row>
    <row r="50" spans="1:135" s="2" customFormat="1" ht="18" customHeight="1" x14ac:dyDescent="0.25">
      <c r="A50" s="15">
        <v>47</v>
      </c>
      <c r="B50" s="108">
        <v>296</v>
      </c>
      <c r="C50" s="74" t="s">
        <v>466</v>
      </c>
      <c r="D50" s="90" t="s">
        <v>167</v>
      </c>
      <c r="E50" s="18">
        <v>45705</v>
      </c>
      <c r="F50" s="19">
        <v>10</v>
      </c>
      <c r="G50" s="19">
        <v>10</v>
      </c>
      <c r="H50" s="19">
        <v>10</v>
      </c>
      <c r="I50" s="19">
        <v>8</v>
      </c>
      <c r="J50" s="19" t="s">
        <v>603</v>
      </c>
      <c r="K50" s="19">
        <v>8</v>
      </c>
      <c r="L50" s="19" t="s">
        <v>15</v>
      </c>
      <c r="M50" s="19">
        <v>9</v>
      </c>
      <c r="N50" s="19">
        <v>10</v>
      </c>
      <c r="O50" s="19">
        <v>10</v>
      </c>
      <c r="P50" s="19">
        <v>10</v>
      </c>
      <c r="Q50" s="19">
        <v>10</v>
      </c>
      <c r="R50" s="19">
        <v>10</v>
      </c>
      <c r="S50" s="19" t="s">
        <v>15</v>
      </c>
      <c r="T50" s="19">
        <v>10</v>
      </c>
      <c r="U50" s="19">
        <v>10</v>
      </c>
      <c r="V50" s="19">
        <v>10</v>
      </c>
      <c r="W50" s="19">
        <v>10</v>
      </c>
      <c r="X50" s="19">
        <v>10</v>
      </c>
      <c r="Y50" s="19">
        <v>10</v>
      </c>
      <c r="Z50" s="19" t="s">
        <v>15</v>
      </c>
      <c r="AA50" s="19">
        <v>10</v>
      </c>
      <c r="AB50" s="19">
        <v>10</v>
      </c>
      <c r="AC50" s="19">
        <v>10</v>
      </c>
      <c r="AD50" s="19">
        <v>10</v>
      </c>
      <c r="AE50" s="19">
        <v>10</v>
      </c>
      <c r="AF50" s="19">
        <v>10</v>
      </c>
      <c r="AG50" s="19" t="s">
        <v>15</v>
      </c>
      <c r="AH50" s="19">
        <v>10</v>
      </c>
      <c r="AI50" s="19">
        <v>10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f t="shared" si="119"/>
        <v>45</v>
      </c>
      <c r="AU50" s="19">
        <f t="shared" si="120"/>
        <v>0</v>
      </c>
      <c r="AV50" s="19">
        <f t="shared" si="193"/>
        <v>0</v>
      </c>
      <c r="AW50" s="16">
        <f t="shared" si="158"/>
        <v>30</v>
      </c>
      <c r="AX50" s="16">
        <f t="shared" si="159"/>
        <v>0</v>
      </c>
      <c r="AY50" s="38">
        <f t="shared" si="160"/>
        <v>0</v>
      </c>
      <c r="AZ50" s="36">
        <v>1000</v>
      </c>
      <c r="BA50" s="20">
        <v>100</v>
      </c>
      <c r="BB50" s="21">
        <v>0</v>
      </c>
      <c r="BC50" s="19">
        <f t="shared" si="74"/>
        <v>1000</v>
      </c>
      <c r="BD50" s="19">
        <f t="shared" si="75"/>
        <v>100</v>
      </c>
      <c r="BE50" s="19">
        <f t="shared" si="76"/>
        <v>234</v>
      </c>
      <c r="BF50" s="19">
        <f t="shared" si="77"/>
        <v>0</v>
      </c>
      <c r="BG50" s="19">
        <f t="shared" si="78"/>
        <v>0</v>
      </c>
      <c r="BH50" s="19">
        <f t="shared" si="79"/>
        <v>0</v>
      </c>
      <c r="BI50" s="19">
        <v>0</v>
      </c>
      <c r="BJ50" s="19">
        <v>95</v>
      </c>
      <c r="BK50" s="19">
        <f t="shared" si="122"/>
        <v>1429</v>
      </c>
      <c r="BL50" s="19">
        <v>0</v>
      </c>
      <c r="BM50" s="19">
        <v>0</v>
      </c>
      <c r="BN50" s="19">
        <f t="shared" si="123"/>
        <v>0</v>
      </c>
      <c r="BO50" s="19">
        <f t="shared" si="124"/>
        <v>1429</v>
      </c>
      <c r="BP50" s="19">
        <v>0</v>
      </c>
      <c r="BQ50" s="19">
        <v>0</v>
      </c>
      <c r="BR50" s="22">
        <f t="shared" si="125"/>
        <v>1429</v>
      </c>
      <c r="BS50" s="23">
        <f t="shared" si="161"/>
        <v>0</v>
      </c>
      <c r="BT50" s="24">
        <f t="shared" si="194"/>
        <v>0</v>
      </c>
      <c r="BU50" s="24">
        <f t="shared" si="162"/>
        <v>1</v>
      </c>
      <c r="BV50" s="24">
        <f t="shared" si="195"/>
        <v>1</v>
      </c>
      <c r="BW50" s="24">
        <f t="shared" si="163"/>
        <v>0</v>
      </c>
      <c r="BX50" s="24">
        <f t="shared" si="196"/>
        <v>0</v>
      </c>
      <c r="BY50" s="24">
        <f t="shared" si="164"/>
        <v>22</v>
      </c>
      <c r="BZ50" s="24">
        <f t="shared" si="197"/>
        <v>44</v>
      </c>
      <c r="CA50" s="24">
        <f t="shared" si="165"/>
        <v>0</v>
      </c>
      <c r="CB50" s="24">
        <f t="shared" si="198"/>
        <v>0</v>
      </c>
      <c r="CC50" s="24">
        <f t="shared" si="166"/>
        <v>0</v>
      </c>
      <c r="CD50" s="24">
        <f t="shared" si="199"/>
        <v>0</v>
      </c>
      <c r="CE50" s="24">
        <f t="shared" si="167"/>
        <v>0</v>
      </c>
      <c r="CF50" s="24">
        <f t="shared" si="200"/>
        <v>0</v>
      </c>
      <c r="CG50" s="24">
        <f t="shared" si="168"/>
        <v>0</v>
      </c>
      <c r="CH50" s="24">
        <f t="shared" si="201"/>
        <v>0</v>
      </c>
      <c r="CI50" s="24">
        <f t="shared" si="169"/>
        <v>0</v>
      </c>
      <c r="CJ50" s="24">
        <f t="shared" si="202"/>
        <v>0</v>
      </c>
      <c r="CK50" s="24">
        <f t="shared" si="170"/>
        <v>0</v>
      </c>
      <c r="CL50" s="24">
        <f t="shared" si="203"/>
        <v>0</v>
      </c>
      <c r="CM50" s="24">
        <f t="shared" si="171"/>
        <v>0</v>
      </c>
      <c r="CN50" s="24">
        <f t="shared" si="204"/>
        <v>0</v>
      </c>
      <c r="CO50" s="24">
        <f t="shared" si="172"/>
        <v>0</v>
      </c>
      <c r="CP50" s="24">
        <f t="shared" si="205"/>
        <v>0</v>
      </c>
      <c r="CQ50" s="24">
        <f t="shared" si="173"/>
        <v>0</v>
      </c>
      <c r="CR50" s="24">
        <f t="shared" si="206"/>
        <v>0</v>
      </c>
      <c r="CS50" s="24">
        <f t="shared" si="174"/>
        <v>0</v>
      </c>
      <c r="CT50" s="24">
        <f t="shared" si="207"/>
        <v>0</v>
      </c>
      <c r="CU50" s="24">
        <f t="shared" si="175"/>
        <v>0</v>
      </c>
      <c r="CV50" s="24">
        <f t="shared" si="208"/>
        <v>0</v>
      </c>
      <c r="CW50" s="24">
        <f t="shared" si="176"/>
        <v>0</v>
      </c>
      <c r="CX50" s="24">
        <f t="shared" si="209"/>
        <v>0</v>
      </c>
      <c r="CY50" s="24">
        <f t="shared" si="177"/>
        <v>0</v>
      </c>
      <c r="CZ50" s="24">
        <f t="shared" si="210"/>
        <v>0</v>
      </c>
      <c r="DA50" s="24">
        <f t="shared" si="178"/>
        <v>0</v>
      </c>
      <c r="DB50" s="24">
        <f t="shared" si="211"/>
        <v>0</v>
      </c>
      <c r="DC50" s="24">
        <f t="shared" si="179"/>
        <v>0</v>
      </c>
      <c r="DD50" s="24">
        <f t="shared" si="212"/>
        <v>0</v>
      </c>
      <c r="DE50" s="24">
        <f t="shared" si="180"/>
        <v>0</v>
      </c>
      <c r="DF50" s="24">
        <f t="shared" si="213"/>
        <v>0</v>
      </c>
      <c r="DG50" s="24">
        <f t="shared" si="181"/>
        <v>0</v>
      </c>
      <c r="DH50" s="24">
        <f t="shared" si="214"/>
        <v>0</v>
      </c>
      <c r="DI50" s="24">
        <f t="shared" si="182"/>
        <v>0</v>
      </c>
      <c r="DJ50" s="24">
        <f t="shared" si="215"/>
        <v>0</v>
      </c>
      <c r="DK50" s="24">
        <f t="shared" si="183"/>
        <v>0</v>
      </c>
      <c r="DL50" s="24">
        <f t="shared" si="216"/>
        <v>0</v>
      </c>
      <c r="DM50" s="24">
        <f t="shared" si="184"/>
        <v>0</v>
      </c>
      <c r="DN50" s="24">
        <f t="shared" si="217"/>
        <v>0</v>
      </c>
      <c r="DO50" s="24">
        <f t="shared" si="185"/>
        <v>0</v>
      </c>
      <c r="DP50" s="24">
        <f t="shared" si="218"/>
        <v>0</v>
      </c>
      <c r="DQ50" s="24">
        <f t="shared" si="186"/>
        <v>0</v>
      </c>
      <c r="DR50" s="24">
        <f t="shared" si="219"/>
        <v>0</v>
      </c>
      <c r="DS50" s="24">
        <f t="shared" si="187"/>
        <v>0</v>
      </c>
      <c r="DT50" s="24">
        <f t="shared" si="220"/>
        <v>0</v>
      </c>
      <c r="DU50" s="24">
        <f t="shared" si="188"/>
        <v>0</v>
      </c>
      <c r="DV50" s="24">
        <f t="shared" si="221"/>
        <v>0</v>
      </c>
      <c r="DW50" s="24">
        <f t="shared" si="189"/>
        <v>0</v>
      </c>
      <c r="DX50" s="24">
        <f t="shared" si="222"/>
        <v>0</v>
      </c>
      <c r="DY50" s="24">
        <f t="shared" si="190"/>
        <v>0</v>
      </c>
      <c r="DZ50" s="24">
        <f t="shared" si="223"/>
        <v>0</v>
      </c>
      <c r="EA50" s="24">
        <f t="shared" si="191"/>
        <v>0</v>
      </c>
      <c r="EB50" s="24">
        <f t="shared" si="224"/>
        <v>0</v>
      </c>
      <c r="EC50" s="24">
        <f t="shared" si="192"/>
        <v>0</v>
      </c>
      <c r="ED50" s="24">
        <f t="shared" si="225"/>
        <v>0</v>
      </c>
      <c r="EE50" s="25"/>
    </row>
    <row r="51" spans="1:135" s="2" customFormat="1" ht="18" customHeight="1" x14ac:dyDescent="0.25">
      <c r="A51" s="15">
        <v>48</v>
      </c>
      <c r="B51" s="108">
        <v>297</v>
      </c>
      <c r="C51" s="74" t="s">
        <v>467</v>
      </c>
      <c r="D51" s="90" t="s">
        <v>167</v>
      </c>
      <c r="E51" s="18">
        <v>45705</v>
      </c>
      <c r="F51" s="19">
        <v>11</v>
      </c>
      <c r="G51" s="19">
        <v>11</v>
      </c>
      <c r="H51" s="19">
        <v>11</v>
      </c>
      <c r="I51" s="19">
        <v>11</v>
      </c>
      <c r="J51" s="19" t="s">
        <v>603</v>
      </c>
      <c r="K51" s="19">
        <v>11</v>
      </c>
      <c r="L51" s="19" t="s">
        <v>15</v>
      </c>
      <c r="M51" s="19">
        <v>11</v>
      </c>
      <c r="N51" s="19">
        <v>11</v>
      </c>
      <c r="O51" s="19">
        <v>11</v>
      </c>
      <c r="P51" s="19">
        <v>11</v>
      </c>
      <c r="Q51" s="19">
        <v>11</v>
      </c>
      <c r="R51" s="19">
        <v>11</v>
      </c>
      <c r="S51" s="19" t="s">
        <v>15</v>
      </c>
      <c r="T51" s="19">
        <v>11</v>
      </c>
      <c r="U51" s="19">
        <v>11</v>
      </c>
      <c r="V51" s="19">
        <v>11</v>
      </c>
      <c r="W51" s="19">
        <v>11</v>
      </c>
      <c r="X51" s="19">
        <v>11</v>
      </c>
      <c r="Y51" s="19">
        <v>11</v>
      </c>
      <c r="Z51" s="19" t="s">
        <v>15</v>
      </c>
      <c r="AA51" s="19">
        <v>11</v>
      </c>
      <c r="AB51" s="19">
        <v>11</v>
      </c>
      <c r="AC51" s="19">
        <v>11</v>
      </c>
      <c r="AD51" s="19">
        <v>11</v>
      </c>
      <c r="AE51" s="19">
        <v>11</v>
      </c>
      <c r="AF51" s="19">
        <v>11</v>
      </c>
      <c r="AG51" s="19" t="s">
        <v>15</v>
      </c>
      <c r="AH51" s="19">
        <v>11</v>
      </c>
      <c r="AI51" s="19">
        <v>11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11</v>
      </c>
      <c r="AP51" s="19">
        <v>0</v>
      </c>
      <c r="AQ51" s="19">
        <v>0</v>
      </c>
      <c r="AR51" s="19">
        <v>0</v>
      </c>
      <c r="AS51" s="19">
        <v>0</v>
      </c>
      <c r="AT51" s="19">
        <f>SUM(BT51+BV51+BX51+BZ51+CB51+CD51+CF51+CH51+CJ51+CL51+CN51+CP51+CR51+CT51+CV51+CX51+CZ51+DB51+DD51+DF51+DH51+DJ51+DL51+DN51+DP51+DR51+DT51+DV51+DX51+DZ51+EB51+ED51)</f>
        <v>75</v>
      </c>
      <c r="AU51" s="19">
        <f>SUM(AJ51:AN51)</f>
        <v>0</v>
      </c>
      <c r="AV51" s="19">
        <f>SUM(AO51:AS51)</f>
        <v>11</v>
      </c>
      <c r="AW51" s="16">
        <f t="shared" si="158"/>
        <v>30</v>
      </c>
      <c r="AX51" s="16">
        <f t="shared" si="159"/>
        <v>0</v>
      </c>
      <c r="AY51" s="38">
        <f t="shared" si="160"/>
        <v>0</v>
      </c>
      <c r="AZ51" s="36">
        <v>950</v>
      </c>
      <c r="BA51" s="20">
        <v>100</v>
      </c>
      <c r="BB51" s="21">
        <v>0</v>
      </c>
      <c r="BC51" s="19">
        <f>MROUND(AZ51/30*AW51, 1)</f>
        <v>950</v>
      </c>
      <c r="BD51" s="19">
        <f>MROUND(BA51/30*AW51, 1)</f>
        <v>100</v>
      </c>
      <c r="BE51" s="19">
        <f>MROUND((AZ51/30/8*1.25*AT51)+(AZ51/30/8*1.5*AU51)+(AZ51/30/8*1.5*AV51), 1)</f>
        <v>436</v>
      </c>
      <c r="BF51" s="19">
        <f>MROUND(BB51/30*AW51, 1)</f>
        <v>0</v>
      </c>
      <c r="BG51" s="19">
        <f>MROUND(AZ51/30*AY51, 1)</f>
        <v>0</v>
      </c>
      <c r="BH51" s="19">
        <f>MROUND(BA51/30*AY51, 1)</f>
        <v>0</v>
      </c>
      <c r="BI51" s="19">
        <v>0</v>
      </c>
      <c r="BJ51" s="19">
        <v>95</v>
      </c>
      <c r="BK51" s="19">
        <f>SUM(BC51:BJ51)</f>
        <v>1581</v>
      </c>
      <c r="BL51" s="19">
        <v>0</v>
      </c>
      <c r="BM51" s="19">
        <v>0</v>
      </c>
      <c r="BN51" s="19">
        <f>BL51+BM51</f>
        <v>0</v>
      </c>
      <c r="BO51" s="19">
        <f>BK51-BN51</f>
        <v>1581</v>
      </c>
      <c r="BP51" s="19">
        <v>0</v>
      </c>
      <c r="BQ51" s="19">
        <v>0</v>
      </c>
      <c r="BR51" s="22">
        <f>SUM(BO51:BP51)-BQ51</f>
        <v>1581</v>
      </c>
      <c r="BS51" s="23">
        <f t="shared" si="161"/>
        <v>0</v>
      </c>
      <c r="BT51" s="24">
        <f>BS51*0.5</f>
        <v>0</v>
      </c>
      <c r="BU51" s="24">
        <f t="shared" si="162"/>
        <v>0</v>
      </c>
      <c r="BV51" s="24">
        <f>BU51*1</f>
        <v>0</v>
      </c>
      <c r="BW51" s="24">
        <f t="shared" si="163"/>
        <v>0</v>
      </c>
      <c r="BX51" s="24">
        <f>BW51*1.5</f>
        <v>0</v>
      </c>
      <c r="BY51" s="24">
        <f t="shared" si="164"/>
        <v>0</v>
      </c>
      <c r="BZ51" s="24">
        <f>BY51*2</f>
        <v>0</v>
      </c>
      <c r="CA51" s="24">
        <f t="shared" si="165"/>
        <v>0</v>
      </c>
      <c r="CB51" s="24">
        <f>CA51*2.5</f>
        <v>0</v>
      </c>
      <c r="CC51" s="24">
        <f t="shared" si="166"/>
        <v>25</v>
      </c>
      <c r="CD51" s="24">
        <f>CC51*3</f>
        <v>75</v>
      </c>
      <c r="CE51" s="24">
        <f t="shared" si="167"/>
        <v>0</v>
      </c>
      <c r="CF51" s="24">
        <f>CE51*3.5</f>
        <v>0</v>
      </c>
      <c r="CG51" s="24">
        <f t="shared" si="168"/>
        <v>0</v>
      </c>
      <c r="CH51" s="24">
        <f>CG51*4</f>
        <v>0</v>
      </c>
      <c r="CI51" s="24">
        <f t="shared" si="169"/>
        <v>0</v>
      </c>
      <c r="CJ51" s="24">
        <f>CI51*4.5</f>
        <v>0</v>
      </c>
      <c r="CK51" s="24">
        <f t="shared" si="170"/>
        <v>0</v>
      </c>
      <c r="CL51" s="24">
        <f>CK51*5</f>
        <v>0</v>
      </c>
      <c r="CM51" s="24">
        <f t="shared" si="171"/>
        <v>0</v>
      </c>
      <c r="CN51" s="24">
        <f>CM51*5.5</f>
        <v>0</v>
      </c>
      <c r="CO51" s="24">
        <f t="shared" si="172"/>
        <v>0</v>
      </c>
      <c r="CP51" s="24">
        <f>CO51*6</f>
        <v>0</v>
      </c>
      <c r="CQ51" s="24">
        <f t="shared" si="173"/>
        <v>0</v>
      </c>
      <c r="CR51" s="24">
        <f>CQ51*6.5</f>
        <v>0</v>
      </c>
      <c r="CS51" s="24">
        <f t="shared" si="174"/>
        <v>0</v>
      </c>
      <c r="CT51" s="24">
        <f>CS51*7</f>
        <v>0</v>
      </c>
      <c r="CU51" s="24">
        <f t="shared" si="175"/>
        <v>0</v>
      </c>
      <c r="CV51" s="24">
        <f>CU51*7.5</f>
        <v>0</v>
      </c>
      <c r="CW51" s="24">
        <f t="shared" si="176"/>
        <v>0</v>
      </c>
      <c r="CX51" s="24">
        <f>CW51*8</f>
        <v>0</v>
      </c>
      <c r="CY51" s="24">
        <f t="shared" si="177"/>
        <v>0</v>
      </c>
      <c r="CZ51" s="24">
        <f>CY51*8.5</f>
        <v>0</v>
      </c>
      <c r="DA51" s="24">
        <f t="shared" si="178"/>
        <v>0</v>
      </c>
      <c r="DB51" s="24">
        <f>DA51*9</f>
        <v>0</v>
      </c>
      <c r="DC51" s="24">
        <f t="shared" si="179"/>
        <v>0</v>
      </c>
      <c r="DD51" s="24">
        <f>DC51*9.5</f>
        <v>0</v>
      </c>
      <c r="DE51" s="24">
        <f t="shared" si="180"/>
        <v>0</v>
      </c>
      <c r="DF51" s="24">
        <f>DE51*10</f>
        <v>0</v>
      </c>
      <c r="DG51" s="24">
        <f t="shared" si="181"/>
        <v>0</v>
      </c>
      <c r="DH51" s="24">
        <f>DG51*10.5</f>
        <v>0</v>
      </c>
      <c r="DI51" s="24">
        <f t="shared" si="182"/>
        <v>0</v>
      </c>
      <c r="DJ51" s="24">
        <f>DI51*11</f>
        <v>0</v>
      </c>
      <c r="DK51" s="24">
        <f t="shared" si="183"/>
        <v>0</v>
      </c>
      <c r="DL51" s="24">
        <f>DK51*11.5</f>
        <v>0</v>
      </c>
      <c r="DM51" s="24">
        <f t="shared" si="184"/>
        <v>0</v>
      </c>
      <c r="DN51" s="24">
        <f>DM51*12</f>
        <v>0</v>
      </c>
      <c r="DO51" s="24">
        <f t="shared" si="185"/>
        <v>0</v>
      </c>
      <c r="DP51" s="24">
        <f>DO51*12.5</f>
        <v>0</v>
      </c>
      <c r="DQ51" s="24">
        <f t="shared" si="186"/>
        <v>0</v>
      </c>
      <c r="DR51" s="24">
        <f>DQ51*13</f>
        <v>0</v>
      </c>
      <c r="DS51" s="24">
        <f t="shared" si="187"/>
        <v>0</v>
      </c>
      <c r="DT51" s="24">
        <f>DS51*13.5</f>
        <v>0</v>
      </c>
      <c r="DU51" s="24">
        <f t="shared" si="188"/>
        <v>0</v>
      </c>
      <c r="DV51" s="24">
        <f>DU51*14</f>
        <v>0</v>
      </c>
      <c r="DW51" s="24">
        <f t="shared" si="189"/>
        <v>0</v>
      </c>
      <c r="DX51" s="24">
        <f>DW51*14.5</f>
        <v>0</v>
      </c>
      <c r="DY51" s="24">
        <f t="shared" si="190"/>
        <v>0</v>
      </c>
      <c r="DZ51" s="24">
        <f>DY51*15</f>
        <v>0</v>
      </c>
      <c r="EA51" s="24">
        <f t="shared" si="191"/>
        <v>0</v>
      </c>
      <c r="EB51" s="24">
        <f>EA51*15.5</f>
        <v>0</v>
      </c>
      <c r="EC51" s="24">
        <f t="shared" si="192"/>
        <v>0</v>
      </c>
      <c r="ED51" s="24">
        <f>EC51*16</f>
        <v>0</v>
      </c>
      <c r="EE51" s="25"/>
    </row>
    <row r="52" spans="1:135" s="2" customFormat="1" ht="18" customHeight="1" x14ac:dyDescent="0.25">
      <c r="A52" s="15">
        <v>49</v>
      </c>
      <c r="B52" s="108">
        <v>298</v>
      </c>
      <c r="C52" s="74" t="s">
        <v>468</v>
      </c>
      <c r="D52" s="90" t="s">
        <v>167</v>
      </c>
      <c r="E52" s="18">
        <v>45705</v>
      </c>
      <c r="F52" s="19">
        <v>10</v>
      </c>
      <c r="G52" s="19">
        <v>10</v>
      </c>
      <c r="H52" s="19">
        <v>10</v>
      </c>
      <c r="I52" s="19">
        <v>10</v>
      </c>
      <c r="J52" s="19" t="s">
        <v>603</v>
      </c>
      <c r="K52" s="19">
        <v>10</v>
      </c>
      <c r="L52" s="19" t="s">
        <v>15</v>
      </c>
      <c r="M52" s="19">
        <v>10</v>
      </c>
      <c r="N52" s="19">
        <v>10</v>
      </c>
      <c r="O52" s="19">
        <v>10</v>
      </c>
      <c r="P52" s="19">
        <v>10</v>
      </c>
      <c r="Q52" s="19">
        <v>10</v>
      </c>
      <c r="R52" s="19">
        <v>10</v>
      </c>
      <c r="S52" s="19" t="s">
        <v>15</v>
      </c>
      <c r="T52" s="19">
        <v>10</v>
      </c>
      <c r="U52" s="19">
        <v>10</v>
      </c>
      <c r="V52" s="19">
        <v>10</v>
      </c>
      <c r="W52" s="19">
        <v>10</v>
      </c>
      <c r="X52" s="19">
        <v>10</v>
      </c>
      <c r="Y52" s="19">
        <v>10</v>
      </c>
      <c r="Z52" s="19" t="s">
        <v>15</v>
      </c>
      <c r="AA52" s="19">
        <v>10</v>
      </c>
      <c r="AB52" s="19">
        <v>10</v>
      </c>
      <c r="AC52" s="19">
        <v>10</v>
      </c>
      <c r="AD52" s="19">
        <v>10</v>
      </c>
      <c r="AE52" s="19">
        <v>10</v>
      </c>
      <c r="AF52" s="19">
        <v>10</v>
      </c>
      <c r="AG52" s="19" t="s">
        <v>15</v>
      </c>
      <c r="AH52" s="19">
        <v>10</v>
      </c>
      <c r="AI52" s="19">
        <v>10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f t="shared" si="119"/>
        <v>50</v>
      </c>
      <c r="AU52" s="19">
        <f t="shared" si="120"/>
        <v>0</v>
      </c>
      <c r="AV52" s="19">
        <f t="shared" si="193"/>
        <v>0</v>
      </c>
      <c r="AW52" s="16">
        <f t="shared" si="158"/>
        <v>30</v>
      </c>
      <c r="AX52" s="16">
        <f t="shared" si="159"/>
        <v>0</v>
      </c>
      <c r="AY52" s="38">
        <f t="shared" si="160"/>
        <v>0</v>
      </c>
      <c r="AZ52" s="36">
        <v>1000</v>
      </c>
      <c r="BA52" s="20">
        <v>100</v>
      </c>
      <c r="BB52" s="21">
        <v>0</v>
      </c>
      <c r="BC52" s="19">
        <f t="shared" si="74"/>
        <v>1000</v>
      </c>
      <c r="BD52" s="19">
        <f t="shared" si="75"/>
        <v>100</v>
      </c>
      <c r="BE52" s="19">
        <f t="shared" si="76"/>
        <v>260</v>
      </c>
      <c r="BF52" s="19">
        <f t="shared" si="77"/>
        <v>0</v>
      </c>
      <c r="BG52" s="19">
        <f t="shared" si="78"/>
        <v>0</v>
      </c>
      <c r="BH52" s="19">
        <f t="shared" si="79"/>
        <v>0</v>
      </c>
      <c r="BI52" s="19">
        <v>0</v>
      </c>
      <c r="BJ52" s="19">
        <v>95</v>
      </c>
      <c r="BK52" s="19">
        <f t="shared" si="122"/>
        <v>1455</v>
      </c>
      <c r="BL52" s="19">
        <v>0</v>
      </c>
      <c r="BM52" s="19">
        <v>0</v>
      </c>
      <c r="BN52" s="19">
        <f t="shared" si="123"/>
        <v>0</v>
      </c>
      <c r="BO52" s="19">
        <f t="shared" si="124"/>
        <v>1455</v>
      </c>
      <c r="BP52" s="19">
        <v>0</v>
      </c>
      <c r="BQ52" s="19">
        <v>0</v>
      </c>
      <c r="BR52" s="22">
        <f t="shared" si="125"/>
        <v>1455</v>
      </c>
      <c r="BS52" s="23">
        <f t="shared" si="161"/>
        <v>0</v>
      </c>
      <c r="BT52" s="24">
        <f t="shared" si="194"/>
        <v>0</v>
      </c>
      <c r="BU52" s="24">
        <f t="shared" si="162"/>
        <v>0</v>
      </c>
      <c r="BV52" s="24">
        <f t="shared" si="195"/>
        <v>0</v>
      </c>
      <c r="BW52" s="24">
        <f t="shared" si="163"/>
        <v>0</v>
      </c>
      <c r="BX52" s="24">
        <f t="shared" si="196"/>
        <v>0</v>
      </c>
      <c r="BY52" s="24">
        <f t="shared" si="164"/>
        <v>25</v>
      </c>
      <c r="BZ52" s="24">
        <f t="shared" si="197"/>
        <v>50</v>
      </c>
      <c r="CA52" s="24">
        <f t="shared" si="165"/>
        <v>0</v>
      </c>
      <c r="CB52" s="24">
        <f t="shared" si="198"/>
        <v>0</v>
      </c>
      <c r="CC52" s="24">
        <f t="shared" si="166"/>
        <v>0</v>
      </c>
      <c r="CD52" s="24">
        <f t="shared" si="199"/>
        <v>0</v>
      </c>
      <c r="CE52" s="24">
        <f t="shared" si="167"/>
        <v>0</v>
      </c>
      <c r="CF52" s="24">
        <f t="shared" si="200"/>
        <v>0</v>
      </c>
      <c r="CG52" s="24">
        <f t="shared" si="168"/>
        <v>0</v>
      </c>
      <c r="CH52" s="24">
        <f t="shared" si="201"/>
        <v>0</v>
      </c>
      <c r="CI52" s="24">
        <f t="shared" si="169"/>
        <v>0</v>
      </c>
      <c r="CJ52" s="24">
        <f t="shared" si="202"/>
        <v>0</v>
      </c>
      <c r="CK52" s="24">
        <f t="shared" si="170"/>
        <v>0</v>
      </c>
      <c r="CL52" s="24">
        <f t="shared" si="203"/>
        <v>0</v>
      </c>
      <c r="CM52" s="24">
        <f t="shared" si="171"/>
        <v>0</v>
      </c>
      <c r="CN52" s="24">
        <f t="shared" si="204"/>
        <v>0</v>
      </c>
      <c r="CO52" s="24">
        <f t="shared" si="172"/>
        <v>0</v>
      </c>
      <c r="CP52" s="24">
        <f t="shared" si="205"/>
        <v>0</v>
      </c>
      <c r="CQ52" s="24">
        <f t="shared" si="173"/>
        <v>0</v>
      </c>
      <c r="CR52" s="24">
        <f t="shared" si="206"/>
        <v>0</v>
      </c>
      <c r="CS52" s="24">
        <f t="shared" si="174"/>
        <v>0</v>
      </c>
      <c r="CT52" s="24">
        <f t="shared" si="207"/>
        <v>0</v>
      </c>
      <c r="CU52" s="24">
        <f t="shared" si="175"/>
        <v>0</v>
      </c>
      <c r="CV52" s="24">
        <f t="shared" si="208"/>
        <v>0</v>
      </c>
      <c r="CW52" s="24">
        <f t="shared" si="176"/>
        <v>0</v>
      </c>
      <c r="CX52" s="24">
        <f t="shared" si="209"/>
        <v>0</v>
      </c>
      <c r="CY52" s="24">
        <f t="shared" si="177"/>
        <v>0</v>
      </c>
      <c r="CZ52" s="24">
        <f t="shared" si="210"/>
        <v>0</v>
      </c>
      <c r="DA52" s="24">
        <f t="shared" si="178"/>
        <v>0</v>
      </c>
      <c r="DB52" s="24">
        <f t="shared" si="211"/>
        <v>0</v>
      </c>
      <c r="DC52" s="24">
        <f t="shared" si="179"/>
        <v>0</v>
      </c>
      <c r="DD52" s="24">
        <f t="shared" si="212"/>
        <v>0</v>
      </c>
      <c r="DE52" s="24">
        <f t="shared" si="180"/>
        <v>0</v>
      </c>
      <c r="DF52" s="24">
        <f t="shared" si="213"/>
        <v>0</v>
      </c>
      <c r="DG52" s="24">
        <f t="shared" si="181"/>
        <v>0</v>
      </c>
      <c r="DH52" s="24">
        <f t="shared" si="214"/>
        <v>0</v>
      </c>
      <c r="DI52" s="24">
        <f t="shared" si="182"/>
        <v>0</v>
      </c>
      <c r="DJ52" s="24">
        <f t="shared" si="215"/>
        <v>0</v>
      </c>
      <c r="DK52" s="24">
        <f t="shared" si="183"/>
        <v>0</v>
      </c>
      <c r="DL52" s="24">
        <f t="shared" si="216"/>
        <v>0</v>
      </c>
      <c r="DM52" s="24">
        <f t="shared" si="184"/>
        <v>0</v>
      </c>
      <c r="DN52" s="24">
        <f t="shared" si="217"/>
        <v>0</v>
      </c>
      <c r="DO52" s="24">
        <f t="shared" si="185"/>
        <v>0</v>
      </c>
      <c r="DP52" s="24">
        <f t="shared" si="218"/>
        <v>0</v>
      </c>
      <c r="DQ52" s="24">
        <f t="shared" si="186"/>
        <v>0</v>
      </c>
      <c r="DR52" s="24">
        <f t="shared" si="219"/>
        <v>0</v>
      </c>
      <c r="DS52" s="24">
        <f t="shared" si="187"/>
        <v>0</v>
      </c>
      <c r="DT52" s="24">
        <f t="shared" si="220"/>
        <v>0</v>
      </c>
      <c r="DU52" s="24">
        <f t="shared" si="188"/>
        <v>0</v>
      </c>
      <c r="DV52" s="24">
        <f t="shared" si="221"/>
        <v>0</v>
      </c>
      <c r="DW52" s="24">
        <f t="shared" si="189"/>
        <v>0</v>
      </c>
      <c r="DX52" s="24">
        <f t="shared" si="222"/>
        <v>0</v>
      </c>
      <c r="DY52" s="24">
        <f t="shared" si="190"/>
        <v>0</v>
      </c>
      <c r="DZ52" s="24">
        <f t="shared" si="223"/>
        <v>0</v>
      </c>
      <c r="EA52" s="24">
        <f t="shared" si="191"/>
        <v>0</v>
      </c>
      <c r="EB52" s="24">
        <f t="shared" si="224"/>
        <v>0</v>
      </c>
      <c r="EC52" s="24">
        <f t="shared" si="192"/>
        <v>0</v>
      </c>
      <c r="ED52" s="24">
        <f t="shared" si="225"/>
        <v>0</v>
      </c>
      <c r="EE52" s="25"/>
    </row>
    <row r="53" spans="1:135" s="2" customFormat="1" ht="18" customHeight="1" x14ac:dyDescent="0.25">
      <c r="A53" s="15">
        <v>50</v>
      </c>
      <c r="B53" s="108">
        <v>299</v>
      </c>
      <c r="C53" s="74" t="s">
        <v>469</v>
      </c>
      <c r="D53" s="90" t="s">
        <v>107</v>
      </c>
      <c r="E53" s="18">
        <v>45705</v>
      </c>
      <c r="F53" s="19" t="s">
        <v>316</v>
      </c>
      <c r="G53" s="19">
        <v>11</v>
      </c>
      <c r="H53" s="19" t="s">
        <v>148</v>
      </c>
      <c r="I53" s="19">
        <v>8</v>
      </c>
      <c r="J53" s="19" t="s">
        <v>603</v>
      </c>
      <c r="K53" s="19">
        <v>11</v>
      </c>
      <c r="L53" s="19" t="s">
        <v>316</v>
      </c>
      <c r="M53" s="19">
        <v>11</v>
      </c>
      <c r="N53" s="19">
        <v>11</v>
      </c>
      <c r="O53" s="19">
        <v>11</v>
      </c>
      <c r="P53" s="19">
        <v>11</v>
      </c>
      <c r="Q53" s="19">
        <v>11</v>
      </c>
      <c r="R53" s="19">
        <v>11</v>
      </c>
      <c r="S53" s="19" t="s">
        <v>15</v>
      </c>
      <c r="T53" s="19">
        <v>11</v>
      </c>
      <c r="U53" s="19">
        <v>11</v>
      </c>
      <c r="V53" s="19">
        <v>11</v>
      </c>
      <c r="W53" s="19">
        <v>11</v>
      </c>
      <c r="X53" s="19">
        <v>11</v>
      </c>
      <c r="Y53" s="19">
        <v>11</v>
      </c>
      <c r="Z53" s="19" t="s">
        <v>15</v>
      </c>
      <c r="AA53" s="19">
        <v>11</v>
      </c>
      <c r="AB53" s="19">
        <v>11</v>
      </c>
      <c r="AC53" s="19">
        <v>11</v>
      </c>
      <c r="AD53" s="19">
        <v>11</v>
      </c>
      <c r="AE53" s="19">
        <v>11</v>
      </c>
      <c r="AF53" s="19">
        <v>11</v>
      </c>
      <c r="AG53" s="19" t="s">
        <v>15</v>
      </c>
      <c r="AH53" s="19">
        <v>11</v>
      </c>
      <c r="AI53" s="19">
        <v>11</v>
      </c>
      <c r="AJ53" s="19">
        <v>0</v>
      </c>
      <c r="AK53" s="19">
        <v>0</v>
      </c>
      <c r="AL53" s="19">
        <v>0</v>
      </c>
      <c r="AM53" s="19">
        <v>11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f t="shared" si="119"/>
        <v>66</v>
      </c>
      <c r="AU53" s="19">
        <f t="shared" si="120"/>
        <v>11</v>
      </c>
      <c r="AV53" s="19">
        <f t="shared" si="193"/>
        <v>0</v>
      </c>
      <c r="AW53" s="16">
        <f t="shared" si="158"/>
        <v>27</v>
      </c>
      <c r="AX53" s="16">
        <f t="shared" si="159"/>
        <v>2</v>
      </c>
      <c r="AY53" s="38">
        <f t="shared" si="160"/>
        <v>1</v>
      </c>
      <c r="AZ53" s="36">
        <v>1100</v>
      </c>
      <c r="BA53" s="20">
        <v>100</v>
      </c>
      <c r="BB53" s="21">
        <v>0</v>
      </c>
      <c r="BC53" s="19">
        <f t="shared" si="74"/>
        <v>990</v>
      </c>
      <c r="BD53" s="19">
        <f t="shared" si="75"/>
        <v>90</v>
      </c>
      <c r="BE53" s="19">
        <f t="shared" si="76"/>
        <v>454</v>
      </c>
      <c r="BF53" s="19">
        <f t="shared" si="77"/>
        <v>0</v>
      </c>
      <c r="BG53" s="19">
        <f t="shared" si="78"/>
        <v>37</v>
      </c>
      <c r="BH53" s="19">
        <f t="shared" si="79"/>
        <v>3</v>
      </c>
      <c r="BI53" s="19">
        <v>0</v>
      </c>
      <c r="BJ53" s="19">
        <v>0</v>
      </c>
      <c r="BK53" s="19">
        <f t="shared" si="122"/>
        <v>1574</v>
      </c>
      <c r="BL53" s="19">
        <v>0</v>
      </c>
      <c r="BM53" s="19">
        <v>0</v>
      </c>
      <c r="BN53" s="19">
        <f t="shared" si="123"/>
        <v>0</v>
      </c>
      <c r="BO53" s="19">
        <f t="shared" si="124"/>
        <v>1574</v>
      </c>
      <c r="BP53" s="19">
        <v>0</v>
      </c>
      <c r="BQ53" s="19">
        <v>0</v>
      </c>
      <c r="BR53" s="22">
        <f t="shared" si="125"/>
        <v>1574</v>
      </c>
      <c r="BS53" s="23">
        <f t="shared" si="161"/>
        <v>0</v>
      </c>
      <c r="BT53" s="24">
        <f t="shared" si="194"/>
        <v>0</v>
      </c>
      <c r="BU53" s="24">
        <f t="shared" si="162"/>
        <v>0</v>
      </c>
      <c r="BV53" s="24">
        <f t="shared" si="195"/>
        <v>0</v>
      </c>
      <c r="BW53" s="24">
        <f t="shared" si="163"/>
        <v>0</v>
      </c>
      <c r="BX53" s="24">
        <f t="shared" si="196"/>
        <v>0</v>
      </c>
      <c r="BY53" s="24">
        <f t="shared" si="164"/>
        <v>0</v>
      </c>
      <c r="BZ53" s="24">
        <f t="shared" si="197"/>
        <v>0</v>
      </c>
      <c r="CA53" s="24">
        <f t="shared" si="165"/>
        <v>0</v>
      </c>
      <c r="CB53" s="24">
        <f t="shared" si="198"/>
        <v>0</v>
      </c>
      <c r="CC53" s="24">
        <f t="shared" si="166"/>
        <v>22</v>
      </c>
      <c r="CD53" s="24">
        <f t="shared" si="199"/>
        <v>66</v>
      </c>
      <c r="CE53" s="24">
        <f t="shared" si="167"/>
        <v>0</v>
      </c>
      <c r="CF53" s="24">
        <f t="shared" si="200"/>
        <v>0</v>
      </c>
      <c r="CG53" s="24">
        <f t="shared" si="168"/>
        <v>0</v>
      </c>
      <c r="CH53" s="24">
        <f t="shared" si="201"/>
        <v>0</v>
      </c>
      <c r="CI53" s="24">
        <f t="shared" si="169"/>
        <v>0</v>
      </c>
      <c r="CJ53" s="24">
        <f t="shared" si="202"/>
        <v>0</v>
      </c>
      <c r="CK53" s="24">
        <f t="shared" si="170"/>
        <v>0</v>
      </c>
      <c r="CL53" s="24">
        <f t="shared" si="203"/>
        <v>0</v>
      </c>
      <c r="CM53" s="24">
        <f t="shared" si="171"/>
        <v>0</v>
      </c>
      <c r="CN53" s="24">
        <f t="shared" si="204"/>
        <v>0</v>
      </c>
      <c r="CO53" s="24">
        <f t="shared" si="172"/>
        <v>0</v>
      </c>
      <c r="CP53" s="24">
        <f t="shared" si="205"/>
        <v>0</v>
      </c>
      <c r="CQ53" s="24">
        <f t="shared" si="173"/>
        <v>0</v>
      </c>
      <c r="CR53" s="24">
        <f t="shared" si="206"/>
        <v>0</v>
      </c>
      <c r="CS53" s="24">
        <f t="shared" si="174"/>
        <v>0</v>
      </c>
      <c r="CT53" s="24">
        <f t="shared" si="207"/>
        <v>0</v>
      </c>
      <c r="CU53" s="24">
        <f t="shared" si="175"/>
        <v>0</v>
      </c>
      <c r="CV53" s="24">
        <f t="shared" si="208"/>
        <v>0</v>
      </c>
      <c r="CW53" s="24">
        <f t="shared" si="176"/>
        <v>0</v>
      </c>
      <c r="CX53" s="24">
        <f t="shared" si="209"/>
        <v>0</v>
      </c>
      <c r="CY53" s="24">
        <f t="shared" si="177"/>
        <v>0</v>
      </c>
      <c r="CZ53" s="24">
        <f t="shared" si="210"/>
        <v>0</v>
      </c>
      <c r="DA53" s="24">
        <f t="shared" si="178"/>
        <v>0</v>
      </c>
      <c r="DB53" s="24">
        <f t="shared" si="211"/>
        <v>0</v>
      </c>
      <c r="DC53" s="24">
        <f t="shared" si="179"/>
        <v>0</v>
      </c>
      <c r="DD53" s="24">
        <f t="shared" si="212"/>
        <v>0</v>
      </c>
      <c r="DE53" s="24">
        <f t="shared" si="180"/>
        <v>0</v>
      </c>
      <c r="DF53" s="24">
        <f t="shared" si="213"/>
        <v>0</v>
      </c>
      <c r="DG53" s="24">
        <f t="shared" si="181"/>
        <v>0</v>
      </c>
      <c r="DH53" s="24">
        <f t="shared" si="214"/>
        <v>0</v>
      </c>
      <c r="DI53" s="24">
        <f t="shared" si="182"/>
        <v>0</v>
      </c>
      <c r="DJ53" s="24">
        <f t="shared" si="215"/>
        <v>0</v>
      </c>
      <c r="DK53" s="24">
        <f t="shared" si="183"/>
        <v>0</v>
      </c>
      <c r="DL53" s="24">
        <f t="shared" si="216"/>
        <v>0</v>
      </c>
      <c r="DM53" s="24">
        <f t="shared" si="184"/>
        <v>0</v>
      </c>
      <c r="DN53" s="24">
        <f t="shared" si="217"/>
        <v>0</v>
      </c>
      <c r="DO53" s="24">
        <f t="shared" si="185"/>
        <v>0</v>
      </c>
      <c r="DP53" s="24">
        <f t="shared" si="218"/>
        <v>0</v>
      </c>
      <c r="DQ53" s="24">
        <f t="shared" si="186"/>
        <v>0</v>
      </c>
      <c r="DR53" s="24">
        <f t="shared" si="219"/>
        <v>0</v>
      </c>
      <c r="DS53" s="24">
        <f t="shared" si="187"/>
        <v>0</v>
      </c>
      <c r="DT53" s="24">
        <f t="shared" si="220"/>
        <v>0</v>
      </c>
      <c r="DU53" s="24">
        <f t="shared" si="188"/>
        <v>0</v>
      </c>
      <c r="DV53" s="24">
        <f t="shared" si="221"/>
        <v>0</v>
      </c>
      <c r="DW53" s="24">
        <f t="shared" si="189"/>
        <v>0</v>
      </c>
      <c r="DX53" s="24">
        <f t="shared" si="222"/>
        <v>0</v>
      </c>
      <c r="DY53" s="24">
        <f t="shared" si="190"/>
        <v>0</v>
      </c>
      <c r="DZ53" s="24">
        <f t="shared" si="223"/>
        <v>0</v>
      </c>
      <c r="EA53" s="24">
        <f t="shared" si="191"/>
        <v>0</v>
      </c>
      <c r="EB53" s="24">
        <f t="shared" si="224"/>
        <v>0</v>
      </c>
      <c r="EC53" s="24">
        <f t="shared" si="192"/>
        <v>0</v>
      </c>
      <c r="ED53" s="24">
        <f t="shared" si="225"/>
        <v>0</v>
      </c>
      <c r="EE53" s="25"/>
    </row>
    <row r="54" spans="1:135" s="2" customFormat="1" ht="18" customHeight="1" x14ac:dyDescent="0.25">
      <c r="A54" s="15">
        <v>51</v>
      </c>
      <c r="B54" s="108">
        <v>300</v>
      </c>
      <c r="C54" s="74" t="s">
        <v>470</v>
      </c>
      <c r="D54" s="90" t="s">
        <v>167</v>
      </c>
      <c r="E54" s="18">
        <v>45705</v>
      </c>
      <c r="F54" s="19">
        <v>10</v>
      </c>
      <c r="G54" s="19">
        <v>10</v>
      </c>
      <c r="H54" s="19">
        <v>10</v>
      </c>
      <c r="I54" s="19">
        <v>10</v>
      </c>
      <c r="J54" s="19" t="s">
        <v>603</v>
      </c>
      <c r="K54" s="19">
        <v>10</v>
      </c>
      <c r="L54" s="19" t="s">
        <v>15</v>
      </c>
      <c r="M54" s="19">
        <v>10</v>
      </c>
      <c r="N54" s="19">
        <v>10</v>
      </c>
      <c r="O54" s="19">
        <v>10</v>
      </c>
      <c r="P54" s="19">
        <v>10</v>
      </c>
      <c r="Q54" s="19">
        <v>10</v>
      </c>
      <c r="R54" s="19">
        <v>10</v>
      </c>
      <c r="S54" s="19" t="s">
        <v>15</v>
      </c>
      <c r="T54" s="19">
        <v>10</v>
      </c>
      <c r="U54" s="19">
        <v>10</v>
      </c>
      <c r="V54" s="19">
        <v>10</v>
      </c>
      <c r="W54" s="19">
        <v>10</v>
      </c>
      <c r="X54" s="19">
        <v>10</v>
      </c>
      <c r="Y54" s="19">
        <v>10</v>
      </c>
      <c r="Z54" s="19" t="s">
        <v>15</v>
      </c>
      <c r="AA54" s="19">
        <v>10</v>
      </c>
      <c r="AB54" s="19">
        <v>10</v>
      </c>
      <c r="AC54" s="19">
        <v>10</v>
      </c>
      <c r="AD54" s="19">
        <v>10</v>
      </c>
      <c r="AE54" s="19">
        <v>10</v>
      </c>
      <c r="AF54" s="19">
        <v>10</v>
      </c>
      <c r="AG54" s="19" t="s">
        <v>15</v>
      </c>
      <c r="AH54" s="19">
        <v>10</v>
      </c>
      <c r="AI54" s="19">
        <v>10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f t="shared" si="119"/>
        <v>50</v>
      </c>
      <c r="AU54" s="19">
        <f t="shared" si="120"/>
        <v>0</v>
      </c>
      <c r="AV54" s="19">
        <f t="shared" si="193"/>
        <v>0</v>
      </c>
      <c r="AW54" s="16">
        <f t="shared" si="158"/>
        <v>30</v>
      </c>
      <c r="AX54" s="16">
        <f t="shared" si="159"/>
        <v>0</v>
      </c>
      <c r="AY54" s="38">
        <f t="shared" si="160"/>
        <v>0</v>
      </c>
      <c r="AZ54" s="36">
        <v>1000</v>
      </c>
      <c r="BA54" s="20">
        <v>100</v>
      </c>
      <c r="BB54" s="21">
        <v>0</v>
      </c>
      <c r="BC54" s="19">
        <f t="shared" si="74"/>
        <v>1000</v>
      </c>
      <c r="BD54" s="19">
        <f t="shared" si="75"/>
        <v>100</v>
      </c>
      <c r="BE54" s="19">
        <f t="shared" si="76"/>
        <v>260</v>
      </c>
      <c r="BF54" s="19">
        <f t="shared" si="77"/>
        <v>0</v>
      </c>
      <c r="BG54" s="19">
        <f t="shared" si="78"/>
        <v>0</v>
      </c>
      <c r="BH54" s="19">
        <f t="shared" si="79"/>
        <v>0</v>
      </c>
      <c r="BI54" s="19">
        <v>0</v>
      </c>
      <c r="BJ54" s="19">
        <v>95</v>
      </c>
      <c r="BK54" s="19">
        <f t="shared" si="122"/>
        <v>1455</v>
      </c>
      <c r="BL54" s="19">
        <v>0</v>
      </c>
      <c r="BM54" s="19">
        <v>0</v>
      </c>
      <c r="BN54" s="19">
        <f t="shared" si="123"/>
        <v>0</v>
      </c>
      <c r="BO54" s="19">
        <f t="shared" si="124"/>
        <v>1455</v>
      </c>
      <c r="BP54" s="19">
        <v>0</v>
      </c>
      <c r="BQ54" s="19">
        <v>0</v>
      </c>
      <c r="BR54" s="22">
        <f t="shared" si="125"/>
        <v>1455</v>
      </c>
      <c r="BS54" s="23">
        <f t="shared" si="161"/>
        <v>0</v>
      </c>
      <c r="BT54" s="24">
        <f t="shared" si="194"/>
        <v>0</v>
      </c>
      <c r="BU54" s="24">
        <f t="shared" si="162"/>
        <v>0</v>
      </c>
      <c r="BV54" s="24">
        <f t="shared" si="195"/>
        <v>0</v>
      </c>
      <c r="BW54" s="24">
        <f t="shared" si="163"/>
        <v>0</v>
      </c>
      <c r="BX54" s="24">
        <f t="shared" si="196"/>
        <v>0</v>
      </c>
      <c r="BY54" s="24">
        <f t="shared" si="164"/>
        <v>25</v>
      </c>
      <c r="BZ54" s="24">
        <f t="shared" si="197"/>
        <v>50</v>
      </c>
      <c r="CA54" s="24">
        <f t="shared" si="165"/>
        <v>0</v>
      </c>
      <c r="CB54" s="24">
        <f t="shared" si="198"/>
        <v>0</v>
      </c>
      <c r="CC54" s="24">
        <f t="shared" si="166"/>
        <v>0</v>
      </c>
      <c r="CD54" s="24">
        <f t="shared" si="199"/>
        <v>0</v>
      </c>
      <c r="CE54" s="24">
        <f t="shared" si="167"/>
        <v>0</v>
      </c>
      <c r="CF54" s="24">
        <f t="shared" si="200"/>
        <v>0</v>
      </c>
      <c r="CG54" s="24">
        <f t="shared" si="168"/>
        <v>0</v>
      </c>
      <c r="CH54" s="24">
        <f t="shared" si="201"/>
        <v>0</v>
      </c>
      <c r="CI54" s="24">
        <f t="shared" si="169"/>
        <v>0</v>
      </c>
      <c r="CJ54" s="24">
        <f t="shared" si="202"/>
        <v>0</v>
      </c>
      <c r="CK54" s="24">
        <f t="shared" si="170"/>
        <v>0</v>
      </c>
      <c r="CL54" s="24">
        <f t="shared" si="203"/>
        <v>0</v>
      </c>
      <c r="CM54" s="24">
        <f t="shared" si="171"/>
        <v>0</v>
      </c>
      <c r="CN54" s="24">
        <f t="shared" si="204"/>
        <v>0</v>
      </c>
      <c r="CO54" s="24">
        <f t="shared" si="172"/>
        <v>0</v>
      </c>
      <c r="CP54" s="24">
        <f t="shared" si="205"/>
        <v>0</v>
      </c>
      <c r="CQ54" s="24">
        <f t="shared" si="173"/>
        <v>0</v>
      </c>
      <c r="CR54" s="24">
        <f t="shared" si="206"/>
        <v>0</v>
      </c>
      <c r="CS54" s="24">
        <f t="shared" si="174"/>
        <v>0</v>
      </c>
      <c r="CT54" s="24">
        <f t="shared" si="207"/>
        <v>0</v>
      </c>
      <c r="CU54" s="24">
        <f t="shared" si="175"/>
        <v>0</v>
      </c>
      <c r="CV54" s="24">
        <f t="shared" si="208"/>
        <v>0</v>
      </c>
      <c r="CW54" s="24">
        <f t="shared" si="176"/>
        <v>0</v>
      </c>
      <c r="CX54" s="24">
        <f t="shared" si="209"/>
        <v>0</v>
      </c>
      <c r="CY54" s="24">
        <f t="shared" si="177"/>
        <v>0</v>
      </c>
      <c r="CZ54" s="24">
        <f t="shared" si="210"/>
        <v>0</v>
      </c>
      <c r="DA54" s="24">
        <f t="shared" si="178"/>
        <v>0</v>
      </c>
      <c r="DB54" s="24">
        <f t="shared" si="211"/>
        <v>0</v>
      </c>
      <c r="DC54" s="24">
        <f t="shared" si="179"/>
        <v>0</v>
      </c>
      <c r="DD54" s="24">
        <f t="shared" si="212"/>
        <v>0</v>
      </c>
      <c r="DE54" s="24">
        <f t="shared" si="180"/>
        <v>0</v>
      </c>
      <c r="DF54" s="24">
        <f t="shared" si="213"/>
        <v>0</v>
      </c>
      <c r="DG54" s="24">
        <f t="shared" si="181"/>
        <v>0</v>
      </c>
      <c r="DH54" s="24">
        <f t="shared" si="214"/>
        <v>0</v>
      </c>
      <c r="DI54" s="24">
        <f t="shared" si="182"/>
        <v>0</v>
      </c>
      <c r="DJ54" s="24">
        <f t="shared" si="215"/>
        <v>0</v>
      </c>
      <c r="DK54" s="24">
        <f t="shared" si="183"/>
        <v>0</v>
      </c>
      <c r="DL54" s="24">
        <f t="shared" si="216"/>
        <v>0</v>
      </c>
      <c r="DM54" s="24">
        <f t="shared" si="184"/>
        <v>0</v>
      </c>
      <c r="DN54" s="24">
        <f t="shared" si="217"/>
        <v>0</v>
      </c>
      <c r="DO54" s="24">
        <f t="shared" si="185"/>
        <v>0</v>
      </c>
      <c r="DP54" s="24">
        <f t="shared" si="218"/>
        <v>0</v>
      </c>
      <c r="DQ54" s="24">
        <f t="shared" si="186"/>
        <v>0</v>
      </c>
      <c r="DR54" s="24">
        <f t="shared" si="219"/>
        <v>0</v>
      </c>
      <c r="DS54" s="24">
        <f t="shared" si="187"/>
        <v>0</v>
      </c>
      <c r="DT54" s="24">
        <f t="shared" si="220"/>
        <v>0</v>
      </c>
      <c r="DU54" s="24">
        <f t="shared" si="188"/>
        <v>0</v>
      </c>
      <c r="DV54" s="24">
        <f t="shared" si="221"/>
        <v>0</v>
      </c>
      <c r="DW54" s="24">
        <f t="shared" si="189"/>
        <v>0</v>
      </c>
      <c r="DX54" s="24">
        <f t="shared" si="222"/>
        <v>0</v>
      </c>
      <c r="DY54" s="24">
        <f t="shared" si="190"/>
        <v>0</v>
      </c>
      <c r="DZ54" s="24">
        <f t="shared" si="223"/>
        <v>0</v>
      </c>
      <c r="EA54" s="24">
        <f t="shared" si="191"/>
        <v>0</v>
      </c>
      <c r="EB54" s="24">
        <f t="shared" si="224"/>
        <v>0</v>
      </c>
      <c r="EC54" s="24">
        <f t="shared" si="192"/>
        <v>0</v>
      </c>
      <c r="ED54" s="24">
        <f t="shared" si="225"/>
        <v>0</v>
      </c>
      <c r="EE54" s="25"/>
    </row>
    <row r="55" spans="1:135" s="2" customFormat="1" ht="18" customHeight="1" x14ac:dyDescent="0.25">
      <c r="A55" s="15">
        <v>52</v>
      </c>
      <c r="B55" s="108" t="s">
        <v>492</v>
      </c>
      <c r="C55" s="74" t="s">
        <v>476</v>
      </c>
      <c r="D55" s="90" t="s">
        <v>107</v>
      </c>
      <c r="E55" s="18">
        <v>45727</v>
      </c>
      <c r="F55" s="19">
        <v>10</v>
      </c>
      <c r="G55" s="19">
        <v>10</v>
      </c>
      <c r="H55" s="19">
        <v>10</v>
      </c>
      <c r="I55" s="19">
        <v>10</v>
      </c>
      <c r="J55" s="19" t="s">
        <v>603</v>
      </c>
      <c r="K55" s="19">
        <v>10</v>
      </c>
      <c r="L55" s="19" t="s">
        <v>15</v>
      </c>
      <c r="M55" s="19">
        <v>10</v>
      </c>
      <c r="N55" s="19">
        <v>10</v>
      </c>
      <c r="O55" s="19">
        <v>10</v>
      </c>
      <c r="P55" s="19">
        <v>10</v>
      </c>
      <c r="Q55" s="19">
        <v>10</v>
      </c>
      <c r="R55" s="19">
        <v>10</v>
      </c>
      <c r="S55" s="19" t="s">
        <v>15</v>
      </c>
      <c r="T55" s="19">
        <v>10</v>
      </c>
      <c r="U55" s="19">
        <v>10</v>
      </c>
      <c r="V55" s="19">
        <v>10</v>
      </c>
      <c r="W55" s="19">
        <v>12</v>
      </c>
      <c r="X55" s="19">
        <v>10</v>
      </c>
      <c r="Y55" s="19">
        <v>10</v>
      </c>
      <c r="Z55" s="19" t="s">
        <v>15</v>
      </c>
      <c r="AA55" s="19">
        <v>10</v>
      </c>
      <c r="AB55" s="19">
        <v>10</v>
      </c>
      <c r="AC55" s="19">
        <v>10</v>
      </c>
      <c r="AD55" s="19">
        <v>12</v>
      </c>
      <c r="AE55" s="19">
        <v>10</v>
      </c>
      <c r="AF55" s="19">
        <v>10</v>
      </c>
      <c r="AG55" s="19" t="s">
        <v>15</v>
      </c>
      <c r="AH55" s="19">
        <v>10</v>
      </c>
      <c r="AI55" s="19">
        <v>10</v>
      </c>
      <c r="AJ55" s="19">
        <v>14</v>
      </c>
      <c r="AK55" s="19">
        <v>0</v>
      </c>
      <c r="AL55" s="19">
        <v>0</v>
      </c>
      <c r="AM55" s="19">
        <v>0</v>
      </c>
      <c r="AN55" s="19">
        <v>0</v>
      </c>
      <c r="AO55" s="19">
        <v>10</v>
      </c>
      <c r="AP55" s="19">
        <v>0</v>
      </c>
      <c r="AQ55" s="19">
        <v>0</v>
      </c>
      <c r="AR55" s="19">
        <v>0</v>
      </c>
      <c r="AS55" s="19">
        <v>0</v>
      </c>
      <c r="AT55" s="19">
        <f t="shared" si="119"/>
        <v>54</v>
      </c>
      <c r="AU55" s="19">
        <f t="shared" si="120"/>
        <v>14</v>
      </c>
      <c r="AV55" s="19">
        <f t="shared" si="193"/>
        <v>10</v>
      </c>
      <c r="AW55" s="16">
        <f t="shared" si="158"/>
        <v>30</v>
      </c>
      <c r="AX55" s="16">
        <f t="shared" si="159"/>
        <v>0</v>
      </c>
      <c r="AY55" s="38">
        <f t="shared" si="160"/>
        <v>0</v>
      </c>
      <c r="AZ55" s="36">
        <v>900</v>
      </c>
      <c r="BA55" s="20">
        <v>100</v>
      </c>
      <c r="BB55" s="21">
        <v>0</v>
      </c>
      <c r="BC55" s="19">
        <f t="shared" si="74"/>
        <v>900</v>
      </c>
      <c r="BD55" s="19">
        <f t="shared" si="75"/>
        <v>100</v>
      </c>
      <c r="BE55" s="19">
        <f t="shared" si="76"/>
        <v>388</v>
      </c>
      <c r="BF55" s="19">
        <f t="shared" si="77"/>
        <v>0</v>
      </c>
      <c r="BG55" s="19">
        <f t="shared" si="78"/>
        <v>0</v>
      </c>
      <c r="BH55" s="19">
        <f t="shared" si="79"/>
        <v>0</v>
      </c>
      <c r="BI55" s="19">
        <v>0</v>
      </c>
      <c r="BJ55" s="19">
        <v>95</v>
      </c>
      <c r="BK55" s="19">
        <f t="shared" si="122"/>
        <v>1483</v>
      </c>
      <c r="BL55" s="19">
        <v>0</v>
      </c>
      <c r="BM55" s="19">
        <v>0</v>
      </c>
      <c r="BN55" s="19">
        <f t="shared" si="123"/>
        <v>0</v>
      </c>
      <c r="BO55" s="19">
        <f t="shared" si="124"/>
        <v>1483</v>
      </c>
      <c r="BP55" s="19">
        <v>0</v>
      </c>
      <c r="BQ55" s="19">
        <v>0</v>
      </c>
      <c r="BR55" s="22">
        <f t="shared" si="125"/>
        <v>1483</v>
      </c>
      <c r="BS55" s="23">
        <f t="shared" si="161"/>
        <v>0</v>
      </c>
      <c r="BT55" s="24">
        <f t="shared" si="194"/>
        <v>0</v>
      </c>
      <c r="BU55" s="24">
        <f t="shared" si="162"/>
        <v>0</v>
      </c>
      <c r="BV55" s="24">
        <f t="shared" si="195"/>
        <v>0</v>
      </c>
      <c r="BW55" s="24">
        <f t="shared" si="163"/>
        <v>0</v>
      </c>
      <c r="BX55" s="24">
        <f t="shared" si="196"/>
        <v>0</v>
      </c>
      <c r="BY55" s="24">
        <f t="shared" si="164"/>
        <v>23</v>
      </c>
      <c r="BZ55" s="24">
        <f t="shared" si="197"/>
        <v>46</v>
      </c>
      <c r="CA55" s="24">
        <f t="shared" si="165"/>
        <v>0</v>
      </c>
      <c r="CB55" s="24">
        <f t="shared" si="198"/>
        <v>0</v>
      </c>
      <c r="CC55" s="24">
        <f t="shared" si="166"/>
        <v>0</v>
      </c>
      <c r="CD55" s="24">
        <f t="shared" si="199"/>
        <v>0</v>
      </c>
      <c r="CE55" s="24">
        <f t="shared" si="167"/>
        <v>0</v>
      </c>
      <c r="CF55" s="24">
        <f t="shared" si="200"/>
        <v>0</v>
      </c>
      <c r="CG55" s="24">
        <f t="shared" si="168"/>
        <v>2</v>
      </c>
      <c r="CH55" s="24">
        <f t="shared" si="201"/>
        <v>8</v>
      </c>
      <c r="CI55" s="24">
        <f t="shared" si="169"/>
        <v>0</v>
      </c>
      <c r="CJ55" s="24">
        <f t="shared" si="202"/>
        <v>0</v>
      </c>
      <c r="CK55" s="24">
        <f t="shared" si="170"/>
        <v>0</v>
      </c>
      <c r="CL55" s="24">
        <f t="shared" si="203"/>
        <v>0</v>
      </c>
      <c r="CM55" s="24">
        <f t="shared" si="171"/>
        <v>0</v>
      </c>
      <c r="CN55" s="24">
        <f t="shared" si="204"/>
        <v>0</v>
      </c>
      <c r="CO55" s="24">
        <f t="shared" si="172"/>
        <v>0</v>
      </c>
      <c r="CP55" s="24">
        <f t="shared" si="205"/>
        <v>0</v>
      </c>
      <c r="CQ55" s="24">
        <f t="shared" si="173"/>
        <v>0</v>
      </c>
      <c r="CR55" s="24">
        <f t="shared" si="206"/>
        <v>0</v>
      </c>
      <c r="CS55" s="24">
        <f t="shared" si="174"/>
        <v>0</v>
      </c>
      <c r="CT55" s="24">
        <f t="shared" si="207"/>
        <v>0</v>
      </c>
      <c r="CU55" s="24">
        <f t="shared" si="175"/>
        <v>0</v>
      </c>
      <c r="CV55" s="24">
        <f t="shared" si="208"/>
        <v>0</v>
      </c>
      <c r="CW55" s="24">
        <f t="shared" si="176"/>
        <v>0</v>
      </c>
      <c r="CX55" s="24">
        <f t="shared" si="209"/>
        <v>0</v>
      </c>
      <c r="CY55" s="24">
        <f t="shared" si="177"/>
        <v>0</v>
      </c>
      <c r="CZ55" s="24">
        <f t="shared" si="210"/>
        <v>0</v>
      </c>
      <c r="DA55" s="24">
        <f t="shared" si="178"/>
        <v>0</v>
      </c>
      <c r="DB55" s="24">
        <f t="shared" si="211"/>
        <v>0</v>
      </c>
      <c r="DC55" s="24">
        <f t="shared" si="179"/>
        <v>0</v>
      </c>
      <c r="DD55" s="24">
        <f t="shared" si="212"/>
        <v>0</v>
      </c>
      <c r="DE55" s="24">
        <f t="shared" si="180"/>
        <v>0</v>
      </c>
      <c r="DF55" s="24">
        <f t="shared" si="213"/>
        <v>0</v>
      </c>
      <c r="DG55" s="24">
        <f t="shared" si="181"/>
        <v>0</v>
      </c>
      <c r="DH55" s="24">
        <f t="shared" si="214"/>
        <v>0</v>
      </c>
      <c r="DI55" s="24">
        <f t="shared" si="182"/>
        <v>0</v>
      </c>
      <c r="DJ55" s="24">
        <f t="shared" si="215"/>
        <v>0</v>
      </c>
      <c r="DK55" s="24">
        <f t="shared" si="183"/>
        <v>0</v>
      </c>
      <c r="DL55" s="24">
        <f t="shared" si="216"/>
        <v>0</v>
      </c>
      <c r="DM55" s="24">
        <f t="shared" si="184"/>
        <v>0</v>
      </c>
      <c r="DN55" s="24">
        <f t="shared" si="217"/>
        <v>0</v>
      </c>
      <c r="DO55" s="24">
        <f t="shared" si="185"/>
        <v>0</v>
      </c>
      <c r="DP55" s="24">
        <f t="shared" si="218"/>
        <v>0</v>
      </c>
      <c r="DQ55" s="24">
        <f t="shared" si="186"/>
        <v>0</v>
      </c>
      <c r="DR55" s="24">
        <f t="shared" si="219"/>
        <v>0</v>
      </c>
      <c r="DS55" s="24">
        <f t="shared" si="187"/>
        <v>0</v>
      </c>
      <c r="DT55" s="24">
        <f t="shared" si="220"/>
        <v>0</v>
      </c>
      <c r="DU55" s="24">
        <f t="shared" si="188"/>
        <v>0</v>
      </c>
      <c r="DV55" s="24">
        <f t="shared" si="221"/>
        <v>0</v>
      </c>
      <c r="DW55" s="24">
        <f t="shared" si="189"/>
        <v>0</v>
      </c>
      <c r="DX55" s="24">
        <f t="shared" si="222"/>
        <v>0</v>
      </c>
      <c r="DY55" s="24">
        <f t="shared" si="190"/>
        <v>0</v>
      </c>
      <c r="DZ55" s="24">
        <f t="shared" si="223"/>
        <v>0</v>
      </c>
      <c r="EA55" s="24">
        <f t="shared" si="191"/>
        <v>0</v>
      </c>
      <c r="EB55" s="24">
        <f t="shared" si="224"/>
        <v>0</v>
      </c>
      <c r="EC55" s="24">
        <f t="shared" si="192"/>
        <v>0</v>
      </c>
      <c r="ED55" s="24">
        <f t="shared" si="225"/>
        <v>0</v>
      </c>
      <c r="EE55" s="25"/>
    </row>
    <row r="56" spans="1:135" s="2" customFormat="1" ht="18" customHeight="1" x14ac:dyDescent="0.25">
      <c r="A56" s="15">
        <v>53</v>
      </c>
      <c r="B56" s="108" t="s">
        <v>493</v>
      </c>
      <c r="C56" s="74" t="s">
        <v>477</v>
      </c>
      <c r="D56" s="90" t="s">
        <v>107</v>
      </c>
      <c r="E56" s="18">
        <v>45727</v>
      </c>
      <c r="F56" s="19">
        <v>10.5</v>
      </c>
      <c r="G56" s="19">
        <v>10.5</v>
      </c>
      <c r="H56" s="19">
        <v>10.5</v>
      </c>
      <c r="I56" s="19">
        <v>10.5</v>
      </c>
      <c r="J56" s="19" t="s">
        <v>603</v>
      </c>
      <c r="K56" s="19">
        <v>10.5</v>
      </c>
      <c r="L56" s="19" t="s">
        <v>15</v>
      </c>
      <c r="M56" s="19">
        <v>10.5</v>
      </c>
      <c r="N56" s="19">
        <v>10.5</v>
      </c>
      <c r="O56" s="19">
        <v>10.5</v>
      </c>
      <c r="P56" s="19">
        <v>10.5</v>
      </c>
      <c r="Q56" s="19">
        <v>10.5</v>
      </c>
      <c r="R56" s="19">
        <v>10.5</v>
      </c>
      <c r="S56" s="19" t="s">
        <v>15</v>
      </c>
      <c r="T56" s="19">
        <v>10.5</v>
      </c>
      <c r="U56" s="19">
        <v>10.5</v>
      </c>
      <c r="V56" s="19">
        <v>10.5</v>
      </c>
      <c r="W56" s="19">
        <v>10.5</v>
      </c>
      <c r="X56" s="19">
        <v>10.5</v>
      </c>
      <c r="Y56" s="19">
        <v>10.5</v>
      </c>
      <c r="Z56" s="19" t="s">
        <v>15</v>
      </c>
      <c r="AA56" s="19">
        <v>10.5</v>
      </c>
      <c r="AB56" s="19">
        <v>10.5</v>
      </c>
      <c r="AC56" s="19">
        <v>10.5</v>
      </c>
      <c r="AD56" s="19">
        <v>10.5</v>
      </c>
      <c r="AE56" s="19">
        <v>10.5</v>
      </c>
      <c r="AF56" s="19">
        <v>10.5</v>
      </c>
      <c r="AG56" s="19" t="s">
        <v>15</v>
      </c>
      <c r="AH56" s="19">
        <v>10.5</v>
      </c>
      <c r="AI56" s="19">
        <v>10.5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f t="shared" si="119"/>
        <v>62.5</v>
      </c>
      <c r="AU56" s="19">
        <f t="shared" si="120"/>
        <v>0</v>
      </c>
      <c r="AV56" s="19">
        <f t="shared" si="193"/>
        <v>0</v>
      </c>
      <c r="AW56" s="16">
        <f t="shared" si="158"/>
        <v>30</v>
      </c>
      <c r="AX56" s="16">
        <f t="shared" si="159"/>
        <v>0</v>
      </c>
      <c r="AY56" s="38">
        <f t="shared" si="160"/>
        <v>0</v>
      </c>
      <c r="AZ56" s="36">
        <v>1000</v>
      </c>
      <c r="BA56" s="20">
        <v>100</v>
      </c>
      <c r="BB56" s="21">
        <v>0</v>
      </c>
      <c r="BC56" s="19">
        <f t="shared" si="74"/>
        <v>1000</v>
      </c>
      <c r="BD56" s="19">
        <f t="shared" si="75"/>
        <v>100</v>
      </c>
      <c r="BE56" s="19">
        <f t="shared" si="76"/>
        <v>326</v>
      </c>
      <c r="BF56" s="19">
        <f t="shared" si="77"/>
        <v>0</v>
      </c>
      <c r="BG56" s="19">
        <f t="shared" si="78"/>
        <v>0</v>
      </c>
      <c r="BH56" s="19">
        <f t="shared" si="79"/>
        <v>0</v>
      </c>
      <c r="BI56" s="19">
        <v>0</v>
      </c>
      <c r="BJ56" s="19">
        <v>95</v>
      </c>
      <c r="BK56" s="19">
        <f t="shared" si="122"/>
        <v>1521</v>
      </c>
      <c r="BL56" s="19">
        <v>0</v>
      </c>
      <c r="BM56" s="19">
        <v>0</v>
      </c>
      <c r="BN56" s="19">
        <f t="shared" si="123"/>
        <v>0</v>
      </c>
      <c r="BO56" s="19">
        <f t="shared" si="124"/>
        <v>1521</v>
      </c>
      <c r="BP56" s="19">
        <v>0</v>
      </c>
      <c r="BQ56" s="19">
        <v>0</v>
      </c>
      <c r="BR56" s="22">
        <f t="shared" si="125"/>
        <v>1521</v>
      </c>
      <c r="BS56" s="23">
        <f t="shared" si="161"/>
        <v>0</v>
      </c>
      <c r="BT56" s="24">
        <f t="shared" si="194"/>
        <v>0</v>
      </c>
      <c r="BU56" s="24">
        <f t="shared" si="162"/>
        <v>0</v>
      </c>
      <c r="BV56" s="24">
        <f t="shared" si="195"/>
        <v>0</v>
      </c>
      <c r="BW56" s="24">
        <f t="shared" si="163"/>
        <v>0</v>
      </c>
      <c r="BX56" s="24">
        <f t="shared" si="196"/>
        <v>0</v>
      </c>
      <c r="BY56" s="24">
        <f t="shared" si="164"/>
        <v>0</v>
      </c>
      <c r="BZ56" s="24">
        <f t="shared" si="197"/>
        <v>0</v>
      </c>
      <c r="CA56" s="24">
        <f t="shared" si="165"/>
        <v>25</v>
      </c>
      <c r="CB56" s="24">
        <f t="shared" si="198"/>
        <v>62.5</v>
      </c>
      <c r="CC56" s="24">
        <f t="shared" si="166"/>
        <v>0</v>
      </c>
      <c r="CD56" s="24">
        <f t="shared" si="199"/>
        <v>0</v>
      </c>
      <c r="CE56" s="24">
        <f t="shared" si="167"/>
        <v>0</v>
      </c>
      <c r="CF56" s="24">
        <f t="shared" si="200"/>
        <v>0</v>
      </c>
      <c r="CG56" s="24">
        <f t="shared" si="168"/>
        <v>0</v>
      </c>
      <c r="CH56" s="24">
        <f t="shared" si="201"/>
        <v>0</v>
      </c>
      <c r="CI56" s="24">
        <f t="shared" si="169"/>
        <v>0</v>
      </c>
      <c r="CJ56" s="24">
        <f t="shared" si="202"/>
        <v>0</v>
      </c>
      <c r="CK56" s="24">
        <f t="shared" si="170"/>
        <v>0</v>
      </c>
      <c r="CL56" s="24">
        <f t="shared" si="203"/>
        <v>0</v>
      </c>
      <c r="CM56" s="24">
        <f t="shared" si="171"/>
        <v>0</v>
      </c>
      <c r="CN56" s="24">
        <f t="shared" si="204"/>
        <v>0</v>
      </c>
      <c r="CO56" s="24">
        <f t="shared" si="172"/>
        <v>0</v>
      </c>
      <c r="CP56" s="24">
        <f t="shared" si="205"/>
        <v>0</v>
      </c>
      <c r="CQ56" s="24">
        <f t="shared" si="173"/>
        <v>0</v>
      </c>
      <c r="CR56" s="24">
        <f t="shared" si="206"/>
        <v>0</v>
      </c>
      <c r="CS56" s="24">
        <f t="shared" si="174"/>
        <v>0</v>
      </c>
      <c r="CT56" s="24">
        <f t="shared" si="207"/>
        <v>0</v>
      </c>
      <c r="CU56" s="24">
        <f t="shared" si="175"/>
        <v>0</v>
      </c>
      <c r="CV56" s="24">
        <f t="shared" si="208"/>
        <v>0</v>
      </c>
      <c r="CW56" s="24">
        <f t="shared" si="176"/>
        <v>0</v>
      </c>
      <c r="CX56" s="24">
        <f t="shared" si="209"/>
        <v>0</v>
      </c>
      <c r="CY56" s="24">
        <f t="shared" si="177"/>
        <v>0</v>
      </c>
      <c r="CZ56" s="24">
        <f t="shared" si="210"/>
        <v>0</v>
      </c>
      <c r="DA56" s="24">
        <f t="shared" si="178"/>
        <v>0</v>
      </c>
      <c r="DB56" s="24">
        <f t="shared" si="211"/>
        <v>0</v>
      </c>
      <c r="DC56" s="24">
        <f t="shared" si="179"/>
        <v>0</v>
      </c>
      <c r="DD56" s="24">
        <f t="shared" si="212"/>
        <v>0</v>
      </c>
      <c r="DE56" s="24">
        <f t="shared" si="180"/>
        <v>0</v>
      </c>
      <c r="DF56" s="24">
        <f t="shared" si="213"/>
        <v>0</v>
      </c>
      <c r="DG56" s="24">
        <f t="shared" si="181"/>
        <v>0</v>
      </c>
      <c r="DH56" s="24">
        <f t="shared" si="214"/>
        <v>0</v>
      </c>
      <c r="DI56" s="24">
        <f t="shared" si="182"/>
        <v>0</v>
      </c>
      <c r="DJ56" s="24">
        <f t="shared" si="215"/>
        <v>0</v>
      </c>
      <c r="DK56" s="24">
        <f t="shared" si="183"/>
        <v>0</v>
      </c>
      <c r="DL56" s="24">
        <f t="shared" si="216"/>
        <v>0</v>
      </c>
      <c r="DM56" s="24">
        <f t="shared" si="184"/>
        <v>0</v>
      </c>
      <c r="DN56" s="24">
        <f t="shared" si="217"/>
        <v>0</v>
      </c>
      <c r="DO56" s="24">
        <f t="shared" si="185"/>
        <v>0</v>
      </c>
      <c r="DP56" s="24">
        <f t="shared" si="218"/>
        <v>0</v>
      </c>
      <c r="DQ56" s="24">
        <f t="shared" si="186"/>
        <v>0</v>
      </c>
      <c r="DR56" s="24">
        <f t="shared" si="219"/>
        <v>0</v>
      </c>
      <c r="DS56" s="24">
        <f t="shared" si="187"/>
        <v>0</v>
      </c>
      <c r="DT56" s="24">
        <f t="shared" si="220"/>
        <v>0</v>
      </c>
      <c r="DU56" s="24">
        <f t="shared" si="188"/>
        <v>0</v>
      </c>
      <c r="DV56" s="24">
        <f t="shared" si="221"/>
        <v>0</v>
      </c>
      <c r="DW56" s="24">
        <f t="shared" si="189"/>
        <v>0</v>
      </c>
      <c r="DX56" s="24">
        <f t="shared" si="222"/>
        <v>0</v>
      </c>
      <c r="DY56" s="24">
        <f t="shared" si="190"/>
        <v>0</v>
      </c>
      <c r="DZ56" s="24">
        <f t="shared" si="223"/>
        <v>0</v>
      </c>
      <c r="EA56" s="24">
        <f t="shared" si="191"/>
        <v>0</v>
      </c>
      <c r="EB56" s="24">
        <f t="shared" si="224"/>
        <v>0</v>
      </c>
      <c r="EC56" s="24">
        <f t="shared" si="192"/>
        <v>0</v>
      </c>
      <c r="ED56" s="24">
        <f t="shared" si="225"/>
        <v>0</v>
      </c>
      <c r="EE56" s="25"/>
    </row>
    <row r="57" spans="1:135" s="2" customFormat="1" ht="18" customHeight="1" x14ac:dyDescent="0.25">
      <c r="A57" s="15">
        <v>54</v>
      </c>
      <c r="B57" s="108" t="s">
        <v>494</v>
      </c>
      <c r="C57" s="74" t="s">
        <v>478</v>
      </c>
      <c r="D57" s="90" t="s">
        <v>107</v>
      </c>
      <c r="E57" s="18">
        <v>45727</v>
      </c>
      <c r="F57" s="19">
        <v>10.5</v>
      </c>
      <c r="G57" s="19">
        <v>10.5</v>
      </c>
      <c r="H57" s="19">
        <v>10.5</v>
      </c>
      <c r="I57" s="19">
        <v>10.5</v>
      </c>
      <c r="J57" s="19" t="s">
        <v>603</v>
      </c>
      <c r="K57" s="19">
        <v>10.5</v>
      </c>
      <c r="L57" s="19" t="s">
        <v>15</v>
      </c>
      <c r="M57" s="19">
        <v>10.5</v>
      </c>
      <c r="N57" s="19">
        <v>10.5</v>
      </c>
      <c r="O57" s="19">
        <v>10.5</v>
      </c>
      <c r="P57" s="19">
        <v>10.5</v>
      </c>
      <c r="Q57" s="19">
        <v>10.5</v>
      </c>
      <c r="R57" s="19">
        <v>10.5</v>
      </c>
      <c r="S57" s="19" t="s">
        <v>15</v>
      </c>
      <c r="T57" s="19">
        <v>10.5</v>
      </c>
      <c r="U57" s="19">
        <v>10.5</v>
      </c>
      <c r="V57" s="19">
        <v>10.5</v>
      </c>
      <c r="W57" s="19">
        <v>10.5</v>
      </c>
      <c r="X57" s="19">
        <v>10.5</v>
      </c>
      <c r="Y57" s="19">
        <v>10.5</v>
      </c>
      <c r="Z57" s="19" t="s">
        <v>15</v>
      </c>
      <c r="AA57" s="19">
        <v>10.5</v>
      </c>
      <c r="AB57" s="19">
        <v>10.5</v>
      </c>
      <c r="AC57" s="19">
        <v>10.5</v>
      </c>
      <c r="AD57" s="19">
        <v>10.5</v>
      </c>
      <c r="AE57" s="19">
        <v>10.5</v>
      </c>
      <c r="AF57" s="19">
        <v>10.5</v>
      </c>
      <c r="AG57" s="19" t="s">
        <v>15</v>
      </c>
      <c r="AH57" s="19">
        <v>10.5</v>
      </c>
      <c r="AI57" s="19">
        <v>10.5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f t="shared" si="119"/>
        <v>62.5</v>
      </c>
      <c r="AU57" s="19">
        <f t="shared" si="120"/>
        <v>0</v>
      </c>
      <c r="AV57" s="19">
        <f t="shared" si="193"/>
        <v>0</v>
      </c>
      <c r="AW57" s="16">
        <f t="shared" si="158"/>
        <v>30</v>
      </c>
      <c r="AX57" s="16">
        <f t="shared" si="159"/>
        <v>0</v>
      </c>
      <c r="AY57" s="38">
        <f t="shared" si="160"/>
        <v>0</v>
      </c>
      <c r="AZ57" s="36">
        <v>900</v>
      </c>
      <c r="BA57" s="20">
        <v>100</v>
      </c>
      <c r="BB57" s="21">
        <v>0</v>
      </c>
      <c r="BC57" s="19">
        <f t="shared" si="74"/>
        <v>900</v>
      </c>
      <c r="BD57" s="19">
        <f t="shared" si="75"/>
        <v>100</v>
      </c>
      <c r="BE57" s="19">
        <f t="shared" si="76"/>
        <v>293</v>
      </c>
      <c r="BF57" s="19">
        <f t="shared" si="77"/>
        <v>0</v>
      </c>
      <c r="BG57" s="19">
        <f t="shared" si="78"/>
        <v>0</v>
      </c>
      <c r="BH57" s="19">
        <f t="shared" si="79"/>
        <v>0</v>
      </c>
      <c r="BI57" s="19">
        <v>0</v>
      </c>
      <c r="BJ57" s="19">
        <v>95</v>
      </c>
      <c r="BK57" s="19">
        <f t="shared" si="122"/>
        <v>1388</v>
      </c>
      <c r="BL57" s="19">
        <v>0</v>
      </c>
      <c r="BM57" s="19">
        <v>0</v>
      </c>
      <c r="BN57" s="19">
        <f t="shared" si="123"/>
        <v>0</v>
      </c>
      <c r="BO57" s="19">
        <f t="shared" si="124"/>
        <v>1388</v>
      </c>
      <c r="BP57" s="19">
        <v>0</v>
      </c>
      <c r="BQ57" s="19">
        <v>0</v>
      </c>
      <c r="BR57" s="22">
        <f t="shared" si="125"/>
        <v>1388</v>
      </c>
      <c r="BS57" s="23">
        <f t="shared" si="161"/>
        <v>0</v>
      </c>
      <c r="BT57" s="24">
        <f t="shared" si="194"/>
        <v>0</v>
      </c>
      <c r="BU57" s="24">
        <f t="shared" si="162"/>
        <v>0</v>
      </c>
      <c r="BV57" s="24">
        <f t="shared" si="195"/>
        <v>0</v>
      </c>
      <c r="BW57" s="24">
        <f t="shared" si="163"/>
        <v>0</v>
      </c>
      <c r="BX57" s="24">
        <f t="shared" si="196"/>
        <v>0</v>
      </c>
      <c r="BY57" s="24">
        <f t="shared" si="164"/>
        <v>0</v>
      </c>
      <c r="BZ57" s="24">
        <f t="shared" si="197"/>
        <v>0</v>
      </c>
      <c r="CA57" s="24">
        <f t="shared" si="165"/>
        <v>25</v>
      </c>
      <c r="CB57" s="24">
        <f t="shared" si="198"/>
        <v>62.5</v>
      </c>
      <c r="CC57" s="24">
        <f t="shared" si="166"/>
        <v>0</v>
      </c>
      <c r="CD57" s="24">
        <f t="shared" si="199"/>
        <v>0</v>
      </c>
      <c r="CE57" s="24">
        <f t="shared" si="167"/>
        <v>0</v>
      </c>
      <c r="CF57" s="24">
        <f t="shared" si="200"/>
        <v>0</v>
      </c>
      <c r="CG57" s="24">
        <f t="shared" si="168"/>
        <v>0</v>
      </c>
      <c r="CH57" s="24">
        <f t="shared" si="201"/>
        <v>0</v>
      </c>
      <c r="CI57" s="24">
        <f t="shared" si="169"/>
        <v>0</v>
      </c>
      <c r="CJ57" s="24">
        <f t="shared" si="202"/>
        <v>0</v>
      </c>
      <c r="CK57" s="24">
        <f t="shared" si="170"/>
        <v>0</v>
      </c>
      <c r="CL57" s="24">
        <f t="shared" si="203"/>
        <v>0</v>
      </c>
      <c r="CM57" s="24">
        <f t="shared" si="171"/>
        <v>0</v>
      </c>
      <c r="CN57" s="24">
        <f t="shared" si="204"/>
        <v>0</v>
      </c>
      <c r="CO57" s="24">
        <f t="shared" si="172"/>
        <v>0</v>
      </c>
      <c r="CP57" s="24">
        <f t="shared" si="205"/>
        <v>0</v>
      </c>
      <c r="CQ57" s="24">
        <f t="shared" si="173"/>
        <v>0</v>
      </c>
      <c r="CR57" s="24">
        <f t="shared" si="206"/>
        <v>0</v>
      </c>
      <c r="CS57" s="24">
        <f t="shared" si="174"/>
        <v>0</v>
      </c>
      <c r="CT57" s="24">
        <f t="shared" si="207"/>
        <v>0</v>
      </c>
      <c r="CU57" s="24">
        <f t="shared" si="175"/>
        <v>0</v>
      </c>
      <c r="CV57" s="24">
        <f t="shared" si="208"/>
        <v>0</v>
      </c>
      <c r="CW57" s="24">
        <f t="shared" si="176"/>
        <v>0</v>
      </c>
      <c r="CX57" s="24">
        <f t="shared" si="209"/>
        <v>0</v>
      </c>
      <c r="CY57" s="24">
        <f t="shared" si="177"/>
        <v>0</v>
      </c>
      <c r="CZ57" s="24">
        <f t="shared" si="210"/>
        <v>0</v>
      </c>
      <c r="DA57" s="24">
        <f t="shared" si="178"/>
        <v>0</v>
      </c>
      <c r="DB57" s="24">
        <f t="shared" si="211"/>
        <v>0</v>
      </c>
      <c r="DC57" s="24">
        <f t="shared" si="179"/>
        <v>0</v>
      </c>
      <c r="DD57" s="24">
        <f t="shared" si="212"/>
        <v>0</v>
      </c>
      <c r="DE57" s="24">
        <f t="shared" si="180"/>
        <v>0</v>
      </c>
      <c r="DF57" s="24">
        <f t="shared" si="213"/>
        <v>0</v>
      </c>
      <c r="DG57" s="24">
        <f t="shared" si="181"/>
        <v>0</v>
      </c>
      <c r="DH57" s="24">
        <f t="shared" si="214"/>
        <v>0</v>
      </c>
      <c r="DI57" s="24">
        <f t="shared" si="182"/>
        <v>0</v>
      </c>
      <c r="DJ57" s="24">
        <f t="shared" si="215"/>
        <v>0</v>
      </c>
      <c r="DK57" s="24">
        <f t="shared" si="183"/>
        <v>0</v>
      </c>
      <c r="DL57" s="24">
        <f t="shared" si="216"/>
        <v>0</v>
      </c>
      <c r="DM57" s="24">
        <f t="shared" si="184"/>
        <v>0</v>
      </c>
      <c r="DN57" s="24">
        <f t="shared" si="217"/>
        <v>0</v>
      </c>
      <c r="DO57" s="24">
        <f t="shared" si="185"/>
        <v>0</v>
      </c>
      <c r="DP57" s="24">
        <f t="shared" si="218"/>
        <v>0</v>
      </c>
      <c r="DQ57" s="24">
        <f t="shared" si="186"/>
        <v>0</v>
      </c>
      <c r="DR57" s="24">
        <f t="shared" si="219"/>
        <v>0</v>
      </c>
      <c r="DS57" s="24">
        <f t="shared" si="187"/>
        <v>0</v>
      </c>
      <c r="DT57" s="24">
        <f t="shared" si="220"/>
        <v>0</v>
      </c>
      <c r="DU57" s="24">
        <f t="shared" si="188"/>
        <v>0</v>
      </c>
      <c r="DV57" s="24">
        <f t="shared" si="221"/>
        <v>0</v>
      </c>
      <c r="DW57" s="24">
        <f t="shared" si="189"/>
        <v>0</v>
      </c>
      <c r="DX57" s="24">
        <f t="shared" si="222"/>
        <v>0</v>
      </c>
      <c r="DY57" s="24">
        <f t="shared" si="190"/>
        <v>0</v>
      </c>
      <c r="DZ57" s="24">
        <f t="shared" si="223"/>
        <v>0</v>
      </c>
      <c r="EA57" s="24">
        <f t="shared" si="191"/>
        <v>0</v>
      </c>
      <c r="EB57" s="24">
        <f t="shared" si="224"/>
        <v>0</v>
      </c>
      <c r="EC57" s="24">
        <f t="shared" si="192"/>
        <v>0</v>
      </c>
      <c r="ED57" s="24">
        <f t="shared" si="225"/>
        <v>0</v>
      </c>
      <c r="EE57" s="25"/>
    </row>
    <row r="58" spans="1:135" s="2" customFormat="1" ht="18" customHeight="1" x14ac:dyDescent="0.25">
      <c r="A58" s="15">
        <v>55</v>
      </c>
      <c r="B58" s="108" t="s">
        <v>495</v>
      </c>
      <c r="C58" s="74" t="s">
        <v>480</v>
      </c>
      <c r="D58" s="90" t="s">
        <v>167</v>
      </c>
      <c r="E58" s="18">
        <v>45736</v>
      </c>
      <c r="F58" s="19">
        <v>10.5</v>
      </c>
      <c r="G58" s="19">
        <v>10.5</v>
      </c>
      <c r="H58" s="19">
        <v>10.5</v>
      </c>
      <c r="I58" s="19">
        <v>10.5</v>
      </c>
      <c r="J58" s="19" t="s">
        <v>603</v>
      </c>
      <c r="K58" s="19">
        <v>10.5</v>
      </c>
      <c r="L58" s="19" t="s">
        <v>15</v>
      </c>
      <c r="M58" s="19">
        <v>10.5</v>
      </c>
      <c r="N58" s="19">
        <v>10.5</v>
      </c>
      <c r="O58" s="19">
        <v>10.5</v>
      </c>
      <c r="P58" s="19">
        <v>10.5</v>
      </c>
      <c r="Q58" s="19">
        <v>10.5</v>
      </c>
      <c r="R58" s="19">
        <v>10.5</v>
      </c>
      <c r="S58" s="19" t="s">
        <v>15</v>
      </c>
      <c r="T58" s="19">
        <v>10.5</v>
      </c>
      <c r="U58" s="19">
        <v>10.5</v>
      </c>
      <c r="V58" s="19">
        <v>10.5</v>
      </c>
      <c r="W58" s="19">
        <v>10.5</v>
      </c>
      <c r="X58" s="19">
        <v>10.5</v>
      </c>
      <c r="Y58" s="19">
        <v>10.5</v>
      </c>
      <c r="Z58" s="19" t="s">
        <v>15</v>
      </c>
      <c r="AA58" s="19">
        <v>10.5</v>
      </c>
      <c r="AB58" s="19">
        <v>10.5</v>
      </c>
      <c r="AC58" s="19">
        <v>10.5</v>
      </c>
      <c r="AD58" s="19">
        <v>10.5</v>
      </c>
      <c r="AE58" s="19">
        <v>10.5</v>
      </c>
      <c r="AF58" s="19">
        <v>10.5</v>
      </c>
      <c r="AG58" s="19" t="s">
        <v>15</v>
      </c>
      <c r="AH58" s="19">
        <v>10.5</v>
      </c>
      <c r="AI58" s="19">
        <v>10.5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f>SUM(BT58+BV58+BX58+BZ58+CB58+CD58+CF58+CH58+CJ58+CL58+CN58+CP58+CR58+CT58+CV58+CX58+CZ58+DB58+DD58+DF58+DH58+DJ58+DL58+DN58+DP58+DR58+DT58+DV58+DX58+DZ58+EB58+ED58)</f>
        <v>62.5</v>
      </c>
      <c r="AU58" s="19">
        <f>SUM(AJ58:AN58)</f>
        <v>0</v>
      </c>
      <c r="AV58" s="19">
        <f>SUM(AO58:AS58)</f>
        <v>0</v>
      </c>
      <c r="AW58" s="16">
        <f t="shared" si="158"/>
        <v>30</v>
      </c>
      <c r="AX58" s="16">
        <f t="shared" si="159"/>
        <v>0</v>
      </c>
      <c r="AY58" s="38">
        <f t="shared" si="160"/>
        <v>0</v>
      </c>
      <c r="AZ58" s="36">
        <v>950</v>
      </c>
      <c r="BA58" s="20">
        <v>100</v>
      </c>
      <c r="BB58" s="21">
        <v>0</v>
      </c>
      <c r="BC58" s="19">
        <f t="shared" si="74"/>
        <v>950</v>
      </c>
      <c r="BD58" s="19">
        <f t="shared" si="75"/>
        <v>100</v>
      </c>
      <c r="BE58" s="19">
        <f t="shared" si="76"/>
        <v>309</v>
      </c>
      <c r="BF58" s="19">
        <f t="shared" si="77"/>
        <v>0</v>
      </c>
      <c r="BG58" s="19">
        <f t="shared" si="78"/>
        <v>0</v>
      </c>
      <c r="BH58" s="19">
        <f t="shared" si="79"/>
        <v>0</v>
      </c>
      <c r="BI58" s="19">
        <v>0</v>
      </c>
      <c r="BJ58" s="19">
        <v>95</v>
      </c>
      <c r="BK58" s="19">
        <f>SUM(BC58:BJ58)</f>
        <v>1454</v>
      </c>
      <c r="BL58" s="19">
        <v>0</v>
      </c>
      <c r="BM58" s="19">
        <v>0</v>
      </c>
      <c r="BN58" s="19">
        <f>BL58+BM58</f>
        <v>0</v>
      </c>
      <c r="BO58" s="19">
        <f>BK58-BN58</f>
        <v>1454</v>
      </c>
      <c r="BP58" s="19">
        <v>0</v>
      </c>
      <c r="BQ58" s="19">
        <v>0</v>
      </c>
      <c r="BR58" s="22">
        <f>SUM(BO58:BP58)-BQ58</f>
        <v>1454</v>
      </c>
      <c r="BS58" s="23">
        <f t="shared" si="161"/>
        <v>0</v>
      </c>
      <c r="BT58" s="24">
        <f>BS58*0.5</f>
        <v>0</v>
      </c>
      <c r="BU58" s="24">
        <f t="shared" si="162"/>
        <v>0</v>
      </c>
      <c r="BV58" s="24">
        <f>BU58*1</f>
        <v>0</v>
      </c>
      <c r="BW58" s="24">
        <f t="shared" si="163"/>
        <v>0</v>
      </c>
      <c r="BX58" s="24">
        <f>BW58*1.5</f>
        <v>0</v>
      </c>
      <c r="BY58" s="24">
        <f t="shared" si="164"/>
        <v>0</v>
      </c>
      <c r="BZ58" s="24">
        <f>BY58*2</f>
        <v>0</v>
      </c>
      <c r="CA58" s="24">
        <f t="shared" si="165"/>
        <v>25</v>
      </c>
      <c r="CB58" s="24">
        <f>CA58*2.5</f>
        <v>62.5</v>
      </c>
      <c r="CC58" s="24">
        <f t="shared" si="166"/>
        <v>0</v>
      </c>
      <c r="CD58" s="24">
        <f>CC58*3</f>
        <v>0</v>
      </c>
      <c r="CE58" s="24">
        <f t="shared" si="167"/>
        <v>0</v>
      </c>
      <c r="CF58" s="24">
        <f>CE58*3.5</f>
        <v>0</v>
      </c>
      <c r="CG58" s="24">
        <f t="shared" si="168"/>
        <v>0</v>
      </c>
      <c r="CH58" s="24">
        <f>CG58*4</f>
        <v>0</v>
      </c>
      <c r="CI58" s="24">
        <f t="shared" si="169"/>
        <v>0</v>
      </c>
      <c r="CJ58" s="24">
        <f>CI58*4.5</f>
        <v>0</v>
      </c>
      <c r="CK58" s="24">
        <f t="shared" si="170"/>
        <v>0</v>
      </c>
      <c r="CL58" s="24">
        <f>CK58*5</f>
        <v>0</v>
      </c>
      <c r="CM58" s="24">
        <f t="shared" si="171"/>
        <v>0</v>
      </c>
      <c r="CN58" s="24">
        <f>CM58*5.5</f>
        <v>0</v>
      </c>
      <c r="CO58" s="24">
        <f t="shared" si="172"/>
        <v>0</v>
      </c>
      <c r="CP58" s="24">
        <f>CO58*6</f>
        <v>0</v>
      </c>
      <c r="CQ58" s="24">
        <f t="shared" si="173"/>
        <v>0</v>
      </c>
      <c r="CR58" s="24">
        <f>CQ58*6.5</f>
        <v>0</v>
      </c>
      <c r="CS58" s="24">
        <f t="shared" si="174"/>
        <v>0</v>
      </c>
      <c r="CT58" s="24">
        <f>CS58*7</f>
        <v>0</v>
      </c>
      <c r="CU58" s="24">
        <f t="shared" si="175"/>
        <v>0</v>
      </c>
      <c r="CV58" s="24">
        <f>CU58*7.5</f>
        <v>0</v>
      </c>
      <c r="CW58" s="24">
        <f t="shared" si="176"/>
        <v>0</v>
      </c>
      <c r="CX58" s="24">
        <f>CW58*8</f>
        <v>0</v>
      </c>
      <c r="CY58" s="24">
        <f t="shared" si="177"/>
        <v>0</v>
      </c>
      <c r="CZ58" s="24">
        <f>CY58*8.5</f>
        <v>0</v>
      </c>
      <c r="DA58" s="24">
        <f t="shared" si="178"/>
        <v>0</v>
      </c>
      <c r="DB58" s="24">
        <f>DA58*9</f>
        <v>0</v>
      </c>
      <c r="DC58" s="24">
        <f t="shared" si="179"/>
        <v>0</v>
      </c>
      <c r="DD58" s="24">
        <f>DC58*9.5</f>
        <v>0</v>
      </c>
      <c r="DE58" s="24">
        <f t="shared" si="180"/>
        <v>0</v>
      </c>
      <c r="DF58" s="24">
        <f>DE58*10</f>
        <v>0</v>
      </c>
      <c r="DG58" s="24">
        <f t="shared" si="181"/>
        <v>0</v>
      </c>
      <c r="DH58" s="24">
        <f>DG58*10.5</f>
        <v>0</v>
      </c>
      <c r="DI58" s="24">
        <f t="shared" si="182"/>
        <v>0</v>
      </c>
      <c r="DJ58" s="24">
        <f>DI58*11</f>
        <v>0</v>
      </c>
      <c r="DK58" s="24">
        <f t="shared" si="183"/>
        <v>0</v>
      </c>
      <c r="DL58" s="24">
        <f>DK58*11.5</f>
        <v>0</v>
      </c>
      <c r="DM58" s="24">
        <f t="shared" si="184"/>
        <v>0</v>
      </c>
      <c r="DN58" s="24">
        <f>DM58*12</f>
        <v>0</v>
      </c>
      <c r="DO58" s="24">
        <f t="shared" si="185"/>
        <v>0</v>
      </c>
      <c r="DP58" s="24">
        <f>DO58*12.5</f>
        <v>0</v>
      </c>
      <c r="DQ58" s="24">
        <f t="shared" si="186"/>
        <v>0</v>
      </c>
      <c r="DR58" s="24">
        <f>DQ58*13</f>
        <v>0</v>
      </c>
      <c r="DS58" s="24">
        <f t="shared" si="187"/>
        <v>0</v>
      </c>
      <c r="DT58" s="24">
        <f>DS58*13.5</f>
        <v>0</v>
      </c>
      <c r="DU58" s="24">
        <f t="shared" si="188"/>
        <v>0</v>
      </c>
      <c r="DV58" s="24">
        <f>DU58*14</f>
        <v>0</v>
      </c>
      <c r="DW58" s="24">
        <f t="shared" si="189"/>
        <v>0</v>
      </c>
      <c r="DX58" s="24">
        <f>DW58*14.5</f>
        <v>0</v>
      </c>
      <c r="DY58" s="24">
        <f t="shared" si="190"/>
        <v>0</v>
      </c>
      <c r="DZ58" s="24">
        <f>DY58*15</f>
        <v>0</v>
      </c>
      <c r="EA58" s="24">
        <f t="shared" si="191"/>
        <v>0</v>
      </c>
      <c r="EB58" s="24">
        <f>EA58*15.5</f>
        <v>0</v>
      </c>
      <c r="EC58" s="24">
        <f t="shared" si="192"/>
        <v>0</v>
      </c>
      <c r="ED58" s="24">
        <f>EC58*16</f>
        <v>0</v>
      </c>
      <c r="EE58" s="25"/>
    </row>
    <row r="59" spans="1:135" s="2" customFormat="1" ht="18" customHeight="1" x14ac:dyDescent="0.25">
      <c r="A59" s="15">
        <v>56</v>
      </c>
      <c r="B59" s="108">
        <v>318</v>
      </c>
      <c r="C59" s="74" t="s">
        <v>481</v>
      </c>
      <c r="D59" s="90" t="s">
        <v>107</v>
      </c>
      <c r="E59" s="18">
        <v>45736</v>
      </c>
      <c r="F59" s="19">
        <v>11</v>
      </c>
      <c r="G59" s="19">
        <v>11</v>
      </c>
      <c r="H59" s="19">
        <v>11</v>
      </c>
      <c r="I59" s="19">
        <v>11</v>
      </c>
      <c r="J59" s="19" t="s">
        <v>603</v>
      </c>
      <c r="K59" s="19">
        <v>11</v>
      </c>
      <c r="L59" s="19" t="s">
        <v>15</v>
      </c>
      <c r="M59" s="19">
        <v>11</v>
      </c>
      <c r="N59" s="19">
        <v>11</v>
      </c>
      <c r="O59" s="19">
        <v>11</v>
      </c>
      <c r="P59" s="19">
        <v>11</v>
      </c>
      <c r="Q59" s="19">
        <v>11</v>
      </c>
      <c r="R59" s="19">
        <v>11</v>
      </c>
      <c r="S59" s="19" t="s">
        <v>15</v>
      </c>
      <c r="T59" s="19">
        <v>11</v>
      </c>
      <c r="U59" s="19">
        <v>11</v>
      </c>
      <c r="V59" s="19">
        <v>11</v>
      </c>
      <c r="W59" s="19">
        <v>11</v>
      </c>
      <c r="X59" s="19">
        <v>11</v>
      </c>
      <c r="Y59" s="19">
        <v>11</v>
      </c>
      <c r="Z59" s="19" t="s">
        <v>15</v>
      </c>
      <c r="AA59" s="19">
        <v>11</v>
      </c>
      <c r="AB59" s="19">
        <v>11</v>
      </c>
      <c r="AC59" s="19">
        <v>11</v>
      </c>
      <c r="AD59" s="19">
        <v>11</v>
      </c>
      <c r="AE59" s="19">
        <v>11</v>
      </c>
      <c r="AF59" s="19">
        <v>11</v>
      </c>
      <c r="AG59" s="19" t="s">
        <v>15</v>
      </c>
      <c r="AH59" s="19">
        <v>11</v>
      </c>
      <c r="AI59" s="19">
        <v>11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11</v>
      </c>
      <c r="AP59" s="19">
        <v>0</v>
      </c>
      <c r="AQ59" s="19">
        <v>0</v>
      </c>
      <c r="AR59" s="19">
        <v>0</v>
      </c>
      <c r="AS59" s="19">
        <v>0</v>
      </c>
      <c r="AT59" s="19">
        <f>SUM(BT59+BV59+BX59+BZ59+CB59+CD59+CF59+CH59+CJ59+CL59+CN59+CP59+CR59+CT59+CV59+CX59+CZ59+DB59+DD59+DF59+DH59+DJ59+DL59+DN59+DP59+DR59+DT59+DV59+DX59+DZ59+EB59+ED59)</f>
        <v>75</v>
      </c>
      <c r="AU59" s="19">
        <f>SUM(AJ59:AN59)</f>
        <v>0</v>
      </c>
      <c r="AV59" s="19">
        <f>SUM(AO59:AS59)</f>
        <v>11</v>
      </c>
      <c r="AW59" s="16">
        <f t="shared" si="158"/>
        <v>30</v>
      </c>
      <c r="AX59" s="16">
        <f t="shared" si="159"/>
        <v>0</v>
      </c>
      <c r="AY59" s="38">
        <f t="shared" si="160"/>
        <v>0</v>
      </c>
      <c r="AZ59" s="36">
        <v>950</v>
      </c>
      <c r="BA59" s="20">
        <v>100</v>
      </c>
      <c r="BB59" s="21">
        <v>0</v>
      </c>
      <c r="BC59" s="19">
        <f t="shared" si="74"/>
        <v>950</v>
      </c>
      <c r="BD59" s="19">
        <f t="shared" si="75"/>
        <v>100</v>
      </c>
      <c r="BE59" s="19">
        <f t="shared" si="76"/>
        <v>436</v>
      </c>
      <c r="BF59" s="19">
        <f t="shared" si="77"/>
        <v>0</v>
      </c>
      <c r="BG59" s="19">
        <f t="shared" si="78"/>
        <v>0</v>
      </c>
      <c r="BH59" s="19">
        <f t="shared" si="79"/>
        <v>0</v>
      </c>
      <c r="BI59" s="19">
        <v>0</v>
      </c>
      <c r="BJ59" s="19">
        <v>95</v>
      </c>
      <c r="BK59" s="19">
        <f>SUM(BC59:BJ59)</f>
        <v>1581</v>
      </c>
      <c r="BL59" s="19">
        <v>0</v>
      </c>
      <c r="BM59" s="19">
        <v>0</v>
      </c>
      <c r="BN59" s="19">
        <f>BL59+BM59</f>
        <v>0</v>
      </c>
      <c r="BO59" s="19">
        <f>BK59-BN59</f>
        <v>1581</v>
      </c>
      <c r="BP59" s="19">
        <v>0</v>
      </c>
      <c r="BQ59" s="19">
        <v>0</v>
      </c>
      <c r="BR59" s="22">
        <f>SUM(BO59:BP59)-BQ59</f>
        <v>1581</v>
      </c>
      <c r="BS59" s="23">
        <f t="shared" si="161"/>
        <v>0</v>
      </c>
      <c r="BT59" s="24">
        <f>BS59*0.5</f>
        <v>0</v>
      </c>
      <c r="BU59" s="24">
        <f t="shared" si="162"/>
        <v>0</v>
      </c>
      <c r="BV59" s="24">
        <f>BU59*1</f>
        <v>0</v>
      </c>
      <c r="BW59" s="24">
        <f t="shared" si="163"/>
        <v>0</v>
      </c>
      <c r="BX59" s="24">
        <f>BW59*1.5</f>
        <v>0</v>
      </c>
      <c r="BY59" s="24">
        <f t="shared" si="164"/>
        <v>0</v>
      </c>
      <c r="BZ59" s="24">
        <f>BY59*2</f>
        <v>0</v>
      </c>
      <c r="CA59" s="24">
        <f t="shared" si="165"/>
        <v>0</v>
      </c>
      <c r="CB59" s="24">
        <f>CA59*2.5</f>
        <v>0</v>
      </c>
      <c r="CC59" s="24">
        <f t="shared" si="166"/>
        <v>25</v>
      </c>
      <c r="CD59" s="24">
        <f>CC59*3</f>
        <v>75</v>
      </c>
      <c r="CE59" s="24">
        <f t="shared" si="167"/>
        <v>0</v>
      </c>
      <c r="CF59" s="24">
        <f>CE59*3.5</f>
        <v>0</v>
      </c>
      <c r="CG59" s="24">
        <f t="shared" si="168"/>
        <v>0</v>
      </c>
      <c r="CH59" s="24">
        <f>CG59*4</f>
        <v>0</v>
      </c>
      <c r="CI59" s="24">
        <f t="shared" si="169"/>
        <v>0</v>
      </c>
      <c r="CJ59" s="24">
        <f>CI59*4.5</f>
        <v>0</v>
      </c>
      <c r="CK59" s="24">
        <f t="shared" si="170"/>
        <v>0</v>
      </c>
      <c r="CL59" s="24">
        <f>CK59*5</f>
        <v>0</v>
      </c>
      <c r="CM59" s="24">
        <f t="shared" si="171"/>
        <v>0</v>
      </c>
      <c r="CN59" s="24">
        <f>CM59*5.5</f>
        <v>0</v>
      </c>
      <c r="CO59" s="24">
        <f t="shared" si="172"/>
        <v>0</v>
      </c>
      <c r="CP59" s="24">
        <f>CO59*6</f>
        <v>0</v>
      </c>
      <c r="CQ59" s="24">
        <f t="shared" si="173"/>
        <v>0</v>
      </c>
      <c r="CR59" s="24">
        <f>CQ59*6.5</f>
        <v>0</v>
      </c>
      <c r="CS59" s="24">
        <f t="shared" si="174"/>
        <v>0</v>
      </c>
      <c r="CT59" s="24">
        <f>CS59*7</f>
        <v>0</v>
      </c>
      <c r="CU59" s="24">
        <f t="shared" si="175"/>
        <v>0</v>
      </c>
      <c r="CV59" s="24">
        <f>CU59*7.5</f>
        <v>0</v>
      </c>
      <c r="CW59" s="24">
        <f t="shared" si="176"/>
        <v>0</v>
      </c>
      <c r="CX59" s="24">
        <f>CW59*8</f>
        <v>0</v>
      </c>
      <c r="CY59" s="24">
        <f t="shared" si="177"/>
        <v>0</v>
      </c>
      <c r="CZ59" s="24">
        <f>CY59*8.5</f>
        <v>0</v>
      </c>
      <c r="DA59" s="24">
        <f t="shared" si="178"/>
        <v>0</v>
      </c>
      <c r="DB59" s="24">
        <f>DA59*9</f>
        <v>0</v>
      </c>
      <c r="DC59" s="24">
        <f t="shared" si="179"/>
        <v>0</v>
      </c>
      <c r="DD59" s="24">
        <f>DC59*9.5</f>
        <v>0</v>
      </c>
      <c r="DE59" s="24">
        <f t="shared" si="180"/>
        <v>0</v>
      </c>
      <c r="DF59" s="24">
        <f>DE59*10</f>
        <v>0</v>
      </c>
      <c r="DG59" s="24">
        <f t="shared" si="181"/>
        <v>0</v>
      </c>
      <c r="DH59" s="24">
        <f>DG59*10.5</f>
        <v>0</v>
      </c>
      <c r="DI59" s="24">
        <f t="shared" si="182"/>
        <v>0</v>
      </c>
      <c r="DJ59" s="24">
        <f>DI59*11</f>
        <v>0</v>
      </c>
      <c r="DK59" s="24">
        <f t="shared" si="183"/>
        <v>0</v>
      </c>
      <c r="DL59" s="24">
        <f>DK59*11.5</f>
        <v>0</v>
      </c>
      <c r="DM59" s="24">
        <f t="shared" si="184"/>
        <v>0</v>
      </c>
      <c r="DN59" s="24">
        <f>DM59*12</f>
        <v>0</v>
      </c>
      <c r="DO59" s="24">
        <f t="shared" si="185"/>
        <v>0</v>
      </c>
      <c r="DP59" s="24">
        <f>DO59*12.5</f>
        <v>0</v>
      </c>
      <c r="DQ59" s="24">
        <f t="shared" si="186"/>
        <v>0</v>
      </c>
      <c r="DR59" s="24">
        <f>DQ59*13</f>
        <v>0</v>
      </c>
      <c r="DS59" s="24">
        <f t="shared" si="187"/>
        <v>0</v>
      </c>
      <c r="DT59" s="24">
        <f>DS59*13.5</f>
        <v>0</v>
      </c>
      <c r="DU59" s="24">
        <f t="shared" si="188"/>
        <v>0</v>
      </c>
      <c r="DV59" s="24">
        <f>DU59*14</f>
        <v>0</v>
      </c>
      <c r="DW59" s="24">
        <f t="shared" si="189"/>
        <v>0</v>
      </c>
      <c r="DX59" s="24">
        <f>DW59*14.5</f>
        <v>0</v>
      </c>
      <c r="DY59" s="24">
        <f t="shared" si="190"/>
        <v>0</v>
      </c>
      <c r="DZ59" s="24">
        <f>DY59*15</f>
        <v>0</v>
      </c>
      <c r="EA59" s="24">
        <f t="shared" si="191"/>
        <v>0</v>
      </c>
      <c r="EB59" s="24">
        <f>EA59*15.5</f>
        <v>0</v>
      </c>
      <c r="EC59" s="24">
        <f t="shared" si="192"/>
        <v>0</v>
      </c>
      <c r="ED59" s="24">
        <f>EC59*16</f>
        <v>0</v>
      </c>
      <c r="EE59" s="25"/>
    </row>
    <row r="60" spans="1:135" s="2" customFormat="1" ht="18" customHeight="1" x14ac:dyDescent="0.25">
      <c r="A60" s="15">
        <v>57</v>
      </c>
      <c r="B60" s="108" t="s">
        <v>496</v>
      </c>
      <c r="C60" s="74" t="s">
        <v>482</v>
      </c>
      <c r="D60" s="90" t="s">
        <v>107</v>
      </c>
      <c r="E60" s="18">
        <v>45745</v>
      </c>
      <c r="F60" s="19">
        <v>11</v>
      </c>
      <c r="G60" s="19">
        <v>11</v>
      </c>
      <c r="H60" s="19">
        <v>11</v>
      </c>
      <c r="I60" s="19">
        <v>11</v>
      </c>
      <c r="J60" s="19" t="s">
        <v>603</v>
      </c>
      <c r="K60" s="19">
        <v>11</v>
      </c>
      <c r="L60" s="19" t="s">
        <v>15</v>
      </c>
      <c r="M60" s="19">
        <v>11</v>
      </c>
      <c r="N60" s="19">
        <v>11</v>
      </c>
      <c r="O60" s="19">
        <v>11</v>
      </c>
      <c r="P60" s="19">
        <v>11</v>
      </c>
      <c r="Q60" s="19">
        <v>11</v>
      </c>
      <c r="R60" s="19">
        <v>11</v>
      </c>
      <c r="S60" s="19" t="s">
        <v>15</v>
      </c>
      <c r="T60" s="19">
        <v>11</v>
      </c>
      <c r="U60" s="19">
        <v>11</v>
      </c>
      <c r="V60" s="19">
        <v>11</v>
      </c>
      <c r="W60" s="19">
        <v>11</v>
      </c>
      <c r="X60" s="19">
        <v>11</v>
      </c>
      <c r="Y60" s="19">
        <v>11</v>
      </c>
      <c r="Z60" s="19" t="s">
        <v>15</v>
      </c>
      <c r="AA60" s="19">
        <v>11</v>
      </c>
      <c r="AB60" s="19">
        <v>11</v>
      </c>
      <c r="AC60" s="19">
        <v>11</v>
      </c>
      <c r="AD60" s="19">
        <v>11</v>
      </c>
      <c r="AE60" s="19">
        <v>11</v>
      </c>
      <c r="AF60" s="19">
        <v>11</v>
      </c>
      <c r="AG60" s="19" t="s">
        <v>15</v>
      </c>
      <c r="AH60" s="19">
        <v>11</v>
      </c>
      <c r="AI60" s="19">
        <v>11</v>
      </c>
      <c r="AJ60" s="19">
        <v>0</v>
      </c>
      <c r="AK60" s="19">
        <v>0</v>
      </c>
      <c r="AL60" s="19">
        <v>11</v>
      </c>
      <c r="AM60" s="19">
        <v>0</v>
      </c>
      <c r="AN60" s="19">
        <v>0</v>
      </c>
      <c r="AO60" s="19">
        <v>11</v>
      </c>
      <c r="AP60" s="19">
        <v>0</v>
      </c>
      <c r="AQ60" s="19">
        <v>0</v>
      </c>
      <c r="AR60" s="19">
        <v>0</v>
      </c>
      <c r="AS60" s="19">
        <v>0</v>
      </c>
      <c r="AT60" s="19">
        <f t="shared" si="119"/>
        <v>75</v>
      </c>
      <c r="AU60" s="19">
        <f t="shared" si="120"/>
        <v>11</v>
      </c>
      <c r="AV60" s="19">
        <f t="shared" si="193"/>
        <v>11</v>
      </c>
      <c r="AW60" s="16">
        <f t="shared" si="158"/>
        <v>30</v>
      </c>
      <c r="AX60" s="16">
        <f t="shared" si="159"/>
        <v>0</v>
      </c>
      <c r="AY60" s="38">
        <f t="shared" si="160"/>
        <v>0</v>
      </c>
      <c r="AZ60" s="36">
        <v>950</v>
      </c>
      <c r="BA60" s="20">
        <v>100</v>
      </c>
      <c r="BB60" s="21">
        <v>0</v>
      </c>
      <c r="BC60" s="19">
        <f t="shared" si="74"/>
        <v>950</v>
      </c>
      <c r="BD60" s="19">
        <f t="shared" si="75"/>
        <v>100</v>
      </c>
      <c r="BE60" s="19">
        <f t="shared" si="76"/>
        <v>502</v>
      </c>
      <c r="BF60" s="19">
        <f t="shared" si="77"/>
        <v>0</v>
      </c>
      <c r="BG60" s="19">
        <f t="shared" si="78"/>
        <v>0</v>
      </c>
      <c r="BH60" s="19">
        <f t="shared" si="79"/>
        <v>0</v>
      </c>
      <c r="BI60" s="19">
        <v>0</v>
      </c>
      <c r="BJ60" s="19">
        <v>95</v>
      </c>
      <c r="BK60" s="19">
        <f t="shared" si="122"/>
        <v>1647</v>
      </c>
      <c r="BL60" s="19">
        <v>0</v>
      </c>
      <c r="BM60" s="19">
        <v>0</v>
      </c>
      <c r="BN60" s="19">
        <f t="shared" si="123"/>
        <v>0</v>
      </c>
      <c r="BO60" s="19">
        <f t="shared" si="124"/>
        <v>1647</v>
      </c>
      <c r="BP60" s="19">
        <v>0</v>
      </c>
      <c r="BQ60" s="19">
        <v>0</v>
      </c>
      <c r="BR60" s="22">
        <f t="shared" si="125"/>
        <v>1647</v>
      </c>
      <c r="BS60" s="23">
        <f t="shared" si="161"/>
        <v>0</v>
      </c>
      <c r="BT60" s="24">
        <f t="shared" si="194"/>
        <v>0</v>
      </c>
      <c r="BU60" s="24">
        <f t="shared" si="162"/>
        <v>0</v>
      </c>
      <c r="BV60" s="24">
        <f t="shared" si="195"/>
        <v>0</v>
      </c>
      <c r="BW60" s="24">
        <f t="shared" si="163"/>
        <v>0</v>
      </c>
      <c r="BX60" s="24">
        <f t="shared" si="196"/>
        <v>0</v>
      </c>
      <c r="BY60" s="24">
        <f t="shared" si="164"/>
        <v>0</v>
      </c>
      <c r="BZ60" s="24">
        <f t="shared" si="197"/>
        <v>0</v>
      </c>
      <c r="CA60" s="24">
        <f t="shared" si="165"/>
        <v>0</v>
      </c>
      <c r="CB60" s="24">
        <f t="shared" si="198"/>
        <v>0</v>
      </c>
      <c r="CC60" s="24">
        <f t="shared" si="166"/>
        <v>25</v>
      </c>
      <c r="CD60" s="24">
        <f t="shared" si="199"/>
        <v>75</v>
      </c>
      <c r="CE60" s="24">
        <f t="shared" si="167"/>
        <v>0</v>
      </c>
      <c r="CF60" s="24">
        <f t="shared" si="200"/>
        <v>0</v>
      </c>
      <c r="CG60" s="24">
        <f t="shared" si="168"/>
        <v>0</v>
      </c>
      <c r="CH60" s="24">
        <f t="shared" si="201"/>
        <v>0</v>
      </c>
      <c r="CI60" s="24">
        <f t="shared" si="169"/>
        <v>0</v>
      </c>
      <c r="CJ60" s="24">
        <f t="shared" si="202"/>
        <v>0</v>
      </c>
      <c r="CK60" s="24">
        <f t="shared" si="170"/>
        <v>0</v>
      </c>
      <c r="CL60" s="24">
        <f t="shared" si="203"/>
        <v>0</v>
      </c>
      <c r="CM60" s="24">
        <f t="shared" si="171"/>
        <v>0</v>
      </c>
      <c r="CN60" s="24">
        <f t="shared" si="204"/>
        <v>0</v>
      </c>
      <c r="CO60" s="24">
        <f t="shared" si="172"/>
        <v>0</v>
      </c>
      <c r="CP60" s="24">
        <f t="shared" si="205"/>
        <v>0</v>
      </c>
      <c r="CQ60" s="24">
        <f t="shared" si="173"/>
        <v>0</v>
      </c>
      <c r="CR60" s="24">
        <f t="shared" si="206"/>
        <v>0</v>
      </c>
      <c r="CS60" s="24">
        <f t="shared" si="174"/>
        <v>0</v>
      </c>
      <c r="CT60" s="24">
        <f t="shared" si="207"/>
        <v>0</v>
      </c>
      <c r="CU60" s="24">
        <f t="shared" si="175"/>
        <v>0</v>
      </c>
      <c r="CV60" s="24">
        <f t="shared" si="208"/>
        <v>0</v>
      </c>
      <c r="CW60" s="24">
        <f t="shared" si="176"/>
        <v>0</v>
      </c>
      <c r="CX60" s="24">
        <f t="shared" si="209"/>
        <v>0</v>
      </c>
      <c r="CY60" s="24">
        <f t="shared" si="177"/>
        <v>0</v>
      </c>
      <c r="CZ60" s="24">
        <f t="shared" si="210"/>
        <v>0</v>
      </c>
      <c r="DA60" s="24">
        <f t="shared" si="178"/>
        <v>0</v>
      </c>
      <c r="DB60" s="24">
        <f t="shared" si="211"/>
        <v>0</v>
      </c>
      <c r="DC60" s="24">
        <f t="shared" si="179"/>
        <v>0</v>
      </c>
      <c r="DD60" s="24">
        <f t="shared" si="212"/>
        <v>0</v>
      </c>
      <c r="DE60" s="24">
        <f t="shared" si="180"/>
        <v>0</v>
      </c>
      <c r="DF60" s="24">
        <f t="shared" si="213"/>
        <v>0</v>
      </c>
      <c r="DG60" s="24">
        <f t="shared" si="181"/>
        <v>0</v>
      </c>
      <c r="DH60" s="24">
        <f t="shared" si="214"/>
        <v>0</v>
      </c>
      <c r="DI60" s="24">
        <f t="shared" si="182"/>
        <v>0</v>
      </c>
      <c r="DJ60" s="24">
        <f t="shared" si="215"/>
        <v>0</v>
      </c>
      <c r="DK60" s="24">
        <f t="shared" si="183"/>
        <v>0</v>
      </c>
      <c r="DL60" s="24">
        <f t="shared" si="216"/>
        <v>0</v>
      </c>
      <c r="DM60" s="24">
        <f t="shared" si="184"/>
        <v>0</v>
      </c>
      <c r="DN60" s="24">
        <f t="shared" si="217"/>
        <v>0</v>
      </c>
      <c r="DO60" s="24">
        <f t="shared" si="185"/>
        <v>0</v>
      </c>
      <c r="DP60" s="24">
        <f t="shared" si="218"/>
        <v>0</v>
      </c>
      <c r="DQ60" s="24">
        <f t="shared" si="186"/>
        <v>0</v>
      </c>
      <c r="DR60" s="24">
        <f t="shared" si="219"/>
        <v>0</v>
      </c>
      <c r="DS60" s="24">
        <f t="shared" si="187"/>
        <v>0</v>
      </c>
      <c r="DT60" s="24">
        <f t="shared" si="220"/>
        <v>0</v>
      </c>
      <c r="DU60" s="24">
        <f t="shared" si="188"/>
        <v>0</v>
      </c>
      <c r="DV60" s="24">
        <f t="shared" si="221"/>
        <v>0</v>
      </c>
      <c r="DW60" s="24">
        <f t="shared" si="189"/>
        <v>0</v>
      </c>
      <c r="DX60" s="24">
        <f t="shared" si="222"/>
        <v>0</v>
      </c>
      <c r="DY60" s="24">
        <f t="shared" si="190"/>
        <v>0</v>
      </c>
      <c r="DZ60" s="24">
        <f t="shared" si="223"/>
        <v>0</v>
      </c>
      <c r="EA60" s="24">
        <f t="shared" si="191"/>
        <v>0</v>
      </c>
      <c r="EB60" s="24">
        <f t="shared" si="224"/>
        <v>0</v>
      </c>
      <c r="EC60" s="24">
        <f t="shared" si="192"/>
        <v>0</v>
      </c>
      <c r="ED60" s="24">
        <f t="shared" si="225"/>
        <v>0</v>
      </c>
      <c r="EE60" s="25"/>
    </row>
    <row r="61" spans="1:135" s="2" customFormat="1" ht="18" customHeight="1" x14ac:dyDescent="0.25">
      <c r="A61" s="15">
        <v>58</v>
      </c>
      <c r="B61" s="108" t="s">
        <v>497</v>
      </c>
      <c r="C61" s="74" t="s">
        <v>500</v>
      </c>
      <c r="D61" s="90" t="s">
        <v>107</v>
      </c>
      <c r="E61" s="18">
        <v>45763</v>
      </c>
      <c r="F61" s="19">
        <v>10</v>
      </c>
      <c r="G61" s="19">
        <v>10</v>
      </c>
      <c r="H61" s="19">
        <v>10</v>
      </c>
      <c r="I61" s="19">
        <v>8</v>
      </c>
      <c r="J61" s="19" t="s">
        <v>603</v>
      </c>
      <c r="K61" s="19">
        <v>8</v>
      </c>
      <c r="L61" s="19" t="s">
        <v>15</v>
      </c>
      <c r="M61" s="19">
        <v>9</v>
      </c>
      <c r="N61" s="19">
        <v>10</v>
      </c>
      <c r="O61" s="19">
        <v>10</v>
      </c>
      <c r="P61" s="19">
        <v>10</v>
      </c>
      <c r="Q61" s="19">
        <v>10</v>
      </c>
      <c r="R61" s="19">
        <v>10</v>
      </c>
      <c r="S61" s="19" t="s">
        <v>15</v>
      </c>
      <c r="T61" s="19">
        <v>10</v>
      </c>
      <c r="U61" s="19">
        <v>10</v>
      </c>
      <c r="V61" s="19">
        <v>10</v>
      </c>
      <c r="W61" s="19">
        <v>10</v>
      </c>
      <c r="X61" s="19">
        <v>10</v>
      </c>
      <c r="Y61" s="19">
        <v>10</v>
      </c>
      <c r="Z61" s="19" t="s">
        <v>15</v>
      </c>
      <c r="AA61" s="19">
        <v>10</v>
      </c>
      <c r="AB61" s="19">
        <v>10</v>
      </c>
      <c r="AC61" s="19">
        <v>10</v>
      </c>
      <c r="AD61" s="19">
        <v>10</v>
      </c>
      <c r="AE61" s="19">
        <v>10</v>
      </c>
      <c r="AF61" s="19">
        <v>10</v>
      </c>
      <c r="AG61" s="19" t="s">
        <v>15</v>
      </c>
      <c r="AH61" s="19">
        <v>10</v>
      </c>
      <c r="AI61" s="19">
        <v>10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f t="shared" si="119"/>
        <v>45</v>
      </c>
      <c r="AU61" s="19">
        <f t="shared" si="120"/>
        <v>0</v>
      </c>
      <c r="AV61" s="19">
        <f t="shared" si="193"/>
        <v>0</v>
      </c>
      <c r="AW61" s="16">
        <f t="shared" si="158"/>
        <v>30</v>
      </c>
      <c r="AX61" s="16">
        <f t="shared" si="159"/>
        <v>0</v>
      </c>
      <c r="AY61" s="38">
        <f t="shared" si="160"/>
        <v>0</v>
      </c>
      <c r="AZ61" s="36">
        <v>950</v>
      </c>
      <c r="BA61" s="20">
        <v>100</v>
      </c>
      <c r="BB61" s="21">
        <v>0</v>
      </c>
      <c r="BC61" s="19">
        <f t="shared" si="74"/>
        <v>950</v>
      </c>
      <c r="BD61" s="19">
        <f t="shared" si="75"/>
        <v>100</v>
      </c>
      <c r="BE61" s="19">
        <f t="shared" si="76"/>
        <v>223</v>
      </c>
      <c r="BF61" s="19">
        <f t="shared" si="77"/>
        <v>0</v>
      </c>
      <c r="BG61" s="19">
        <f t="shared" si="78"/>
        <v>0</v>
      </c>
      <c r="BH61" s="19">
        <f t="shared" si="79"/>
        <v>0</v>
      </c>
      <c r="BI61" s="19">
        <v>0</v>
      </c>
      <c r="BJ61" s="19">
        <v>95</v>
      </c>
      <c r="BK61" s="19">
        <f t="shared" si="122"/>
        <v>1368</v>
      </c>
      <c r="BL61" s="19">
        <v>0</v>
      </c>
      <c r="BM61" s="19">
        <v>0</v>
      </c>
      <c r="BN61" s="19">
        <f t="shared" si="123"/>
        <v>0</v>
      </c>
      <c r="BO61" s="19">
        <f t="shared" si="124"/>
        <v>1368</v>
      </c>
      <c r="BP61" s="19">
        <v>0</v>
      </c>
      <c r="BQ61" s="19">
        <v>0</v>
      </c>
      <c r="BR61" s="22">
        <f t="shared" si="125"/>
        <v>1368</v>
      </c>
      <c r="BS61" s="23">
        <f t="shared" si="161"/>
        <v>0</v>
      </c>
      <c r="BT61" s="24">
        <f t="shared" si="194"/>
        <v>0</v>
      </c>
      <c r="BU61" s="24">
        <f t="shared" si="162"/>
        <v>1</v>
      </c>
      <c r="BV61" s="24">
        <f t="shared" si="195"/>
        <v>1</v>
      </c>
      <c r="BW61" s="24">
        <f t="shared" si="163"/>
        <v>0</v>
      </c>
      <c r="BX61" s="24">
        <f t="shared" si="196"/>
        <v>0</v>
      </c>
      <c r="BY61" s="24">
        <f t="shared" si="164"/>
        <v>22</v>
      </c>
      <c r="BZ61" s="24">
        <f t="shared" si="197"/>
        <v>44</v>
      </c>
      <c r="CA61" s="24">
        <f t="shared" si="165"/>
        <v>0</v>
      </c>
      <c r="CB61" s="24">
        <f t="shared" si="198"/>
        <v>0</v>
      </c>
      <c r="CC61" s="24">
        <f t="shared" si="166"/>
        <v>0</v>
      </c>
      <c r="CD61" s="24">
        <f t="shared" si="199"/>
        <v>0</v>
      </c>
      <c r="CE61" s="24">
        <f t="shared" si="167"/>
        <v>0</v>
      </c>
      <c r="CF61" s="24">
        <f t="shared" si="200"/>
        <v>0</v>
      </c>
      <c r="CG61" s="24">
        <f t="shared" si="168"/>
        <v>0</v>
      </c>
      <c r="CH61" s="24">
        <f t="shared" si="201"/>
        <v>0</v>
      </c>
      <c r="CI61" s="24">
        <f t="shared" si="169"/>
        <v>0</v>
      </c>
      <c r="CJ61" s="24">
        <f t="shared" si="202"/>
        <v>0</v>
      </c>
      <c r="CK61" s="24">
        <f t="shared" si="170"/>
        <v>0</v>
      </c>
      <c r="CL61" s="24">
        <f t="shared" si="203"/>
        <v>0</v>
      </c>
      <c r="CM61" s="24">
        <f t="shared" si="171"/>
        <v>0</v>
      </c>
      <c r="CN61" s="24">
        <f t="shared" si="204"/>
        <v>0</v>
      </c>
      <c r="CO61" s="24">
        <f t="shared" si="172"/>
        <v>0</v>
      </c>
      <c r="CP61" s="24">
        <f t="shared" si="205"/>
        <v>0</v>
      </c>
      <c r="CQ61" s="24">
        <f t="shared" si="173"/>
        <v>0</v>
      </c>
      <c r="CR61" s="24">
        <f t="shared" si="206"/>
        <v>0</v>
      </c>
      <c r="CS61" s="24">
        <f t="shared" si="174"/>
        <v>0</v>
      </c>
      <c r="CT61" s="24">
        <f t="shared" si="207"/>
        <v>0</v>
      </c>
      <c r="CU61" s="24">
        <f t="shared" si="175"/>
        <v>0</v>
      </c>
      <c r="CV61" s="24">
        <f t="shared" si="208"/>
        <v>0</v>
      </c>
      <c r="CW61" s="24">
        <f t="shared" si="176"/>
        <v>0</v>
      </c>
      <c r="CX61" s="24">
        <f t="shared" si="209"/>
        <v>0</v>
      </c>
      <c r="CY61" s="24">
        <f t="shared" si="177"/>
        <v>0</v>
      </c>
      <c r="CZ61" s="24">
        <f t="shared" si="210"/>
        <v>0</v>
      </c>
      <c r="DA61" s="24">
        <f t="shared" si="178"/>
        <v>0</v>
      </c>
      <c r="DB61" s="24">
        <f t="shared" si="211"/>
        <v>0</v>
      </c>
      <c r="DC61" s="24">
        <f t="shared" si="179"/>
        <v>0</v>
      </c>
      <c r="DD61" s="24">
        <f t="shared" si="212"/>
        <v>0</v>
      </c>
      <c r="DE61" s="24">
        <f t="shared" si="180"/>
        <v>0</v>
      </c>
      <c r="DF61" s="24">
        <f t="shared" si="213"/>
        <v>0</v>
      </c>
      <c r="DG61" s="24">
        <f t="shared" si="181"/>
        <v>0</v>
      </c>
      <c r="DH61" s="24">
        <f t="shared" si="214"/>
        <v>0</v>
      </c>
      <c r="DI61" s="24">
        <f t="shared" si="182"/>
        <v>0</v>
      </c>
      <c r="DJ61" s="24">
        <f t="shared" si="215"/>
        <v>0</v>
      </c>
      <c r="DK61" s="24">
        <f t="shared" si="183"/>
        <v>0</v>
      </c>
      <c r="DL61" s="24">
        <f t="shared" si="216"/>
        <v>0</v>
      </c>
      <c r="DM61" s="24">
        <f t="shared" si="184"/>
        <v>0</v>
      </c>
      <c r="DN61" s="24">
        <f t="shared" si="217"/>
        <v>0</v>
      </c>
      <c r="DO61" s="24">
        <f t="shared" si="185"/>
        <v>0</v>
      </c>
      <c r="DP61" s="24">
        <f t="shared" si="218"/>
        <v>0</v>
      </c>
      <c r="DQ61" s="24">
        <f t="shared" si="186"/>
        <v>0</v>
      </c>
      <c r="DR61" s="24">
        <f t="shared" si="219"/>
        <v>0</v>
      </c>
      <c r="DS61" s="24">
        <f t="shared" si="187"/>
        <v>0</v>
      </c>
      <c r="DT61" s="24">
        <f t="shared" si="220"/>
        <v>0</v>
      </c>
      <c r="DU61" s="24">
        <f t="shared" si="188"/>
        <v>0</v>
      </c>
      <c r="DV61" s="24">
        <f t="shared" si="221"/>
        <v>0</v>
      </c>
      <c r="DW61" s="24">
        <f t="shared" si="189"/>
        <v>0</v>
      </c>
      <c r="DX61" s="24">
        <f t="shared" si="222"/>
        <v>0</v>
      </c>
      <c r="DY61" s="24">
        <f t="shared" si="190"/>
        <v>0</v>
      </c>
      <c r="DZ61" s="24">
        <f t="shared" si="223"/>
        <v>0</v>
      </c>
      <c r="EA61" s="24">
        <f t="shared" si="191"/>
        <v>0</v>
      </c>
      <c r="EB61" s="24">
        <f t="shared" si="224"/>
        <v>0</v>
      </c>
      <c r="EC61" s="24">
        <f t="shared" si="192"/>
        <v>0</v>
      </c>
      <c r="ED61" s="24">
        <f t="shared" si="225"/>
        <v>0</v>
      </c>
      <c r="EE61" s="25"/>
    </row>
    <row r="62" spans="1:135" s="2" customFormat="1" ht="18" customHeight="1" x14ac:dyDescent="0.25">
      <c r="A62" s="15">
        <v>59</v>
      </c>
      <c r="B62" s="108" t="s">
        <v>498</v>
      </c>
      <c r="C62" s="74" t="s">
        <v>501</v>
      </c>
      <c r="D62" s="90" t="s">
        <v>107</v>
      </c>
      <c r="E62" s="18">
        <v>45767</v>
      </c>
      <c r="F62" s="19">
        <v>11</v>
      </c>
      <c r="G62" s="19">
        <v>11</v>
      </c>
      <c r="H62" s="19">
        <v>11</v>
      </c>
      <c r="I62" s="19">
        <v>11</v>
      </c>
      <c r="J62" s="19" t="s">
        <v>603</v>
      </c>
      <c r="K62" s="19">
        <v>11</v>
      </c>
      <c r="L62" s="19" t="s">
        <v>15</v>
      </c>
      <c r="M62" s="19">
        <v>11</v>
      </c>
      <c r="N62" s="19">
        <v>11</v>
      </c>
      <c r="O62" s="19">
        <v>11</v>
      </c>
      <c r="P62" s="19">
        <v>11</v>
      </c>
      <c r="Q62" s="19">
        <v>11</v>
      </c>
      <c r="R62" s="19">
        <v>11</v>
      </c>
      <c r="S62" s="19" t="s">
        <v>15</v>
      </c>
      <c r="T62" s="19">
        <v>11</v>
      </c>
      <c r="U62" s="19">
        <v>11</v>
      </c>
      <c r="V62" s="19">
        <v>11</v>
      </c>
      <c r="W62" s="19">
        <v>11</v>
      </c>
      <c r="X62" s="19">
        <v>11</v>
      </c>
      <c r="Y62" s="19">
        <v>11</v>
      </c>
      <c r="Z62" s="19" t="s">
        <v>15</v>
      </c>
      <c r="AA62" s="19">
        <v>11</v>
      </c>
      <c r="AB62" s="19">
        <v>11</v>
      </c>
      <c r="AC62" s="19">
        <v>11</v>
      </c>
      <c r="AD62" s="19">
        <v>11</v>
      </c>
      <c r="AE62" s="19">
        <v>11</v>
      </c>
      <c r="AF62" s="19">
        <v>11</v>
      </c>
      <c r="AG62" s="19" t="s">
        <v>15</v>
      </c>
      <c r="AH62" s="19">
        <v>11</v>
      </c>
      <c r="AI62" s="19">
        <v>11</v>
      </c>
      <c r="AJ62" s="19">
        <v>0</v>
      </c>
      <c r="AK62" s="19">
        <v>0</v>
      </c>
      <c r="AL62" s="19">
        <v>0</v>
      </c>
      <c r="AM62" s="19">
        <v>11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f t="shared" si="119"/>
        <v>75</v>
      </c>
      <c r="AU62" s="19">
        <f t="shared" si="120"/>
        <v>11</v>
      </c>
      <c r="AV62" s="19">
        <f t="shared" ref="AV62:AV70" si="226">SUM(AO62:AS62)</f>
        <v>0</v>
      </c>
      <c r="AW62" s="16">
        <f t="shared" ref="AW62:AW94" si="227">COUNTIF(F62:AI62,"8")+COUNTIF(F62:AI62,"8.5")+COUNTIF(F62:AI62,"9")+COUNTIF(F62:AI62,"9.5")+COUNTIF(F62:AI62,"10")+COUNTIF(F62:AI62,"10.5")+COUNTIF(F62:AI62,"11")+COUNTIF(F62:AI62,"11.5")+COUNTIF(F62:AI62,"12")+COUNTIF(F62:AI62,"12.5")+COUNTIF(F62:AI62,"13")+COUNTIF(F62:AI62,"13.5")+COUNTIF(F62:AI62,"14")+COUNTIF(F62:AI62,"14.5")+COUNTIF(F62:AI62,"15")+COUNTIF(F62:AI62,"15.5")+COUNTIF(F62:AI62,"16")+COUNTIF(F62:AI62,"16.5")+COUNTIF(F62:AI62,"17")+COUNTIF(F62:AI62,"17.5")+COUNTIF(F62:AI62,"18")+COUNTIF(F62:AI62,"18.5")+COUNTIF(F62:AI62,"19")+COUNTIF(F62:AI62,"19.5")+COUNTIF(F62:AI62,"20")+COUNTIF(F62:AI62,"20.5")+COUNTIF(F62:AI62,"21")+COUNTIF(F62:AI62,"21.5")+COUNTIF(F62:AI62,"22")+COUNTIF(F62:AI62,"22.5")+COUNTIF(F62:AI62,"23")+COUNTIF(F62:AI62,"23.5")+COUNTIF(F62:AI62,"24")+COUNTIF(F62:AI62,"S")+COUNTIF(F62:AI62,"PH")+COUNTIF(F62:AI62,"ML")+COUNTIF(F62:AI62,"OD")</f>
        <v>30</v>
      </c>
      <c r="AX62" s="16">
        <f t="shared" ref="AX62:AX94" si="228">COUNTIF(F62:AI62,"A")</f>
        <v>0</v>
      </c>
      <c r="AY62" s="38">
        <f t="shared" ref="AY62:AY94" si="229">COUNTIF(F62:AI62,"ID")</f>
        <v>0</v>
      </c>
      <c r="AZ62" s="36">
        <v>900</v>
      </c>
      <c r="BA62" s="20">
        <v>100</v>
      </c>
      <c r="BB62" s="21">
        <v>0</v>
      </c>
      <c r="BC62" s="19">
        <f t="shared" si="74"/>
        <v>900</v>
      </c>
      <c r="BD62" s="19">
        <f t="shared" si="75"/>
        <v>100</v>
      </c>
      <c r="BE62" s="19">
        <f t="shared" si="76"/>
        <v>413</v>
      </c>
      <c r="BF62" s="19">
        <f t="shared" si="77"/>
        <v>0</v>
      </c>
      <c r="BG62" s="19">
        <f t="shared" si="78"/>
        <v>0</v>
      </c>
      <c r="BH62" s="19">
        <f t="shared" si="79"/>
        <v>0</v>
      </c>
      <c r="BI62" s="19">
        <v>0</v>
      </c>
      <c r="BJ62" s="19">
        <v>95</v>
      </c>
      <c r="BK62" s="19">
        <f t="shared" si="122"/>
        <v>1508</v>
      </c>
      <c r="BL62" s="19">
        <v>0</v>
      </c>
      <c r="BM62" s="19">
        <v>0</v>
      </c>
      <c r="BN62" s="19">
        <f t="shared" si="123"/>
        <v>0</v>
      </c>
      <c r="BO62" s="19">
        <f t="shared" si="124"/>
        <v>1508</v>
      </c>
      <c r="BP62" s="19">
        <v>0</v>
      </c>
      <c r="BQ62" s="19">
        <v>0</v>
      </c>
      <c r="BR62" s="22">
        <f t="shared" si="125"/>
        <v>1508</v>
      </c>
      <c r="BS62" s="23">
        <f t="shared" ref="BS62:BS94" si="230">COUNTIF(F62:AI62, "8.5")</f>
        <v>0</v>
      </c>
      <c r="BT62" s="24">
        <f t="shared" ref="BT62:BT70" si="231">BS62*0.5</f>
        <v>0</v>
      </c>
      <c r="BU62" s="24">
        <f t="shared" ref="BU62:BU94" si="232">COUNTIF(F62:AI62, "9")</f>
        <v>0</v>
      </c>
      <c r="BV62" s="24">
        <f t="shared" ref="BV62:BV70" si="233">BU62*1</f>
        <v>0</v>
      </c>
      <c r="BW62" s="24">
        <f t="shared" ref="BW62:BW94" si="234">COUNTIF(F62:AI62, "9.5")</f>
        <v>0</v>
      </c>
      <c r="BX62" s="24">
        <f t="shared" ref="BX62:BX70" si="235">BW62*1.5</f>
        <v>0</v>
      </c>
      <c r="BY62" s="24">
        <f t="shared" ref="BY62:BY94" si="236">COUNTIF(F62:AI62, "10")</f>
        <v>0</v>
      </c>
      <c r="BZ62" s="24">
        <f t="shared" ref="BZ62:BZ70" si="237">BY62*2</f>
        <v>0</v>
      </c>
      <c r="CA62" s="24">
        <f t="shared" ref="CA62:CA94" si="238">COUNTIF(F62:AI62, "10.5")</f>
        <v>0</v>
      </c>
      <c r="CB62" s="24">
        <f t="shared" ref="CB62:CB70" si="239">CA62*2.5</f>
        <v>0</v>
      </c>
      <c r="CC62" s="24">
        <f t="shared" ref="CC62:CC94" si="240">COUNTIF(F62:AI62, "11")</f>
        <v>25</v>
      </c>
      <c r="CD62" s="24">
        <f t="shared" ref="CD62:CD70" si="241">CC62*3</f>
        <v>75</v>
      </c>
      <c r="CE62" s="24">
        <f t="shared" ref="CE62:CE94" si="242">COUNTIF(F62:AI62, "11.5")</f>
        <v>0</v>
      </c>
      <c r="CF62" s="24">
        <f t="shared" ref="CF62:CF70" si="243">CE62*3.5</f>
        <v>0</v>
      </c>
      <c r="CG62" s="24">
        <f t="shared" ref="CG62:CG94" si="244">COUNTIF(F62:AI62, "12")</f>
        <v>0</v>
      </c>
      <c r="CH62" s="24">
        <f t="shared" ref="CH62:CH70" si="245">CG62*4</f>
        <v>0</v>
      </c>
      <c r="CI62" s="24">
        <f t="shared" ref="CI62:CI94" si="246">COUNTIF(F62:AI62, "12.5")</f>
        <v>0</v>
      </c>
      <c r="CJ62" s="24">
        <f t="shared" ref="CJ62:CJ70" si="247">CI62*4.5</f>
        <v>0</v>
      </c>
      <c r="CK62" s="24">
        <f t="shared" ref="CK62:CK94" si="248">COUNTIF(F62:AI62, "13")</f>
        <v>0</v>
      </c>
      <c r="CL62" s="24">
        <f t="shared" ref="CL62:CL70" si="249">CK62*5</f>
        <v>0</v>
      </c>
      <c r="CM62" s="24">
        <f t="shared" ref="CM62:CM94" si="250">COUNTIF(F62:AI62, "13.5")</f>
        <v>0</v>
      </c>
      <c r="CN62" s="24">
        <f t="shared" ref="CN62:CN70" si="251">CM62*5.5</f>
        <v>0</v>
      </c>
      <c r="CO62" s="24">
        <f t="shared" ref="CO62:CO94" si="252">COUNTIF(F62:AI62, "14")</f>
        <v>0</v>
      </c>
      <c r="CP62" s="24">
        <f t="shared" ref="CP62:CP70" si="253">CO62*6</f>
        <v>0</v>
      </c>
      <c r="CQ62" s="24">
        <f t="shared" ref="CQ62:CQ94" si="254">COUNTIF(F62:AI62, "14.5")</f>
        <v>0</v>
      </c>
      <c r="CR62" s="24">
        <f t="shared" ref="CR62:CR70" si="255">CQ62*6.5</f>
        <v>0</v>
      </c>
      <c r="CS62" s="24">
        <f t="shared" ref="CS62:CS94" si="256">COUNTIF(F62:AI62, "15")</f>
        <v>0</v>
      </c>
      <c r="CT62" s="24">
        <f t="shared" ref="CT62:CT70" si="257">CS62*7</f>
        <v>0</v>
      </c>
      <c r="CU62" s="24">
        <f t="shared" ref="CU62:CU94" si="258">COUNTIF(F62:AI62, "15.5")</f>
        <v>0</v>
      </c>
      <c r="CV62" s="24">
        <f t="shared" ref="CV62:CV70" si="259">CU62*7.5</f>
        <v>0</v>
      </c>
      <c r="CW62" s="24">
        <f t="shared" ref="CW62:CW94" si="260">COUNTIF(F62:AI62, "16")</f>
        <v>0</v>
      </c>
      <c r="CX62" s="24">
        <f t="shared" ref="CX62:CX70" si="261">CW62*8</f>
        <v>0</v>
      </c>
      <c r="CY62" s="24">
        <f t="shared" ref="CY62:CY94" si="262">COUNTIF(F62:AI62, "16.5")</f>
        <v>0</v>
      </c>
      <c r="CZ62" s="24">
        <f t="shared" ref="CZ62:CZ70" si="263">CY62*8.5</f>
        <v>0</v>
      </c>
      <c r="DA62" s="24">
        <f t="shared" ref="DA62:DA94" si="264">COUNTIF(F62:AI62, "17")</f>
        <v>0</v>
      </c>
      <c r="DB62" s="24">
        <f t="shared" ref="DB62:DB70" si="265">DA62*9</f>
        <v>0</v>
      </c>
      <c r="DC62" s="24">
        <f t="shared" ref="DC62:DC94" si="266">COUNTIF(F62:AI62, "17.5")</f>
        <v>0</v>
      </c>
      <c r="DD62" s="24">
        <f t="shared" ref="DD62:DD70" si="267">DC62*9.5</f>
        <v>0</v>
      </c>
      <c r="DE62" s="24">
        <f t="shared" ref="DE62:DE94" si="268">COUNTIF(F62:AI62, "18")</f>
        <v>0</v>
      </c>
      <c r="DF62" s="24">
        <f t="shared" ref="DF62:DF70" si="269">DE62*10</f>
        <v>0</v>
      </c>
      <c r="DG62" s="24">
        <f t="shared" ref="DG62:DG94" si="270">COUNTIF(F62:AI62, "18.5")</f>
        <v>0</v>
      </c>
      <c r="DH62" s="24">
        <f t="shared" ref="DH62:DH70" si="271">DG62*10.5</f>
        <v>0</v>
      </c>
      <c r="DI62" s="24">
        <f t="shared" ref="DI62:DI94" si="272">COUNTIF(F62:AI62, "19")</f>
        <v>0</v>
      </c>
      <c r="DJ62" s="24">
        <f t="shared" ref="DJ62:DJ70" si="273">DI62*11</f>
        <v>0</v>
      </c>
      <c r="DK62" s="24">
        <f t="shared" ref="DK62:DK94" si="274">COUNTIF(F62:AI62, "19.5")</f>
        <v>0</v>
      </c>
      <c r="DL62" s="24">
        <f t="shared" ref="DL62:DL70" si="275">DK62*11.5</f>
        <v>0</v>
      </c>
      <c r="DM62" s="24">
        <f t="shared" ref="DM62:DM94" si="276">COUNTIF(F62:AI62, "20")</f>
        <v>0</v>
      </c>
      <c r="DN62" s="24">
        <f t="shared" ref="DN62:DN70" si="277">DM62*12</f>
        <v>0</v>
      </c>
      <c r="DO62" s="24">
        <f t="shared" ref="DO62:DO94" si="278">COUNTIF(F62:AI62, "20.5")</f>
        <v>0</v>
      </c>
      <c r="DP62" s="24">
        <f t="shared" ref="DP62:DP70" si="279">DO62*12.5</f>
        <v>0</v>
      </c>
      <c r="DQ62" s="24">
        <f t="shared" ref="DQ62:DQ94" si="280">COUNTIF(F62:AI62, "21")</f>
        <v>0</v>
      </c>
      <c r="DR62" s="24">
        <f t="shared" ref="DR62:DR70" si="281">DQ62*13</f>
        <v>0</v>
      </c>
      <c r="DS62" s="24">
        <f t="shared" ref="DS62:DS94" si="282">COUNTIF(F62:AI62, "21.5")</f>
        <v>0</v>
      </c>
      <c r="DT62" s="24">
        <f t="shared" ref="DT62:DT70" si="283">DS62*13.5</f>
        <v>0</v>
      </c>
      <c r="DU62" s="24">
        <f t="shared" ref="DU62:DU94" si="284">COUNTIF(F62:AI62, "22")</f>
        <v>0</v>
      </c>
      <c r="DV62" s="24">
        <f t="shared" ref="DV62:DV70" si="285">DU62*14</f>
        <v>0</v>
      </c>
      <c r="DW62" s="24">
        <f t="shared" ref="DW62:DW94" si="286">COUNTIF(F62:AI62, "22.5")</f>
        <v>0</v>
      </c>
      <c r="DX62" s="24">
        <f t="shared" ref="DX62:DX70" si="287">DW62*14.5</f>
        <v>0</v>
      </c>
      <c r="DY62" s="24">
        <f t="shared" ref="DY62:DY94" si="288">COUNTIF(F62:AI62, "23")</f>
        <v>0</v>
      </c>
      <c r="DZ62" s="24">
        <f t="shared" ref="DZ62:DZ70" si="289">DY62*15</f>
        <v>0</v>
      </c>
      <c r="EA62" s="24">
        <f t="shared" ref="EA62:EA94" si="290">COUNTIF(F62:AI62, "23.5")</f>
        <v>0</v>
      </c>
      <c r="EB62" s="24">
        <f t="shared" ref="EB62:EB70" si="291">EA62*15.5</f>
        <v>0</v>
      </c>
      <c r="EC62" s="24">
        <f t="shared" ref="EC62:EC94" si="292">COUNTIF(F62:AI62, "24")</f>
        <v>0</v>
      </c>
      <c r="ED62" s="24">
        <f t="shared" ref="ED62:ED70" si="293">EC62*16</f>
        <v>0</v>
      </c>
      <c r="EE62" s="25"/>
    </row>
    <row r="63" spans="1:135" s="2" customFormat="1" ht="18" customHeight="1" x14ac:dyDescent="0.25">
      <c r="A63" s="15">
        <v>60</v>
      </c>
      <c r="B63" s="108" t="s">
        <v>499</v>
      </c>
      <c r="C63" s="74" t="s">
        <v>502</v>
      </c>
      <c r="D63" s="90" t="s">
        <v>107</v>
      </c>
      <c r="E63" s="18">
        <v>45767</v>
      </c>
      <c r="F63" s="19" t="s">
        <v>316</v>
      </c>
      <c r="G63" s="19">
        <v>11</v>
      </c>
      <c r="H63" s="19">
        <v>11</v>
      </c>
      <c r="I63" s="19">
        <v>11</v>
      </c>
      <c r="J63" s="19" t="s">
        <v>603</v>
      </c>
      <c r="K63" s="19">
        <v>11</v>
      </c>
      <c r="L63" s="19" t="s">
        <v>316</v>
      </c>
      <c r="M63" s="19">
        <v>11</v>
      </c>
      <c r="N63" s="19">
        <v>11</v>
      </c>
      <c r="O63" s="19">
        <v>11</v>
      </c>
      <c r="P63" s="19">
        <v>11</v>
      </c>
      <c r="Q63" s="19">
        <v>11</v>
      </c>
      <c r="R63" s="19">
        <v>11</v>
      </c>
      <c r="S63" s="19" t="s">
        <v>15</v>
      </c>
      <c r="T63" s="19">
        <v>11</v>
      </c>
      <c r="U63" s="19">
        <v>11</v>
      </c>
      <c r="V63" s="19">
        <v>11</v>
      </c>
      <c r="W63" s="19">
        <v>11</v>
      </c>
      <c r="X63" s="19">
        <v>11</v>
      </c>
      <c r="Y63" s="19">
        <v>11</v>
      </c>
      <c r="Z63" s="19" t="s">
        <v>15</v>
      </c>
      <c r="AA63" s="19">
        <v>11</v>
      </c>
      <c r="AB63" s="19">
        <v>11</v>
      </c>
      <c r="AC63" s="19">
        <v>11</v>
      </c>
      <c r="AD63" s="19">
        <v>11</v>
      </c>
      <c r="AE63" s="19" t="s">
        <v>316</v>
      </c>
      <c r="AF63" s="19">
        <v>11</v>
      </c>
      <c r="AG63" s="19" t="s">
        <v>316</v>
      </c>
      <c r="AH63" s="19">
        <v>11</v>
      </c>
      <c r="AI63" s="19">
        <v>11</v>
      </c>
      <c r="AJ63" s="19">
        <v>0</v>
      </c>
      <c r="AK63" s="19">
        <v>0</v>
      </c>
      <c r="AL63" s="19">
        <v>0</v>
      </c>
      <c r="AM63" s="19">
        <v>11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f t="shared" ref="AT63:AT70" si="294">SUM(BT63+BV63+BX63+BZ63+CB63+CD63+CF63+CH63+CJ63+CL63+CN63+CP63+CR63+CT63+CV63+CX63+CZ63+DB63+DD63+DF63+DH63+DJ63+DL63+DN63+DP63+DR63+DT63+DV63+DX63+DZ63+EB63+ED63)</f>
        <v>69</v>
      </c>
      <c r="AU63" s="19">
        <f t="shared" ref="AU63:AU70" si="295">SUM(AJ63:AN63)</f>
        <v>11</v>
      </c>
      <c r="AV63" s="19">
        <f t="shared" si="226"/>
        <v>0</v>
      </c>
      <c r="AW63" s="16">
        <f t="shared" si="227"/>
        <v>26</v>
      </c>
      <c r="AX63" s="16">
        <f t="shared" si="228"/>
        <v>4</v>
      </c>
      <c r="AY63" s="38">
        <f t="shared" si="229"/>
        <v>0</v>
      </c>
      <c r="AZ63" s="36">
        <v>900</v>
      </c>
      <c r="BA63" s="20">
        <v>100</v>
      </c>
      <c r="BB63" s="21">
        <v>0</v>
      </c>
      <c r="BC63" s="19">
        <f t="shared" si="74"/>
        <v>780</v>
      </c>
      <c r="BD63" s="19">
        <f t="shared" si="75"/>
        <v>87</v>
      </c>
      <c r="BE63" s="19">
        <f t="shared" si="76"/>
        <v>385</v>
      </c>
      <c r="BF63" s="19">
        <f t="shared" si="77"/>
        <v>0</v>
      </c>
      <c r="BG63" s="19">
        <f t="shared" si="78"/>
        <v>0</v>
      </c>
      <c r="BH63" s="19">
        <f t="shared" si="79"/>
        <v>0</v>
      </c>
      <c r="BI63" s="19">
        <v>0</v>
      </c>
      <c r="BJ63" s="19">
        <v>0</v>
      </c>
      <c r="BK63" s="19">
        <f t="shared" ref="BK63:BK70" si="296">SUM(BC63:BJ63)</f>
        <v>1252</v>
      </c>
      <c r="BL63" s="19">
        <v>0</v>
      </c>
      <c r="BM63" s="19">
        <v>0</v>
      </c>
      <c r="BN63" s="19">
        <f t="shared" ref="BN63:BN70" si="297">BL63+BM63</f>
        <v>0</v>
      </c>
      <c r="BO63" s="19">
        <f t="shared" ref="BO63:BO70" si="298">BK63-BN63</f>
        <v>1252</v>
      </c>
      <c r="BP63" s="19">
        <v>0</v>
      </c>
      <c r="BQ63" s="19">
        <v>0</v>
      </c>
      <c r="BR63" s="22">
        <f t="shared" ref="BR63:BR70" si="299">SUM(BO63:BP63)-BQ63</f>
        <v>1252</v>
      </c>
      <c r="BS63" s="23">
        <f t="shared" si="230"/>
        <v>0</v>
      </c>
      <c r="BT63" s="24">
        <f t="shared" si="231"/>
        <v>0</v>
      </c>
      <c r="BU63" s="24">
        <f t="shared" si="232"/>
        <v>0</v>
      </c>
      <c r="BV63" s="24">
        <f t="shared" si="233"/>
        <v>0</v>
      </c>
      <c r="BW63" s="24">
        <f t="shared" si="234"/>
        <v>0</v>
      </c>
      <c r="BX63" s="24">
        <f t="shared" si="235"/>
        <v>0</v>
      </c>
      <c r="BY63" s="24">
        <f t="shared" si="236"/>
        <v>0</v>
      </c>
      <c r="BZ63" s="24">
        <f t="shared" si="237"/>
        <v>0</v>
      </c>
      <c r="CA63" s="24">
        <f t="shared" si="238"/>
        <v>0</v>
      </c>
      <c r="CB63" s="24">
        <f t="shared" si="239"/>
        <v>0</v>
      </c>
      <c r="CC63" s="24">
        <f t="shared" si="240"/>
        <v>23</v>
      </c>
      <c r="CD63" s="24">
        <f t="shared" si="241"/>
        <v>69</v>
      </c>
      <c r="CE63" s="24">
        <f t="shared" si="242"/>
        <v>0</v>
      </c>
      <c r="CF63" s="24">
        <f t="shared" si="243"/>
        <v>0</v>
      </c>
      <c r="CG63" s="24">
        <f t="shared" si="244"/>
        <v>0</v>
      </c>
      <c r="CH63" s="24">
        <f t="shared" si="245"/>
        <v>0</v>
      </c>
      <c r="CI63" s="24">
        <f t="shared" si="246"/>
        <v>0</v>
      </c>
      <c r="CJ63" s="24">
        <f t="shared" si="247"/>
        <v>0</v>
      </c>
      <c r="CK63" s="24">
        <f t="shared" si="248"/>
        <v>0</v>
      </c>
      <c r="CL63" s="24">
        <f t="shared" si="249"/>
        <v>0</v>
      </c>
      <c r="CM63" s="24">
        <f t="shared" si="250"/>
        <v>0</v>
      </c>
      <c r="CN63" s="24">
        <f t="shared" si="251"/>
        <v>0</v>
      </c>
      <c r="CO63" s="24">
        <f t="shared" si="252"/>
        <v>0</v>
      </c>
      <c r="CP63" s="24">
        <f t="shared" si="253"/>
        <v>0</v>
      </c>
      <c r="CQ63" s="24">
        <f t="shared" si="254"/>
        <v>0</v>
      </c>
      <c r="CR63" s="24">
        <f t="shared" si="255"/>
        <v>0</v>
      </c>
      <c r="CS63" s="24">
        <f t="shared" si="256"/>
        <v>0</v>
      </c>
      <c r="CT63" s="24">
        <f t="shared" si="257"/>
        <v>0</v>
      </c>
      <c r="CU63" s="24">
        <f t="shared" si="258"/>
        <v>0</v>
      </c>
      <c r="CV63" s="24">
        <f t="shared" si="259"/>
        <v>0</v>
      </c>
      <c r="CW63" s="24">
        <f t="shared" si="260"/>
        <v>0</v>
      </c>
      <c r="CX63" s="24">
        <f t="shared" si="261"/>
        <v>0</v>
      </c>
      <c r="CY63" s="24">
        <f t="shared" si="262"/>
        <v>0</v>
      </c>
      <c r="CZ63" s="24">
        <f t="shared" si="263"/>
        <v>0</v>
      </c>
      <c r="DA63" s="24">
        <f t="shared" si="264"/>
        <v>0</v>
      </c>
      <c r="DB63" s="24">
        <f t="shared" si="265"/>
        <v>0</v>
      </c>
      <c r="DC63" s="24">
        <f t="shared" si="266"/>
        <v>0</v>
      </c>
      <c r="DD63" s="24">
        <f t="shared" si="267"/>
        <v>0</v>
      </c>
      <c r="DE63" s="24">
        <f t="shared" si="268"/>
        <v>0</v>
      </c>
      <c r="DF63" s="24">
        <f t="shared" si="269"/>
        <v>0</v>
      </c>
      <c r="DG63" s="24">
        <f t="shared" si="270"/>
        <v>0</v>
      </c>
      <c r="DH63" s="24">
        <f t="shared" si="271"/>
        <v>0</v>
      </c>
      <c r="DI63" s="24">
        <f t="shared" si="272"/>
        <v>0</v>
      </c>
      <c r="DJ63" s="24">
        <f t="shared" si="273"/>
        <v>0</v>
      </c>
      <c r="DK63" s="24">
        <f t="shared" si="274"/>
        <v>0</v>
      </c>
      <c r="DL63" s="24">
        <f t="shared" si="275"/>
        <v>0</v>
      </c>
      <c r="DM63" s="24">
        <f t="shared" si="276"/>
        <v>0</v>
      </c>
      <c r="DN63" s="24">
        <f t="shared" si="277"/>
        <v>0</v>
      </c>
      <c r="DO63" s="24">
        <f t="shared" si="278"/>
        <v>0</v>
      </c>
      <c r="DP63" s="24">
        <f t="shared" si="279"/>
        <v>0</v>
      </c>
      <c r="DQ63" s="24">
        <f t="shared" si="280"/>
        <v>0</v>
      </c>
      <c r="DR63" s="24">
        <f t="shared" si="281"/>
        <v>0</v>
      </c>
      <c r="DS63" s="24">
        <f t="shared" si="282"/>
        <v>0</v>
      </c>
      <c r="DT63" s="24">
        <f t="shared" si="283"/>
        <v>0</v>
      </c>
      <c r="DU63" s="24">
        <f t="shared" si="284"/>
        <v>0</v>
      </c>
      <c r="DV63" s="24">
        <f t="shared" si="285"/>
        <v>0</v>
      </c>
      <c r="DW63" s="24">
        <f t="shared" si="286"/>
        <v>0</v>
      </c>
      <c r="DX63" s="24">
        <f t="shared" si="287"/>
        <v>0</v>
      </c>
      <c r="DY63" s="24">
        <f t="shared" si="288"/>
        <v>0</v>
      </c>
      <c r="DZ63" s="24">
        <f t="shared" si="289"/>
        <v>0</v>
      </c>
      <c r="EA63" s="24">
        <f t="shared" si="290"/>
        <v>0</v>
      </c>
      <c r="EB63" s="24">
        <f t="shared" si="291"/>
        <v>0</v>
      </c>
      <c r="EC63" s="24">
        <f t="shared" si="292"/>
        <v>0</v>
      </c>
      <c r="ED63" s="24">
        <f t="shared" si="293"/>
        <v>0</v>
      </c>
      <c r="EE63" s="25"/>
    </row>
    <row r="64" spans="1:135" s="2" customFormat="1" ht="18" customHeight="1" x14ac:dyDescent="0.25">
      <c r="A64" s="15">
        <v>61</v>
      </c>
      <c r="B64" s="108" t="s">
        <v>503</v>
      </c>
      <c r="C64" s="74" t="s">
        <v>504</v>
      </c>
      <c r="D64" s="16" t="s">
        <v>107</v>
      </c>
      <c r="E64" s="18">
        <v>45771</v>
      </c>
      <c r="F64" s="19">
        <v>10</v>
      </c>
      <c r="G64" s="19">
        <v>12</v>
      </c>
      <c r="H64" s="19">
        <v>10</v>
      </c>
      <c r="I64" s="19">
        <v>8</v>
      </c>
      <c r="J64" s="19" t="s">
        <v>603</v>
      </c>
      <c r="K64" s="19">
        <v>10</v>
      </c>
      <c r="L64" s="19" t="s">
        <v>15</v>
      </c>
      <c r="M64" s="19">
        <v>10</v>
      </c>
      <c r="N64" s="19">
        <v>10</v>
      </c>
      <c r="O64" s="19">
        <v>10</v>
      </c>
      <c r="P64" s="19">
        <v>10</v>
      </c>
      <c r="Q64" s="19">
        <v>10</v>
      </c>
      <c r="R64" s="19">
        <v>10</v>
      </c>
      <c r="S64" s="19" t="s">
        <v>15</v>
      </c>
      <c r="T64" s="19">
        <v>10</v>
      </c>
      <c r="U64" s="19">
        <v>10</v>
      </c>
      <c r="V64" s="19">
        <v>10</v>
      </c>
      <c r="W64" s="19">
        <v>10</v>
      </c>
      <c r="X64" s="19">
        <v>10</v>
      </c>
      <c r="Y64" s="19">
        <v>10</v>
      </c>
      <c r="Z64" s="19" t="s">
        <v>15</v>
      </c>
      <c r="AA64" s="19">
        <v>10</v>
      </c>
      <c r="AB64" s="19">
        <v>10</v>
      </c>
      <c r="AC64" s="19">
        <v>10</v>
      </c>
      <c r="AD64" s="19">
        <v>10</v>
      </c>
      <c r="AE64" s="19">
        <v>10</v>
      </c>
      <c r="AF64" s="19">
        <v>10</v>
      </c>
      <c r="AG64" s="19" t="s">
        <v>15</v>
      </c>
      <c r="AH64" s="19">
        <v>10</v>
      </c>
      <c r="AI64" s="19">
        <v>10</v>
      </c>
      <c r="AJ64" s="19">
        <v>0</v>
      </c>
      <c r="AK64" s="19">
        <v>11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f t="shared" si="294"/>
        <v>50</v>
      </c>
      <c r="AU64" s="19">
        <f t="shared" si="295"/>
        <v>11</v>
      </c>
      <c r="AV64" s="19">
        <f t="shared" si="226"/>
        <v>0</v>
      </c>
      <c r="AW64" s="16">
        <f t="shared" si="227"/>
        <v>30</v>
      </c>
      <c r="AX64" s="16">
        <f t="shared" si="228"/>
        <v>0</v>
      </c>
      <c r="AY64" s="38">
        <f t="shared" si="229"/>
        <v>0</v>
      </c>
      <c r="AZ64" s="36">
        <v>1100</v>
      </c>
      <c r="BA64" s="20">
        <v>100</v>
      </c>
      <c r="BB64" s="21">
        <v>0</v>
      </c>
      <c r="BC64" s="19">
        <f t="shared" si="74"/>
        <v>1100</v>
      </c>
      <c r="BD64" s="19">
        <f t="shared" si="75"/>
        <v>100</v>
      </c>
      <c r="BE64" s="19">
        <f t="shared" si="76"/>
        <v>362</v>
      </c>
      <c r="BF64" s="19">
        <f t="shared" si="77"/>
        <v>0</v>
      </c>
      <c r="BG64" s="19">
        <f t="shared" si="78"/>
        <v>0</v>
      </c>
      <c r="BH64" s="19">
        <f t="shared" si="79"/>
        <v>0</v>
      </c>
      <c r="BI64" s="19">
        <v>0</v>
      </c>
      <c r="BJ64" s="19">
        <v>95</v>
      </c>
      <c r="BK64" s="19">
        <f t="shared" si="296"/>
        <v>1657</v>
      </c>
      <c r="BL64" s="19">
        <v>0</v>
      </c>
      <c r="BM64" s="19">
        <v>0</v>
      </c>
      <c r="BN64" s="19">
        <f t="shared" si="297"/>
        <v>0</v>
      </c>
      <c r="BO64" s="19">
        <f t="shared" si="298"/>
        <v>1657</v>
      </c>
      <c r="BP64" s="19">
        <v>0</v>
      </c>
      <c r="BQ64" s="19">
        <v>0</v>
      </c>
      <c r="BR64" s="22">
        <f t="shared" si="299"/>
        <v>1657</v>
      </c>
      <c r="BS64" s="23">
        <f t="shared" si="230"/>
        <v>0</v>
      </c>
      <c r="BT64" s="24">
        <f t="shared" si="231"/>
        <v>0</v>
      </c>
      <c r="BU64" s="24">
        <f t="shared" si="232"/>
        <v>0</v>
      </c>
      <c r="BV64" s="24">
        <f t="shared" si="233"/>
        <v>0</v>
      </c>
      <c r="BW64" s="24">
        <f t="shared" si="234"/>
        <v>0</v>
      </c>
      <c r="BX64" s="24">
        <f t="shared" si="235"/>
        <v>0</v>
      </c>
      <c r="BY64" s="24">
        <f t="shared" si="236"/>
        <v>23</v>
      </c>
      <c r="BZ64" s="24">
        <f t="shared" si="237"/>
        <v>46</v>
      </c>
      <c r="CA64" s="24">
        <f t="shared" si="238"/>
        <v>0</v>
      </c>
      <c r="CB64" s="24">
        <f t="shared" si="239"/>
        <v>0</v>
      </c>
      <c r="CC64" s="24">
        <f t="shared" si="240"/>
        <v>0</v>
      </c>
      <c r="CD64" s="24">
        <f t="shared" si="241"/>
        <v>0</v>
      </c>
      <c r="CE64" s="24">
        <f t="shared" si="242"/>
        <v>0</v>
      </c>
      <c r="CF64" s="24">
        <f t="shared" si="243"/>
        <v>0</v>
      </c>
      <c r="CG64" s="24">
        <f t="shared" si="244"/>
        <v>1</v>
      </c>
      <c r="CH64" s="24">
        <f t="shared" si="245"/>
        <v>4</v>
      </c>
      <c r="CI64" s="24">
        <f t="shared" si="246"/>
        <v>0</v>
      </c>
      <c r="CJ64" s="24">
        <f t="shared" si="247"/>
        <v>0</v>
      </c>
      <c r="CK64" s="24">
        <f t="shared" si="248"/>
        <v>0</v>
      </c>
      <c r="CL64" s="24">
        <f t="shared" si="249"/>
        <v>0</v>
      </c>
      <c r="CM64" s="24">
        <f t="shared" si="250"/>
        <v>0</v>
      </c>
      <c r="CN64" s="24">
        <f t="shared" si="251"/>
        <v>0</v>
      </c>
      <c r="CO64" s="24">
        <f t="shared" si="252"/>
        <v>0</v>
      </c>
      <c r="CP64" s="24">
        <f t="shared" si="253"/>
        <v>0</v>
      </c>
      <c r="CQ64" s="24">
        <f t="shared" si="254"/>
        <v>0</v>
      </c>
      <c r="CR64" s="24">
        <f t="shared" si="255"/>
        <v>0</v>
      </c>
      <c r="CS64" s="24">
        <f t="shared" si="256"/>
        <v>0</v>
      </c>
      <c r="CT64" s="24">
        <f t="shared" si="257"/>
        <v>0</v>
      </c>
      <c r="CU64" s="24">
        <f t="shared" si="258"/>
        <v>0</v>
      </c>
      <c r="CV64" s="24">
        <f t="shared" si="259"/>
        <v>0</v>
      </c>
      <c r="CW64" s="24">
        <f t="shared" si="260"/>
        <v>0</v>
      </c>
      <c r="CX64" s="24">
        <f t="shared" si="261"/>
        <v>0</v>
      </c>
      <c r="CY64" s="24">
        <f t="shared" si="262"/>
        <v>0</v>
      </c>
      <c r="CZ64" s="24">
        <f t="shared" si="263"/>
        <v>0</v>
      </c>
      <c r="DA64" s="24">
        <f t="shared" si="264"/>
        <v>0</v>
      </c>
      <c r="DB64" s="24">
        <f t="shared" si="265"/>
        <v>0</v>
      </c>
      <c r="DC64" s="24">
        <f t="shared" si="266"/>
        <v>0</v>
      </c>
      <c r="DD64" s="24">
        <f t="shared" si="267"/>
        <v>0</v>
      </c>
      <c r="DE64" s="24">
        <f t="shared" si="268"/>
        <v>0</v>
      </c>
      <c r="DF64" s="24">
        <f t="shared" si="269"/>
        <v>0</v>
      </c>
      <c r="DG64" s="24">
        <f t="shared" si="270"/>
        <v>0</v>
      </c>
      <c r="DH64" s="24">
        <f t="shared" si="271"/>
        <v>0</v>
      </c>
      <c r="DI64" s="24">
        <f t="shared" si="272"/>
        <v>0</v>
      </c>
      <c r="DJ64" s="24">
        <f t="shared" si="273"/>
        <v>0</v>
      </c>
      <c r="DK64" s="24">
        <f t="shared" si="274"/>
        <v>0</v>
      </c>
      <c r="DL64" s="24">
        <f t="shared" si="275"/>
        <v>0</v>
      </c>
      <c r="DM64" s="24">
        <f t="shared" si="276"/>
        <v>0</v>
      </c>
      <c r="DN64" s="24">
        <f t="shared" si="277"/>
        <v>0</v>
      </c>
      <c r="DO64" s="24">
        <f t="shared" si="278"/>
        <v>0</v>
      </c>
      <c r="DP64" s="24">
        <f t="shared" si="279"/>
        <v>0</v>
      </c>
      <c r="DQ64" s="24">
        <f t="shared" si="280"/>
        <v>0</v>
      </c>
      <c r="DR64" s="24">
        <f t="shared" si="281"/>
        <v>0</v>
      </c>
      <c r="DS64" s="24">
        <f t="shared" si="282"/>
        <v>0</v>
      </c>
      <c r="DT64" s="24">
        <f t="shared" si="283"/>
        <v>0</v>
      </c>
      <c r="DU64" s="24">
        <f t="shared" si="284"/>
        <v>0</v>
      </c>
      <c r="DV64" s="24">
        <f t="shared" si="285"/>
        <v>0</v>
      </c>
      <c r="DW64" s="24">
        <f t="shared" si="286"/>
        <v>0</v>
      </c>
      <c r="DX64" s="24">
        <f t="shared" si="287"/>
        <v>0</v>
      </c>
      <c r="DY64" s="24">
        <f t="shared" si="288"/>
        <v>0</v>
      </c>
      <c r="DZ64" s="24">
        <f t="shared" si="289"/>
        <v>0</v>
      </c>
      <c r="EA64" s="24">
        <f t="shared" si="290"/>
        <v>0</v>
      </c>
      <c r="EB64" s="24">
        <f t="shared" si="291"/>
        <v>0</v>
      </c>
      <c r="EC64" s="24">
        <f t="shared" si="292"/>
        <v>0</v>
      </c>
      <c r="ED64" s="24">
        <f t="shared" si="293"/>
        <v>0</v>
      </c>
      <c r="EE64" s="25"/>
    </row>
    <row r="65" spans="1:135" s="2" customFormat="1" ht="18" customHeight="1" x14ac:dyDescent="0.25">
      <c r="A65" s="15">
        <v>62</v>
      </c>
      <c r="B65" s="108">
        <v>328</v>
      </c>
      <c r="C65" s="74" t="s">
        <v>544</v>
      </c>
      <c r="D65" s="16" t="s">
        <v>107</v>
      </c>
      <c r="E65" s="18">
        <v>45778</v>
      </c>
      <c r="F65" s="19">
        <v>11</v>
      </c>
      <c r="G65" s="19">
        <v>11</v>
      </c>
      <c r="H65" s="19">
        <v>11</v>
      </c>
      <c r="I65" s="19">
        <v>11</v>
      </c>
      <c r="J65" s="19" t="s">
        <v>603</v>
      </c>
      <c r="K65" s="19">
        <v>11</v>
      </c>
      <c r="L65" s="19" t="s">
        <v>15</v>
      </c>
      <c r="M65" s="19">
        <v>11</v>
      </c>
      <c r="N65" s="19">
        <v>11</v>
      </c>
      <c r="O65" s="19">
        <v>11</v>
      </c>
      <c r="P65" s="19">
        <v>11</v>
      </c>
      <c r="Q65" s="19">
        <v>11</v>
      </c>
      <c r="R65" s="19">
        <v>11</v>
      </c>
      <c r="S65" s="19" t="s">
        <v>15</v>
      </c>
      <c r="T65" s="19">
        <v>11</v>
      </c>
      <c r="U65" s="19">
        <v>11</v>
      </c>
      <c r="V65" s="19">
        <v>11</v>
      </c>
      <c r="W65" s="19">
        <v>11</v>
      </c>
      <c r="X65" s="19">
        <v>11</v>
      </c>
      <c r="Y65" s="19">
        <v>11</v>
      </c>
      <c r="Z65" s="19" t="s">
        <v>15</v>
      </c>
      <c r="AA65" s="19">
        <v>11</v>
      </c>
      <c r="AB65" s="19">
        <v>11</v>
      </c>
      <c r="AC65" s="19">
        <v>11</v>
      </c>
      <c r="AD65" s="19">
        <v>11</v>
      </c>
      <c r="AE65" s="19">
        <v>11</v>
      </c>
      <c r="AF65" s="19">
        <v>11</v>
      </c>
      <c r="AG65" s="19" t="s">
        <v>15</v>
      </c>
      <c r="AH65" s="19">
        <v>11</v>
      </c>
      <c r="AI65" s="19">
        <v>11</v>
      </c>
      <c r="AJ65" s="19">
        <v>0</v>
      </c>
      <c r="AK65" s="19">
        <v>0</v>
      </c>
      <c r="AL65" s="19">
        <v>0</v>
      </c>
      <c r="AM65" s="19">
        <v>11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f t="shared" si="294"/>
        <v>75</v>
      </c>
      <c r="AU65" s="19">
        <f t="shared" si="295"/>
        <v>11</v>
      </c>
      <c r="AV65" s="19">
        <f t="shared" si="226"/>
        <v>0</v>
      </c>
      <c r="AW65" s="16">
        <f t="shared" si="227"/>
        <v>30</v>
      </c>
      <c r="AX65" s="16">
        <f t="shared" si="228"/>
        <v>0</v>
      </c>
      <c r="AY65" s="38">
        <f t="shared" si="229"/>
        <v>0</v>
      </c>
      <c r="AZ65" s="36">
        <v>950</v>
      </c>
      <c r="BA65" s="20">
        <v>100</v>
      </c>
      <c r="BB65" s="21">
        <v>0</v>
      </c>
      <c r="BC65" s="19">
        <f t="shared" ref="BC65:BC108" si="300">MROUND(AZ65/30*AW65, 1)</f>
        <v>950</v>
      </c>
      <c r="BD65" s="19">
        <f t="shared" ref="BD65:BD108" si="301">MROUND(BA65/30*AW65, 1)</f>
        <v>100</v>
      </c>
      <c r="BE65" s="19">
        <f t="shared" ref="BE65:BE108" si="302">MROUND((AZ65/30/8*1.25*AT65)+(AZ65/30/8*1.5*AU65)+(AZ65/30/8*1.5*AV65), 1)</f>
        <v>436</v>
      </c>
      <c r="BF65" s="19">
        <f t="shared" ref="BF65:BF108" si="303">MROUND(BB65/30*AW65, 1)</f>
        <v>0</v>
      </c>
      <c r="BG65" s="19">
        <f t="shared" ref="BG65:BG108" si="304">MROUND(AZ65/30*AY65, 1)</f>
        <v>0</v>
      </c>
      <c r="BH65" s="19">
        <f t="shared" ref="BH65:BH108" si="305">MROUND(BA65/30*AY65, 1)</f>
        <v>0</v>
      </c>
      <c r="BI65" s="19">
        <v>0</v>
      </c>
      <c r="BJ65" s="19">
        <v>95</v>
      </c>
      <c r="BK65" s="19">
        <f t="shared" si="296"/>
        <v>1581</v>
      </c>
      <c r="BL65" s="19">
        <v>0</v>
      </c>
      <c r="BM65" s="19">
        <v>0</v>
      </c>
      <c r="BN65" s="19">
        <f t="shared" si="297"/>
        <v>0</v>
      </c>
      <c r="BO65" s="19">
        <f t="shared" si="298"/>
        <v>1581</v>
      </c>
      <c r="BP65" s="19">
        <v>0</v>
      </c>
      <c r="BQ65" s="19">
        <v>0</v>
      </c>
      <c r="BR65" s="22">
        <f t="shared" si="299"/>
        <v>1581</v>
      </c>
      <c r="BS65" s="23">
        <f t="shared" si="230"/>
        <v>0</v>
      </c>
      <c r="BT65" s="24">
        <f t="shared" si="231"/>
        <v>0</v>
      </c>
      <c r="BU65" s="24">
        <f t="shared" si="232"/>
        <v>0</v>
      </c>
      <c r="BV65" s="24">
        <f t="shared" si="233"/>
        <v>0</v>
      </c>
      <c r="BW65" s="24">
        <f t="shared" si="234"/>
        <v>0</v>
      </c>
      <c r="BX65" s="24">
        <f t="shared" si="235"/>
        <v>0</v>
      </c>
      <c r="BY65" s="24">
        <f t="shared" si="236"/>
        <v>0</v>
      </c>
      <c r="BZ65" s="24">
        <f t="shared" si="237"/>
        <v>0</v>
      </c>
      <c r="CA65" s="24">
        <f t="shared" si="238"/>
        <v>0</v>
      </c>
      <c r="CB65" s="24">
        <f t="shared" si="239"/>
        <v>0</v>
      </c>
      <c r="CC65" s="24">
        <f t="shared" si="240"/>
        <v>25</v>
      </c>
      <c r="CD65" s="24">
        <f t="shared" si="241"/>
        <v>75</v>
      </c>
      <c r="CE65" s="24">
        <f t="shared" si="242"/>
        <v>0</v>
      </c>
      <c r="CF65" s="24">
        <f t="shared" si="243"/>
        <v>0</v>
      </c>
      <c r="CG65" s="24">
        <f t="shared" si="244"/>
        <v>0</v>
      </c>
      <c r="CH65" s="24">
        <f t="shared" si="245"/>
        <v>0</v>
      </c>
      <c r="CI65" s="24">
        <f t="shared" si="246"/>
        <v>0</v>
      </c>
      <c r="CJ65" s="24">
        <f t="shared" si="247"/>
        <v>0</v>
      </c>
      <c r="CK65" s="24">
        <f t="shared" si="248"/>
        <v>0</v>
      </c>
      <c r="CL65" s="24">
        <f t="shared" si="249"/>
        <v>0</v>
      </c>
      <c r="CM65" s="24">
        <f t="shared" si="250"/>
        <v>0</v>
      </c>
      <c r="CN65" s="24">
        <f t="shared" si="251"/>
        <v>0</v>
      </c>
      <c r="CO65" s="24">
        <f t="shared" si="252"/>
        <v>0</v>
      </c>
      <c r="CP65" s="24">
        <f t="shared" si="253"/>
        <v>0</v>
      </c>
      <c r="CQ65" s="24">
        <f t="shared" si="254"/>
        <v>0</v>
      </c>
      <c r="CR65" s="24">
        <f t="shared" si="255"/>
        <v>0</v>
      </c>
      <c r="CS65" s="24">
        <f t="shared" si="256"/>
        <v>0</v>
      </c>
      <c r="CT65" s="24">
        <f t="shared" si="257"/>
        <v>0</v>
      </c>
      <c r="CU65" s="24">
        <f t="shared" si="258"/>
        <v>0</v>
      </c>
      <c r="CV65" s="24">
        <f t="shared" si="259"/>
        <v>0</v>
      </c>
      <c r="CW65" s="24">
        <f t="shared" si="260"/>
        <v>0</v>
      </c>
      <c r="CX65" s="24">
        <f t="shared" si="261"/>
        <v>0</v>
      </c>
      <c r="CY65" s="24">
        <f t="shared" si="262"/>
        <v>0</v>
      </c>
      <c r="CZ65" s="24">
        <f t="shared" si="263"/>
        <v>0</v>
      </c>
      <c r="DA65" s="24">
        <f t="shared" si="264"/>
        <v>0</v>
      </c>
      <c r="DB65" s="24">
        <f t="shared" si="265"/>
        <v>0</v>
      </c>
      <c r="DC65" s="24">
        <f t="shared" si="266"/>
        <v>0</v>
      </c>
      <c r="DD65" s="24">
        <f t="shared" si="267"/>
        <v>0</v>
      </c>
      <c r="DE65" s="24">
        <f t="shared" si="268"/>
        <v>0</v>
      </c>
      <c r="DF65" s="24">
        <f t="shared" si="269"/>
        <v>0</v>
      </c>
      <c r="DG65" s="24">
        <f t="shared" si="270"/>
        <v>0</v>
      </c>
      <c r="DH65" s="24">
        <f t="shared" si="271"/>
        <v>0</v>
      </c>
      <c r="DI65" s="24">
        <f t="shared" si="272"/>
        <v>0</v>
      </c>
      <c r="DJ65" s="24">
        <f t="shared" si="273"/>
        <v>0</v>
      </c>
      <c r="DK65" s="24">
        <f t="shared" si="274"/>
        <v>0</v>
      </c>
      <c r="DL65" s="24">
        <f t="shared" si="275"/>
        <v>0</v>
      </c>
      <c r="DM65" s="24">
        <f t="shared" si="276"/>
        <v>0</v>
      </c>
      <c r="DN65" s="24">
        <f t="shared" si="277"/>
        <v>0</v>
      </c>
      <c r="DO65" s="24">
        <f t="shared" si="278"/>
        <v>0</v>
      </c>
      <c r="DP65" s="24">
        <f t="shared" si="279"/>
        <v>0</v>
      </c>
      <c r="DQ65" s="24">
        <f t="shared" si="280"/>
        <v>0</v>
      </c>
      <c r="DR65" s="24">
        <f t="shared" si="281"/>
        <v>0</v>
      </c>
      <c r="DS65" s="24">
        <f t="shared" si="282"/>
        <v>0</v>
      </c>
      <c r="DT65" s="24">
        <f t="shared" si="283"/>
        <v>0</v>
      </c>
      <c r="DU65" s="24">
        <f t="shared" si="284"/>
        <v>0</v>
      </c>
      <c r="DV65" s="24">
        <f t="shared" si="285"/>
        <v>0</v>
      </c>
      <c r="DW65" s="24">
        <f t="shared" si="286"/>
        <v>0</v>
      </c>
      <c r="DX65" s="24">
        <f t="shared" si="287"/>
        <v>0</v>
      </c>
      <c r="DY65" s="24">
        <f t="shared" si="288"/>
        <v>0</v>
      </c>
      <c r="DZ65" s="24">
        <f t="shared" si="289"/>
        <v>0</v>
      </c>
      <c r="EA65" s="24">
        <f t="shared" si="290"/>
        <v>0</v>
      </c>
      <c r="EB65" s="24">
        <f t="shared" si="291"/>
        <v>0</v>
      </c>
      <c r="EC65" s="24">
        <f t="shared" si="292"/>
        <v>0</v>
      </c>
      <c r="ED65" s="24">
        <f t="shared" si="293"/>
        <v>0</v>
      </c>
      <c r="EE65" s="25"/>
    </row>
    <row r="66" spans="1:135" s="2" customFormat="1" ht="18" customHeight="1" x14ac:dyDescent="0.25">
      <c r="A66" s="15">
        <v>63</v>
      </c>
      <c r="B66" s="108">
        <v>329</v>
      </c>
      <c r="C66" s="74" t="s">
        <v>545</v>
      </c>
      <c r="D66" s="16" t="s">
        <v>167</v>
      </c>
      <c r="E66" s="18">
        <v>45777</v>
      </c>
      <c r="F66" s="19">
        <v>10</v>
      </c>
      <c r="G66" s="19">
        <v>10</v>
      </c>
      <c r="H66" s="19">
        <v>10</v>
      </c>
      <c r="I66" s="19">
        <v>10</v>
      </c>
      <c r="J66" s="19" t="s">
        <v>603</v>
      </c>
      <c r="K66" s="19">
        <v>10</v>
      </c>
      <c r="L66" s="19" t="s">
        <v>15</v>
      </c>
      <c r="M66" s="19">
        <v>10</v>
      </c>
      <c r="N66" s="19">
        <v>10</v>
      </c>
      <c r="O66" s="19">
        <v>10</v>
      </c>
      <c r="P66" s="19">
        <v>10</v>
      </c>
      <c r="Q66" s="19">
        <v>10</v>
      </c>
      <c r="R66" s="19">
        <v>10</v>
      </c>
      <c r="S66" s="19" t="s">
        <v>15</v>
      </c>
      <c r="T66" s="19">
        <v>10</v>
      </c>
      <c r="U66" s="19">
        <v>10</v>
      </c>
      <c r="V66" s="19">
        <v>10</v>
      </c>
      <c r="W66" s="19">
        <v>10</v>
      </c>
      <c r="X66" s="19">
        <v>10</v>
      </c>
      <c r="Y66" s="19">
        <v>10</v>
      </c>
      <c r="Z66" s="19" t="s">
        <v>15</v>
      </c>
      <c r="AA66" s="19">
        <v>10</v>
      </c>
      <c r="AB66" s="19">
        <v>10</v>
      </c>
      <c r="AC66" s="19">
        <v>10</v>
      </c>
      <c r="AD66" s="19">
        <v>10</v>
      </c>
      <c r="AE66" s="19">
        <v>10</v>
      </c>
      <c r="AF66" s="19">
        <v>10</v>
      </c>
      <c r="AG66" s="19" t="s">
        <v>15</v>
      </c>
      <c r="AH66" s="19">
        <v>10</v>
      </c>
      <c r="AI66" s="19">
        <v>10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10</v>
      </c>
      <c r="AP66" s="19">
        <v>0</v>
      </c>
      <c r="AQ66" s="19">
        <v>0</v>
      </c>
      <c r="AR66" s="19">
        <v>0</v>
      </c>
      <c r="AS66" s="19">
        <v>0</v>
      </c>
      <c r="AT66" s="19">
        <f t="shared" si="294"/>
        <v>50</v>
      </c>
      <c r="AU66" s="19">
        <f t="shared" si="295"/>
        <v>0</v>
      </c>
      <c r="AV66" s="19">
        <f t="shared" si="226"/>
        <v>10</v>
      </c>
      <c r="AW66" s="16">
        <f t="shared" si="227"/>
        <v>30</v>
      </c>
      <c r="AX66" s="16">
        <f t="shared" si="228"/>
        <v>0</v>
      </c>
      <c r="AY66" s="38">
        <f t="shared" si="229"/>
        <v>0</v>
      </c>
      <c r="AZ66" s="37">
        <v>1050</v>
      </c>
      <c r="BA66" s="20">
        <v>100</v>
      </c>
      <c r="BB66" s="21">
        <v>0</v>
      </c>
      <c r="BC66" s="19">
        <f t="shared" si="300"/>
        <v>1050</v>
      </c>
      <c r="BD66" s="19">
        <f t="shared" si="301"/>
        <v>100</v>
      </c>
      <c r="BE66" s="19">
        <f t="shared" si="302"/>
        <v>339</v>
      </c>
      <c r="BF66" s="19">
        <f t="shared" si="303"/>
        <v>0</v>
      </c>
      <c r="BG66" s="19">
        <f t="shared" si="304"/>
        <v>0</v>
      </c>
      <c r="BH66" s="19">
        <f t="shared" si="305"/>
        <v>0</v>
      </c>
      <c r="BI66" s="19">
        <v>0</v>
      </c>
      <c r="BJ66" s="19">
        <v>95</v>
      </c>
      <c r="BK66" s="19">
        <f t="shared" si="296"/>
        <v>1584</v>
      </c>
      <c r="BL66" s="19">
        <v>0</v>
      </c>
      <c r="BM66" s="19">
        <v>0</v>
      </c>
      <c r="BN66" s="19">
        <f t="shared" si="297"/>
        <v>0</v>
      </c>
      <c r="BO66" s="19">
        <f t="shared" si="298"/>
        <v>1584</v>
      </c>
      <c r="BP66" s="19">
        <v>0</v>
      </c>
      <c r="BQ66" s="19">
        <v>0</v>
      </c>
      <c r="BR66" s="22">
        <f t="shared" si="299"/>
        <v>1584</v>
      </c>
      <c r="BS66" s="23">
        <f t="shared" si="230"/>
        <v>0</v>
      </c>
      <c r="BT66" s="24">
        <f t="shared" si="231"/>
        <v>0</v>
      </c>
      <c r="BU66" s="24">
        <f t="shared" si="232"/>
        <v>0</v>
      </c>
      <c r="BV66" s="24">
        <f t="shared" si="233"/>
        <v>0</v>
      </c>
      <c r="BW66" s="24">
        <f t="shared" si="234"/>
        <v>0</v>
      </c>
      <c r="BX66" s="24">
        <f t="shared" si="235"/>
        <v>0</v>
      </c>
      <c r="BY66" s="24">
        <f t="shared" si="236"/>
        <v>25</v>
      </c>
      <c r="BZ66" s="24">
        <f t="shared" si="237"/>
        <v>50</v>
      </c>
      <c r="CA66" s="24">
        <f t="shared" si="238"/>
        <v>0</v>
      </c>
      <c r="CB66" s="24">
        <f t="shared" si="239"/>
        <v>0</v>
      </c>
      <c r="CC66" s="24">
        <f t="shared" si="240"/>
        <v>0</v>
      </c>
      <c r="CD66" s="24">
        <f t="shared" si="241"/>
        <v>0</v>
      </c>
      <c r="CE66" s="24">
        <f t="shared" si="242"/>
        <v>0</v>
      </c>
      <c r="CF66" s="24">
        <f t="shared" si="243"/>
        <v>0</v>
      </c>
      <c r="CG66" s="24">
        <f t="shared" si="244"/>
        <v>0</v>
      </c>
      <c r="CH66" s="24">
        <f t="shared" si="245"/>
        <v>0</v>
      </c>
      <c r="CI66" s="24">
        <f t="shared" si="246"/>
        <v>0</v>
      </c>
      <c r="CJ66" s="24">
        <f t="shared" si="247"/>
        <v>0</v>
      </c>
      <c r="CK66" s="24">
        <f t="shared" si="248"/>
        <v>0</v>
      </c>
      <c r="CL66" s="24">
        <f t="shared" si="249"/>
        <v>0</v>
      </c>
      <c r="CM66" s="24">
        <f t="shared" si="250"/>
        <v>0</v>
      </c>
      <c r="CN66" s="24">
        <f t="shared" si="251"/>
        <v>0</v>
      </c>
      <c r="CO66" s="24">
        <f t="shared" si="252"/>
        <v>0</v>
      </c>
      <c r="CP66" s="24">
        <f t="shared" si="253"/>
        <v>0</v>
      </c>
      <c r="CQ66" s="24">
        <f t="shared" si="254"/>
        <v>0</v>
      </c>
      <c r="CR66" s="24">
        <f t="shared" si="255"/>
        <v>0</v>
      </c>
      <c r="CS66" s="24">
        <f t="shared" si="256"/>
        <v>0</v>
      </c>
      <c r="CT66" s="24">
        <f t="shared" si="257"/>
        <v>0</v>
      </c>
      <c r="CU66" s="24">
        <f t="shared" si="258"/>
        <v>0</v>
      </c>
      <c r="CV66" s="24">
        <f t="shared" si="259"/>
        <v>0</v>
      </c>
      <c r="CW66" s="24">
        <f t="shared" si="260"/>
        <v>0</v>
      </c>
      <c r="CX66" s="24">
        <f t="shared" si="261"/>
        <v>0</v>
      </c>
      <c r="CY66" s="24">
        <f t="shared" si="262"/>
        <v>0</v>
      </c>
      <c r="CZ66" s="24">
        <f t="shared" si="263"/>
        <v>0</v>
      </c>
      <c r="DA66" s="24">
        <f t="shared" si="264"/>
        <v>0</v>
      </c>
      <c r="DB66" s="24">
        <f t="shared" si="265"/>
        <v>0</v>
      </c>
      <c r="DC66" s="24">
        <f t="shared" si="266"/>
        <v>0</v>
      </c>
      <c r="DD66" s="24">
        <f t="shared" si="267"/>
        <v>0</v>
      </c>
      <c r="DE66" s="24">
        <f t="shared" si="268"/>
        <v>0</v>
      </c>
      <c r="DF66" s="24">
        <f t="shared" si="269"/>
        <v>0</v>
      </c>
      <c r="DG66" s="24">
        <f t="shared" si="270"/>
        <v>0</v>
      </c>
      <c r="DH66" s="24">
        <f t="shared" si="271"/>
        <v>0</v>
      </c>
      <c r="DI66" s="24">
        <f t="shared" si="272"/>
        <v>0</v>
      </c>
      <c r="DJ66" s="24">
        <f t="shared" si="273"/>
        <v>0</v>
      </c>
      <c r="DK66" s="24">
        <f t="shared" si="274"/>
        <v>0</v>
      </c>
      <c r="DL66" s="24">
        <f t="shared" si="275"/>
        <v>0</v>
      </c>
      <c r="DM66" s="24">
        <f t="shared" si="276"/>
        <v>0</v>
      </c>
      <c r="DN66" s="24">
        <f t="shared" si="277"/>
        <v>0</v>
      </c>
      <c r="DO66" s="24">
        <f t="shared" si="278"/>
        <v>0</v>
      </c>
      <c r="DP66" s="24">
        <f t="shared" si="279"/>
        <v>0</v>
      </c>
      <c r="DQ66" s="24">
        <f t="shared" si="280"/>
        <v>0</v>
      </c>
      <c r="DR66" s="24">
        <f t="shared" si="281"/>
        <v>0</v>
      </c>
      <c r="DS66" s="24">
        <f t="shared" si="282"/>
        <v>0</v>
      </c>
      <c r="DT66" s="24">
        <f t="shared" si="283"/>
        <v>0</v>
      </c>
      <c r="DU66" s="24">
        <f t="shared" si="284"/>
        <v>0</v>
      </c>
      <c r="DV66" s="24">
        <f t="shared" si="285"/>
        <v>0</v>
      </c>
      <c r="DW66" s="24">
        <f t="shared" si="286"/>
        <v>0</v>
      </c>
      <c r="DX66" s="24">
        <f t="shared" si="287"/>
        <v>0</v>
      </c>
      <c r="DY66" s="24">
        <f t="shared" si="288"/>
        <v>0</v>
      </c>
      <c r="DZ66" s="24">
        <f t="shared" si="289"/>
        <v>0</v>
      </c>
      <c r="EA66" s="24">
        <f t="shared" si="290"/>
        <v>0</v>
      </c>
      <c r="EB66" s="24">
        <f t="shared" si="291"/>
        <v>0</v>
      </c>
      <c r="EC66" s="24">
        <f t="shared" si="292"/>
        <v>0</v>
      </c>
      <c r="ED66" s="24">
        <f t="shared" si="293"/>
        <v>0</v>
      </c>
      <c r="EE66" s="78"/>
    </row>
    <row r="67" spans="1:135" s="2" customFormat="1" ht="18" customHeight="1" x14ac:dyDescent="0.25">
      <c r="A67" s="15">
        <v>64</v>
      </c>
      <c r="B67" s="108">
        <v>330</v>
      </c>
      <c r="C67" s="74" t="s">
        <v>115</v>
      </c>
      <c r="D67" s="16" t="s">
        <v>167</v>
      </c>
      <c r="E67" s="18">
        <v>45777</v>
      </c>
      <c r="F67" s="19" t="s">
        <v>316</v>
      </c>
      <c r="G67" s="19">
        <v>11</v>
      </c>
      <c r="H67" s="19">
        <v>11</v>
      </c>
      <c r="I67" s="19">
        <v>11</v>
      </c>
      <c r="J67" s="19" t="s">
        <v>603</v>
      </c>
      <c r="K67" s="19">
        <v>11</v>
      </c>
      <c r="L67" s="19" t="s">
        <v>316</v>
      </c>
      <c r="M67" s="19">
        <v>11</v>
      </c>
      <c r="N67" s="19">
        <v>11</v>
      </c>
      <c r="O67" s="19">
        <v>11</v>
      </c>
      <c r="P67" s="19">
        <v>11</v>
      </c>
      <c r="Q67" s="19">
        <v>11</v>
      </c>
      <c r="R67" s="19">
        <v>11</v>
      </c>
      <c r="S67" s="19" t="s">
        <v>15</v>
      </c>
      <c r="T67" s="19">
        <v>11</v>
      </c>
      <c r="U67" s="19">
        <v>11</v>
      </c>
      <c r="V67" s="19">
        <v>11</v>
      </c>
      <c r="W67" s="19">
        <v>11</v>
      </c>
      <c r="X67" s="19">
        <v>11</v>
      </c>
      <c r="Y67" s="19">
        <v>11</v>
      </c>
      <c r="Z67" s="19" t="s">
        <v>15</v>
      </c>
      <c r="AA67" s="19">
        <v>11</v>
      </c>
      <c r="AB67" s="19">
        <v>11</v>
      </c>
      <c r="AC67" s="19">
        <v>11</v>
      </c>
      <c r="AD67" s="19">
        <v>11</v>
      </c>
      <c r="AE67" s="19">
        <v>11</v>
      </c>
      <c r="AF67" s="19">
        <v>11</v>
      </c>
      <c r="AG67" s="19" t="s">
        <v>15</v>
      </c>
      <c r="AH67" s="19">
        <v>11</v>
      </c>
      <c r="AI67" s="19">
        <v>11</v>
      </c>
      <c r="AJ67" s="19">
        <v>0</v>
      </c>
      <c r="AK67" s="19">
        <v>0</v>
      </c>
      <c r="AL67" s="19">
        <v>0</v>
      </c>
      <c r="AM67" s="19">
        <v>11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f>SUM(BT67+BV67+BX67+BZ67+CB67+CD67+CF67+CH67+CJ67+CL67+CN67+CP67+CR67+CT67+CV67+CX67+CZ67+DB67+DD67+DF67+DH67+DJ67+DL67+DN67+DP67+DR67+DT67+DV67+DX67+DZ67+EB67+ED67)</f>
        <v>72</v>
      </c>
      <c r="AU67" s="19">
        <f>SUM(AJ67:AN67)</f>
        <v>11</v>
      </c>
      <c r="AV67" s="19">
        <f>SUM(AO67:AS67)</f>
        <v>0</v>
      </c>
      <c r="AW67" s="16">
        <f t="shared" si="227"/>
        <v>28</v>
      </c>
      <c r="AX67" s="16">
        <f t="shared" si="228"/>
        <v>2</v>
      </c>
      <c r="AY67" s="38">
        <f t="shared" si="229"/>
        <v>0</v>
      </c>
      <c r="AZ67" s="36">
        <v>950</v>
      </c>
      <c r="BA67" s="20">
        <v>100</v>
      </c>
      <c r="BB67" s="21">
        <v>0</v>
      </c>
      <c r="BC67" s="19">
        <f t="shared" si="300"/>
        <v>887</v>
      </c>
      <c r="BD67" s="19">
        <f t="shared" si="301"/>
        <v>93</v>
      </c>
      <c r="BE67" s="19">
        <f t="shared" si="302"/>
        <v>422</v>
      </c>
      <c r="BF67" s="19">
        <f t="shared" si="303"/>
        <v>0</v>
      </c>
      <c r="BG67" s="19">
        <f t="shared" si="304"/>
        <v>0</v>
      </c>
      <c r="BH67" s="19">
        <f t="shared" si="305"/>
        <v>0</v>
      </c>
      <c r="BI67" s="19">
        <v>0</v>
      </c>
      <c r="BJ67" s="19">
        <v>0</v>
      </c>
      <c r="BK67" s="19">
        <f>SUM(BC67:BJ67)</f>
        <v>1402</v>
      </c>
      <c r="BL67" s="19">
        <v>0</v>
      </c>
      <c r="BM67" s="19">
        <v>0</v>
      </c>
      <c r="BN67" s="19">
        <f>BL67+BM67</f>
        <v>0</v>
      </c>
      <c r="BO67" s="19">
        <f>BK67-BN67</f>
        <v>1402</v>
      </c>
      <c r="BP67" s="19">
        <v>0</v>
      </c>
      <c r="BQ67" s="19">
        <v>0</v>
      </c>
      <c r="BR67" s="22">
        <f>SUM(BO67:BP67)-BQ67</f>
        <v>1402</v>
      </c>
      <c r="BS67" s="23">
        <f t="shared" si="230"/>
        <v>0</v>
      </c>
      <c r="BT67" s="24">
        <f>BS67*0.5</f>
        <v>0</v>
      </c>
      <c r="BU67" s="24">
        <f t="shared" si="232"/>
        <v>0</v>
      </c>
      <c r="BV67" s="24">
        <f>BU67*1</f>
        <v>0</v>
      </c>
      <c r="BW67" s="24">
        <f t="shared" si="234"/>
        <v>0</v>
      </c>
      <c r="BX67" s="24">
        <f>BW67*1.5</f>
        <v>0</v>
      </c>
      <c r="BY67" s="24">
        <f t="shared" si="236"/>
        <v>0</v>
      </c>
      <c r="BZ67" s="24">
        <f>BY67*2</f>
        <v>0</v>
      </c>
      <c r="CA67" s="24">
        <f t="shared" si="238"/>
        <v>0</v>
      </c>
      <c r="CB67" s="24">
        <f>CA67*2.5</f>
        <v>0</v>
      </c>
      <c r="CC67" s="24">
        <f t="shared" si="240"/>
        <v>24</v>
      </c>
      <c r="CD67" s="24">
        <f>CC67*3</f>
        <v>72</v>
      </c>
      <c r="CE67" s="24">
        <f t="shared" si="242"/>
        <v>0</v>
      </c>
      <c r="CF67" s="24">
        <f>CE67*3.5</f>
        <v>0</v>
      </c>
      <c r="CG67" s="24">
        <f t="shared" si="244"/>
        <v>0</v>
      </c>
      <c r="CH67" s="24">
        <f>CG67*4</f>
        <v>0</v>
      </c>
      <c r="CI67" s="24">
        <f t="shared" si="246"/>
        <v>0</v>
      </c>
      <c r="CJ67" s="24">
        <f>CI67*4.5</f>
        <v>0</v>
      </c>
      <c r="CK67" s="24">
        <f t="shared" si="248"/>
        <v>0</v>
      </c>
      <c r="CL67" s="24">
        <f>CK67*5</f>
        <v>0</v>
      </c>
      <c r="CM67" s="24">
        <f t="shared" si="250"/>
        <v>0</v>
      </c>
      <c r="CN67" s="24">
        <f>CM67*5.5</f>
        <v>0</v>
      </c>
      <c r="CO67" s="24">
        <f t="shared" si="252"/>
        <v>0</v>
      </c>
      <c r="CP67" s="24">
        <f>CO67*6</f>
        <v>0</v>
      </c>
      <c r="CQ67" s="24">
        <f t="shared" si="254"/>
        <v>0</v>
      </c>
      <c r="CR67" s="24">
        <f>CQ67*6.5</f>
        <v>0</v>
      </c>
      <c r="CS67" s="24">
        <f t="shared" si="256"/>
        <v>0</v>
      </c>
      <c r="CT67" s="24">
        <f>CS67*7</f>
        <v>0</v>
      </c>
      <c r="CU67" s="24">
        <f t="shared" si="258"/>
        <v>0</v>
      </c>
      <c r="CV67" s="24">
        <f>CU67*7.5</f>
        <v>0</v>
      </c>
      <c r="CW67" s="24">
        <f t="shared" si="260"/>
        <v>0</v>
      </c>
      <c r="CX67" s="24">
        <f>CW67*8</f>
        <v>0</v>
      </c>
      <c r="CY67" s="24">
        <f t="shared" si="262"/>
        <v>0</v>
      </c>
      <c r="CZ67" s="24">
        <f>CY67*8.5</f>
        <v>0</v>
      </c>
      <c r="DA67" s="24">
        <f t="shared" si="264"/>
        <v>0</v>
      </c>
      <c r="DB67" s="24">
        <f>DA67*9</f>
        <v>0</v>
      </c>
      <c r="DC67" s="24">
        <f t="shared" si="266"/>
        <v>0</v>
      </c>
      <c r="DD67" s="24">
        <f>DC67*9.5</f>
        <v>0</v>
      </c>
      <c r="DE67" s="24">
        <f t="shared" si="268"/>
        <v>0</v>
      </c>
      <c r="DF67" s="24">
        <f>DE67*10</f>
        <v>0</v>
      </c>
      <c r="DG67" s="24">
        <f t="shared" si="270"/>
        <v>0</v>
      </c>
      <c r="DH67" s="24">
        <f>DG67*10.5</f>
        <v>0</v>
      </c>
      <c r="DI67" s="24">
        <f t="shared" si="272"/>
        <v>0</v>
      </c>
      <c r="DJ67" s="24">
        <f>DI67*11</f>
        <v>0</v>
      </c>
      <c r="DK67" s="24">
        <f t="shared" si="274"/>
        <v>0</v>
      </c>
      <c r="DL67" s="24">
        <f>DK67*11.5</f>
        <v>0</v>
      </c>
      <c r="DM67" s="24">
        <f t="shared" si="276"/>
        <v>0</v>
      </c>
      <c r="DN67" s="24">
        <f>DM67*12</f>
        <v>0</v>
      </c>
      <c r="DO67" s="24">
        <f t="shared" si="278"/>
        <v>0</v>
      </c>
      <c r="DP67" s="24">
        <f>DO67*12.5</f>
        <v>0</v>
      </c>
      <c r="DQ67" s="24">
        <f t="shared" si="280"/>
        <v>0</v>
      </c>
      <c r="DR67" s="24">
        <f>DQ67*13</f>
        <v>0</v>
      </c>
      <c r="DS67" s="24">
        <f t="shared" si="282"/>
        <v>0</v>
      </c>
      <c r="DT67" s="24">
        <f>DS67*13.5</f>
        <v>0</v>
      </c>
      <c r="DU67" s="24">
        <f t="shared" si="284"/>
        <v>0</v>
      </c>
      <c r="DV67" s="24">
        <f>DU67*14</f>
        <v>0</v>
      </c>
      <c r="DW67" s="24">
        <f t="shared" si="286"/>
        <v>0</v>
      </c>
      <c r="DX67" s="24">
        <f>DW67*14.5</f>
        <v>0</v>
      </c>
      <c r="DY67" s="24">
        <f t="shared" si="288"/>
        <v>0</v>
      </c>
      <c r="DZ67" s="24">
        <f>DY67*15</f>
        <v>0</v>
      </c>
      <c r="EA67" s="24">
        <f t="shared" si="290"/>
        <v>0</v>
      </c>
      <c r="EB67" s="24">
        <f>EA67*15.5</f>
        <v>0</v>
      </c>
      <c r="EC67" s="24">
        <f t="shared" si="292"/>
        <v>0</v>
      </c>
      <c r="ED67" s="24">
        <f>EC67*16</f>
        <v>0</v>
      </c>
      <c r="EE67" s="78"/>
    </row>
    <row r="68" spans="1:135" s="2" customFormat="1" ht="18" customHeight="1" x14ac:dyDescent="0.25">
      <c r="A68" s="15">
        <v>65</v>
      </c>
      <c r="B68" s="108">
        <v>334</v>
      </c>
      <c r="C68" s="74" t="s">
        <v>546</v>
      </c>
      <c r="D68" s="16" t="s">
        <v>107</v>
      </c>
      <c r="E68" s="18">
        <v>45783</v>
      </c>
      <c r="F68" s="19">
        <v>10</v>
      </c>
      <c r="G68" s="19">
        <v>10</v>
      </c>
      <c r="H68" s="19">
        <v>10</v>
      </c>
      <c r="I68" s="19">
        <v>10</v>
      </c>
      <c r="J68" s="19" t="s">
        <v>603</v>
      </c>
      <c r="K68" s="19">
        <v>10</v>
      </c>
      <c r="L68" s="19" t="s">
        <v>15</v>
      </c>
      <c r="M68" s="19">
        <v>10</v>
      </c>
      <c r="N68" s="19">
        <v>10</v>
      </c>
      <c r="O68" s="19">
        <v>10</v>
      </c>
      <c r="P68" s="19">
        <v>10</v>
      </c>
      <c r="Q68" s="19">
        <v>10</v>
      </c>
      <c r="R68" s="19">
        <v>10</v>
      </c>
      <c r="S68" s="19" t="s">
        <v>15</v>
      </c>
      <c r="T68" s="19">
        <v>10</v>
      </c>
      <c r="U68" s="19">
        <v>10</v>
      </c>
      <c r="V68" s="19">
        <v>10</v>
      </c>
      <c r="W68" s="19">
        <v>10</v>
      </c>
      <c r="X68" s="19">
        <v>10</v>
      </c>
      <c r="Y68" s="19">
        <v>10</v>
      </c>
      <c r="Z68" s="19" t="s">
        <v>15</v>
      </c>
      <c r="AA68" s="19">
        <v>10</v>
      </c>
      <c r="AB68" s="19">
        <v>10</v>
      </c>
      <c r="AC68" s="19">
        <v>10</v>
      </c>
      <c r="AD68" s="19">
        <v>10</v>
      </c>
      <c r="AE68" s="19">
        <v>10</v>
      </c>
      <c r="AF68" s="19">
        <v>10</v>
      </c>
      <c r="AG68" s="19" t="s">
        <v>15</v>
      </c>
      <c r="AH68" s="19">
        <v>10</v>
      </c>
      <c r="AI68" s="19">
        <v>10</v>
      </c>
      <c r="AJ68" s="19">
        <v>10</v>
      </c>
      <c r="AK68" s="19">
        <v>10</v>
      </c>
      <c r="AL68" s="19">
        <v>0</v>
      </c>
      <c r="AM68" s="19">
        <v>10</v>
      </c>
      <c r="AN68" s="19">
        <v>0</v>
      </c>
      <c r="AO68" s="19">
        <v>10</v>
      </c>
      <c r="AP68" s="19">
        <v>0</v>
      </c>
      <c r="AQ68" s="19">
        <v>0</v>
      </c>
      <c r="AR68" s="19">
        <v>0</v>
      </c>
      <c r="AS68" s="19">
        <v>0</v>
      </c>
      <c r="AT68" s="19">
        <f t="shared" si="294"/>
        <v>50</v>
      </c>
      <c r="AU68" s="19">
        <f t="shared" si="295"/>
        <v>30</v>
      </c>
      <c r="AV68" s="19">
        <f t="shared" si="226"/>
        <v>10</v>
      </c>
      <c r="AW68" s="16">
        <f t="shared" si="227"/>
        <v>30</v>
      </c>
      <c r="AX68" s="16">
        <f t="shared" si="228"/>
        <v>0</v>
      </c>
      <c r="AY68" s="38">
        <f t="shared" si="229"/>
        <v>0</v>
      </c>
      <c r="AZ68" s="36">
        <v>950</v>
      </c>
      <c r="BA68" s="20">
        <v>100</v>
      </c>
      <c r="BB68" s="21">
        <v>0</v>
      </c>
      <c r="BC68" s="19">
        <f t="shared" si="300"/>
        <v>950</v>
      </c>
      <c r="BD68" s="19">
        <f t="shared" si="301"/>
        <v>100</v>
      </c>
      <c r="BE68" s="19">
        <f t="shared" si="302"/>
        <v>485</v>
      </c>
      <c r="BF68" s="19">
        <f t="shared" si="303"/>
        <v>0</v>
      </c>
      <c r="BG68" s="19">
        <f t="shared" si="304"/>
        <v>0</v>
      </c>
      <c r="BH68" s="19">
        <f t="shared" si="305"/>
        <v>0</v>
      </c>
      <c r="BI68" s="19">
        <v>0</v>
      </c>
      <c r="BJ68" s="19">
        <v>95</v>
      </c>
      <c r="BK68" s="19">
        <f t="shared" si="296"/>
        <v>1630</v>
      </c>
      <c r="BL68" s="19">
        <v>0</v>
      </c>
      <c r="BM68" s="19">
        <v>0</v>
      </c>
      <c r="BN68" s="19">
        <f t="shared" si="297"/>
        <v>0</v>
      </c>
      <c r="BO68" s="19">
        <f t="shared" si="298"/>
        <v>1630</v>
      </c>
      <c r="BP68" s="19">
        <v>0</v>
      </c>
      <c r="BQ68" s="19">
        <v>0</v>
      </c>
      <c r="BR68" s="22">
        <f t="shared" si="299"/>
        <v>1630</v>
      </c>
      <c r="BS68" s="23">
        <f t="shared" si="230"/>
        <v>0</v>
      </c>
      <c r="BT68" s="24">
        <f t="shared" si="231"/>
        <v>0</v>
      </c>
      <c r="BU68" s="24">
        <f t="shared" si="232"/>
        <v>0</v>
      </c>
      <c r="BV68" s="24">
        <f t="shared" si="233"/>
        <v>0</v>
      </c>
      <c r="BW68" s="24">
        <f t="shared" si="234"/>
        <v>0</v>
      </c>
      <c r="BX68" s="24">
        <f t="shared" si="235"/>
        <v>0</v>
      </c>
      <c r="BY68" s="24">
        <f t="shared" si="236"/>
        <v>25</v>
      </c>
      <c r="BZ68" s="24">
        <f t="shared" si="237"/>
        <v>50</v>
      </c>
      <c r="CA68" s="24">
        <f t="shared" si="238"/>
        <v>0</v>
      </c>
      <c r="CB68" s="24">
        <f t="shared" si="239"/>
        <v>0</v>
      </c>
      <c r="CC68" s="24">
        <f t="shared" si="240"/>
        <v>0</v>
      </c>
      <c r="CD68" s="24">
        <f t="shared" si="241"/>
        <v>0</v>
      </c>
      <c r="CE68" s="24">
        <f t="shared" si="242"/>
        <v>0</v>
      </c>
      <c r="CF68" s="24">
        <f t="shared" si="243"/>
        <v>0</v>
      </c>
      <c r="CG68" s="24">
        <f t="shared" si="244"/>
        <v>0</v>
      </c>
      <c r="CH68" s="24">
        <f t="shared" si="245"/>
        <v>0</v>
      </c>
      <c r="CI68" s="24">
        <f t="shared" si="246"/>
        <v>0</v>
      </c>
      <c r="CJ68" s="24">
        <f t="shared" si="247"/>
        <v>0</v>
      </c>
      <c r="CK68" s="24">
        <f t="shared" si="248"/>
        <v>0</v>
      </c>
      <c r="CL68" s="24">
        <f t="shared" si="249"/>
        <v>0</v>
      </c>
      <c r="CM68" s="24">
        <f t="shared" si="250"/>
        <v>0</v>
      </c>
      <c r="CN68" s="24">
        <f t="shared" si="251"/>
        <v>0</v>
      </c>
      <c r="CO68" s="24">
        <f t="shared" si="252"/>
        <v>0</v>
      </c>
      <c r="CP68" s="24">
        <f t="shared" si="253"/>
        <v>0</v>
      </c>
      <c r="CQ68" s="24">
        <f t="shared" si="254"/>
        <v>0</v>
      </c>
      <c r="CR68" s="24">
        <f t="shared" si="255"/>
        <v>0</v>
      </c>
      <c r="CS68" s="24">
        <f t="shared" si="256"/>
        <v>0</v>
      </c>
      <c r="CT68" s="24">
        <f t="shared" si="257"/>
        <v>0</v>
      </c>
      <c r="CU68" s="24">
        <f t="shared" si="258"/>
        <v>0</v>
      </c>
      <c r="CV68" s="24">
        <f t="shared" si="259"/>
        <v>0</v>
      </c>
      <c r="CW68" s="24">
        <f t="shared" si="260"/>
        <v>0</v>
      </c>
      <c r="CX68" s="24">
        <f t="shared" si="261"/>
        <v>0</v>
      </c>
      <c r="CY68" s="24">
        <f t="shared" si="262"/>
        <v>0</v>
      </c>
      <c r="CZ68" s="24">
        <f t="shared" si="263"/>
        <v>0</v>
      </c>
      <c r="DA68" s="24">
        <f t="shared" si="264"/>
        <v>0</v>
      </c>
      <c r="DB68" s="24">
        <f t="shared" si="265"/>
        <v>0</v>
      </c>
      <c r="DC68" s="24">
        <f t="shared" si="266"/>
        <v>0</v>
      </c>
      <c r="DD68" s="24">
        <f t="shared" si="267"/>
        <v>0</v>
      </c>
      <c r="DE68" s="24">
        <f t="shared" si="268"/>
        <v>0</v>
      </c>
      <c r="DF68" s="24">
        <f t="shared" si="269"/>
        <v>0</v>
      </c>
      <c r="DG68" s="24">
        <f t="shared" si="270"/>
        <v>0</v>
      </c>
      <c r="DH68" s="24">
        <f t="shared" si="271"/>
        <v>0</v>
      </c>
      <c r="DI68" s="24">
        <f t="shared" si="272"/>
        <v>0</v>
      </c>
      <c r="DJ68" s="24">
        <f t="shared" si="273"/>
        <v>0</v>
      </c>
      <c r="DK68" s="24">
        <f t="shared" si="274"/>
        <v>0</v>
      </c>
      <c r="DL68" s="24">
        <f t="shared" si="275"/>
        <v>0</v>
      </c>
      <c r="DM68" s="24">
        <f t="shared" si="276"/>
        <v>0</v>
      </c>
      <c r="DN68" s="24">
        <f t="shared" si="277"/>
        <v>0</v>
      </c>
      <c r="DO68" s="24">
        <f t="shared" si="278"/>
        <v>0</v>
      </c>
      <c r="DP68" s="24">
        <f t="shared" si="279"/>
        <v>0</v>
      </c>
      <c r="DQ68" s="24">
        <f t="shared" si="280"/>
        <v>0</v>
      </c>
      <c r="DR68" s="24">
        <f t="shared" si="281"/>
        <v>0</v>
      </c>
      <c r="DS68" s="24">
        <f t="shared" si="282"/>
        <v>0</v>
      </c>
      <c r="DT68" s="24">
        <f t="shared" si="283"/>
        <v>0</v>
      </c>
      <c r="DU68" s="24">
        <f t="shared" si="284"/>
        <v>0</v>
      </c>
      <c r="DV68" s="24">
        <f t="shared" si="285"/>
        <v>0</v>
      </c>
      <c r="DW68" s="24">
        <f t="shared" si="286"/>
        <v>0</v>
      </c>
      <c r="DX68" s="24">
        <f t="shared" si="287"/>
        <v>0</v>
      </c>
      <c r="DY68" s="24">
        <f t="shared" si="288"/>
        <v>0</v>
      </c>
      <c r="DZ68" s="24">
        <f t="shared" si="289"/>
        <v>0</v>
      </c>
      <c r="EA68" s="24">
        <f t="shared" si="290"/>
        <v>0</v>
      </c>
      <c r="EB68" s="24">
        <f t="shared" si="291"/>
        <v>0</v>
      </c>
      <c r="EC68" s="24">
        <f t="shared" si="292"/>
        <v>0</v>
      </c>
      <c r="ED68" s="24">
        <f t="shared" si="293"/>
        <v>0</v>
      </c>
      <c r="EE68" s="78"/>
    </row>
    <row r="69" spans="1:135" s="2" customFormat="1" ht="18" customHeight="1" x14ac:dyDescent="0.25">
      <c r="A69" s="15">
        <v>66</v>
      </c>
      <c r="B69" s="108">
        <v>335</v>
      </c>
      <c r="C69" s="74" t="s">
        <v>547</v>
      </c>
      <c r="D69" s="16" t="s">
        <v>107</v>
      </c>
      <c r="E69" s="18">
        <v>45786</v>
      </c>
      <c r="F69" s="19">
        <v>10</v>
      </c>
      <c r="G69" s="19">
        <v>8</v>
      </c>
      <c r="H69" s="19">
        <v>10</v>
      </c>
      <c r="I69" s="19">
        <v>10</v>
      </c>
      <c r="J69" s="19" t="s">
        <v>603</v>
      </c>
      <c r="K69" s="19">
        <v>10</v>
      </c>
      <c r="L69" s="19" t="s">
        <v>15</v>
      </c>
      <c r="M69" s="19">
        <v>10</v>
      </c>
      <c r="N69" s="19">
        <v>10</v>
      </c>
      <c r="O69" s="19">
        <v>10</v>
      </c>
      <c r="P69" s="19">
        <v>10</v>
      </c>
      <c r="Q69" s="19">
        <v>10</v>
      </c>
      <c r="R69" s="19">
        <v>10</v>
      </c>
      <c r="S69" s="19" t="s">
        <v>15</v>
      </c>
      <c r="T69" s="19">
        <v>10</v>
      </c>
      <c r="U69" s="19">
        <v>10</v>
      </c>
      <c r="V69" s="19">
        <v>10</v>
      </c>
      <c r="W69" s="19">
        <v>10</v>
      </c>
      <c r="X69" s="19">
        <v>10</v>
      </c>
      <c r="Y69" s="19">
        <v>10</v>
      </c>
      <c r="Z69" s="19" t="s">
        <v>15</v>
      </c>
      <c r="AA69" s="19">
        <v>11</v>
      </c>
      <c r="AB69" s="19">
        <v>11</v>
      </c>
      <c r="AC69" s="19">
        <v>11</v>
      </c>
      <c r="AD69" s="19">
        <v>11</v>
      </c>
      <c r="AE69" s="19">
        <v>11</v>
      </c>
      <c r="AF69" s="19">
        <v>11</v>
      </c>
      <c r="AG69" s="19" t="s">
        <v>15</v>
      </c>
      <c r="AH69" s="19">
        <v>11</v>
      </c>
      <c r="AI69" s="19">
        <v>11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f t="shared" si="294"/>
        <v>56</v>
      </c>
      <c r="AU69" s="19">
        <f t="shared" si="295"/>
        <v>0</v>
      </c>
      <c r="AV69" s="19">
        <f t="shared" si="226"/>
        <v>0</v>
      </c>
      <c r="AW69" s="16">
        <f t="shared" si="227"/>
        <v>30</v>
      </c>
      <c r="AX69" s="16">
        <f t="shared" si="228"/>
        <v>0</v>
      </c>
      <c r="AY69" s="38">
        <f t="shared" si="229"/>
        <v>0</v>
      </c>
      <c r="AZ69" s="36">
        <v>900</v>
      </c>
      <c r="BA69" s="20">
        <v>100</v>
      </c>
      <c r="BB69" s="21">
        <v>0</v>
      </c>
      <c r="BC69" s="19">
        <f t="shared" si="300"/>
        <v>900</v>
      </c>
      <c r="BD69" s="19">
        <f t="shared" si="301"/>
        <v>100</v>
      </c>
      <c r="BE69" s="19">
        <f t="shared" si="302"/>
        <v>263</v>
      </c>
      <c r="BF69" s="19">
        <f t="shared" si="303"/>
        <v>0</v>
      </c>
      <c r="BG69" s="19">
        <f t="shared" si="304"/>
        <v>0</v>
      </c>
      <c r="BH69" s="19">
        <f t="shared" si="305"/>
        <v>0</v>
      </c>
      <c r="BI69" s="19">
        <v>0</v>
      </c>
      <c r="BJ69" s="19">
        <v>95</v>
      </c>
      <c r="BK69" s="19">
        <f t="shared" si="296"/>
        <v>1358</v>
      </c>
      <c r="BL69" s="19">
        <v>0</v>
      </c>
      <c r="BM69" s="19">
        <v>0</v>
      </c>
      <c r="BN69" s="19">
        <f t="shared" si="297"/>
        <v>0</v>
      </c>
      <c r="BO69" s="19">
        <f t="shared" si="298"/>
        <v>1358</v>
      </c>
      <c r="BP69" s="19">
        <v>0</v>
      </c>
      <c r="BQ69" s="19">
        <v>0</v>
      </c>
      <c r="BR69" s="22">
        <f t="shared" si="299"/>
        <v>1358</v>
      </c>
      <c r="BS69" s="23">
        <f t="shared" si="230"/>
        <v>0</v>
      </c>
      <c r="BT69" s="24">
        <f t="shared" si="231"/>
        <v>0</v>
      </c>
      <c r="BU69" s="24">
        <f t="shared" si="232"/>
        <v>0</v>
      </c>
      <c r="BV69" s="24">
        <f t="shared" si="233"/>
        <v>0</v>
      </c>
      <c r="BW69" s="24">
        <f t="shared" si="234"/>
        <v>0</v>
      </c>
      <c r="BX69" s="24">
        <f t="shared" si="235"/>
        <v>0</v>
      </c>
      <c r="BY69" s="24">
        <f t="shared" si="236"/>
        <v>16</v>
      </c>
      <c r="BZ69" s="24">
        <f t="shared" si="237"/>
        <v>32</v>
      </c>
      <c r="CA69" s="24">
        <f t="shared" si="238"/>
        <v>0</v>
      </c>
      <c r="CB69" s="24">
        <f t="shared" si="239"/>
        <v>0</v>
      </c>
      <c r="CC69" s="24">
        <f t="shared" si="240"/>
        <v>8</v>
      </c>
      <c r="CD69" s="24">
        <f t="shared" si="241"/>
        <v>24</v>
      </c>
      <c r="CE69" s="24">
        <f t="shared" si="242"/>
        <v>0</v>
      </c>
      <c r="CF69" s="24">
        <f t="shared" si="243"/>
        <v>0</v>
      </c>
      <c r="CG69" s="24">
        <f t="shared" si="244"/>
        <v>0</v>
      </c>
      <c r="CH69" s="24">
        <f t="shared" si="245"/>
        <v>0</v>
      </c>
      <c r="CI69" s="24">
        <f t="shared" si="246"/>
        <v>0</v>
      </c>
      <c r="CJ69" s="24">
        <f t="shared" si="247"/>
        <v>0</v>
      </c>
      <c r="CK69" s="24">
        <f t="shared" si="248"/>
        <v>0</v>
      </c>
      <c r="CL69" s="24">
        <f t="shared" si="249"/>
        <v>0</v>
      </c>
      <c r="CM69" s="24">
        <f t="shared" si="250"/>
        <v>0</v>
      </c>
      <c r="CN69" s="24">
        <f t="shared" si="251"/>
        <v>0</v>
      </c>
      <c r="CO69" s="24">
        <f t="shared" si="252"/>
        <v>0</v>
      </c>
      <c r="CP69" s="24">
        <f t="shared" si="253"/>
        <v>0</v>
      </c>
      <c r="CQ69" s="24">
        <f t="shared" si="254"/>
        <v>0</v>
      </c>
      <c r="CR69" s="24">
        <f t="shared" si="255"/>
        <v>0</v>
      </c>
      <c r="CS69" s="24">
        <f t="shared" si="256"/>
        <v>0</v>
      </c>
      <c r="CT69" s="24">
        <f t="shared" si="257"/>
        <v>0</v>
      </c>
      <c r="CU69" s="24">
        <f t="shared" si="258"/>
        <v>0</v>
      </c>
      <c r="CV69" s="24">
        <f t="shared" si="259"/>
        <v>0</v>
      </c>
      <c r="CW69" s="24">
        <f t="shared" si="260"/>
        <v>0</v>
      </c>
      <c r="CX69" s="24">
        <f t="shared" si="261"/>
        <v>0</v>
      </c>
      <c r="CY69" s="24">
        <f t="shared" si="262"/>
        <v>0</v>
      </c>
      <c r="CZ69" s="24">
        <f t="shared" si="263"/>
        <v>0</v>
      </c>
      <c r="DA69" s="24">
        <f t="shared" si="264"/>
        <v>0</v>
      </c>
      <c r="DB69" s="24">
        <f t="shared" si="265"/>
        <v>0</v>
      </c>
      <c r="DC69" s="24">
        <f t="shared" si="266"/>
        <v>0</v>
      </c>
      <c r="DD69" s="24">
        <f t="shared" si="267"/>
        <v>0</v>
      </c>
      <c r="DE69" s="24">
        <f t="shared" si="268"/>
        <v>0</v>
      </c>
      <c r="DF69" s="24">
        <f t="shared" si="269"/>
        <v>0</v>
      </c>
      <c r="DG69" s="24">
        <f t="shared" si="270"/>
        <v>0</v>
      </c>
      <c r="DH69" s="24">
        <f t="shared" si="271"/>
        <v>0</v>
      </c>
      <c r="DI69" s="24">
        <f t="shared" si="272"/>
        <v>0</v>
      </c>
      <c r="DJ69" s="24">
        <f t="shared" si="273"/>
        <v>0</v>
      </c>
      <c r="DK69" s="24">
        <f t="shared" si="274"/>
        <v>0</v>
      </c>
      <c r="DL69" s="24">
        <f t="shared" si="275"/>
        <v>0</v>
      </c>
      <c r="DM69" s="24">
        <f t="shared" si="276"/>
        <v>0</v>
      </c>
      <c r="DN69" s="24">
        <f t="shared" si="277"/>
        <v>0</v>
      </c>
      <c r="DO69" s="24">
        <f t="shared" si="278"/>
        <v>0</v>
      </c>
      <c r="DP69" s="24">
        <f t="shared" si="279"/>
        <v>0</v>
      </c>
      <c r="DQ69" s="24">
        <f t="shared" si="280"/>
        <v>0</v>
      </c>
      <c r="DR69" s="24">
        <f t="shared" si="281"/>
        <v>0</v>
      </c>
      <c r="DS69" s="24">
        <f t="shared" si="282"/>
        <v>0</v>
      </c>
      <c r="DT69" s="24">
        <f t="shared" si="283"/>
        <v>0</v>
      </c>
      <c r="DU69" s="24">
        <f t="shared" si="284"/>
        <v>0</v>
      </c>
      <c r="DV69" s="24">
        <f t="shared" si="285"/>
        <v>0</v>
      </c>
      <c r="DW69" s="24">
        <f t="shared" si="286"/>
        <v>0</v>
      </c>
      <c r="DX69" s="24">
        <f t="shared" si="287"/>
        <v>0</v>
      </c>
      <c r="DY69" s="24">
        <f t="shared" si="288"/>
        <v>0</v>
      </c>
      <c r="DZ69" s="24">
        <f t="shared" si="289"/>
        <v>0</v>
      </c>
      <c r="EA69" s="24">
        <f t="shared" si="290"/>
        <v>0</v>
      </c>
      <c r="EB69" s="24">
        <f t="shared" si="291"/>
        <v>0</v>
      </c>
      <c r="EC69" s="24">
        <f t="shared" si="292"/>
        <v>0</v>
      </c>
      <c r="ED69" s="24">
        <f t="shared" si="293"/>
        <v>0</v>
      </c>
      <c r="EE69" s="78"/>
    </row>
    <row r="70" spans="1:135" s="2" customFormat="1" ht="18" customHeight="1" x14ac:dyDescent="0.25">
      <c r="A70" s="15">
        <v>67</v>
      </c>
      <c r="B70" s="108">
        <v>336</v>
      </c>
      <c r="C70" s="74" t="s">
        <v>548</v>
      </c>
      <c r="D70" s="16" t="s">
        <v>167</v>
      </c>
      <c r="E70" s="18">
        <v>45788</v>
      </c>
      <c r="F70" s="19">
        <v>10</v>
      </c>
      <c r="G70" s="19">
        <v>10</v>
      </c>
      <c r="H70" s="19">
        <v>10</v>
      </c>
      <c r="I70" s="19">
        <v>10</v>
      </c>
      <c r="J70" s="19" t="s">
        <v>603</v>
      </c>
      <c r="K70" s="19">
        <v>10</v>
      </c>
      <c r="L70" s="19" t="s">
        <v>15</v>
      </c>
      <c r="M70" s="19">
        <v>10</v>
      </c>
      <c r="N70" s="19">
        <v>10</v>
      </c>
      <c r="O70" s="19">
        <v>10</v>
      </c>
      <c r="P70" s="19">
        <v>10</v>
      </c>
      <c r="Q70" s="19">
        <v>10</v>
      </c>
      <c r="R70" s="19">
        <v>10</v>
      </c>
      <c r="S70" s="19" t="s">
        <v>15</v>
      </c>
      <c r="T70" s="19">
        <v>10</v>
      </c>
      <c r="U70" s="19">
        <v>10</v>
      </c>
      <c r="V70" s="19">
        <v>10</v>
      </c>
      <c r="W70" s="19">
        <v>10</v>
      </c>
      <c r="X70" s="19">
        <v>10</v>
      </c>
      <c r="Y70" s="19">
        <v>10</v>
      </c>
      <c r="Z70" s="19" t="s">
        <v>15</v>
      </c>
      <c r="AA70" s="19">
        <v>10</v>
      </c>
      <c r="AB70" s="19">
        <v>10</v>
      </c>
      <c r="AC70" s="19">
        <v>10</v>
      </c>
      <c r="AD70" s="19">
        <v>10</v>
      </c>
      <c r="AE70" s="19">
        <v>10</v>
      </c>
      <c r="AF70" s="19">
        <v>10</v>
      </c>
      <c r="AG70" s="19" t="s">
        <v>15</v>
      </c>
      <c r="AH70" s="19">
        <v>10</v>
      </c>
      <c r="AI70" s="19">
        <v>10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10</v>
      </c>
      <c r="AP70" s="19">
        <v>0</v>
      </c>
      <c r="AQ70" s="19">
        <v>0</v>
      </c>
      <c r="AR70" s="19">
        <v>0</v>
      </c>
      <c r="AS70" s="19">
        <v>0</v>
      </c>
      <c r="AT70" s="19">
        <f t="shared" si="294"/>
        <v>50</v>
      </c>
      <c r="AU70" s="19">
        <f t="shared" si="295"/>
        <v>0</v>
      </c>
      <c r="AV70" s="19">
        <f t="shared" si="226"/>
        <v>10</v>
      </c>
      <c r="AW70" s="16">
        <f t="shared" si="227"/>
        <v>30</v>
      </c>
      <c r="AX70" s="16">
        <f t="shared" si="228"/>
        <v>0</v>
      </c>
      <c r="AY70" s="38">
        <f t="shared" si="229"/>
        <v>0</v>
      </c>
      <c r="AZ70" s="37">
        <v>950</v>
      </c>
      <c r="BA70" s="20">
        <v>100</v>
      </c>
      <c r="BB70" s="21">
        <v>0</v>
      </c>
      <c r="BC70" s="19">
        <f t="shared" si="300"/>
        <v>950</v>
      </c>
      <c r="BD70" s="19">
        <f t="shared" si="301"/>
        <v>100</v>
      </c>
      <c r="BE70" s="19">
        <f t="shared" si="302"/>
        <v>307</v>
      </c>
      <c r="BF70" s="19">
        <f t="shared" si="303"/>
        <v>0</v>
      </c>
      <c r="BG70" s="19">
        <f t="shared" si="304"/>
        <v>0</v>
      </c>
      <c r="BH70" s="19">
        <f t="shared" si="305"/>
        <v>0</v>
      </c>
      <c r="BI70" s="19">
        <v>0</v>
      </c>
      <c r="BJ70" s="19">
        <v>95</v>
      </c>
      <c r="BK70" s="19">
        <f t="shared" si="296"/>
        <v>1452</v>
      </c>
      <c r="BL70" s="19">
        <v>0</v>
      </c>
      <c r="BM70" s="19">
        <v>0</v>
      </c>
      <c r="BN70" s="19">
        <f t="shared" si="297"/>
        <v>0</v>
      </c>
      <c r="BO70" s="19">
        <f t="shared" si="298"/>
        <v>1452</v>
      </c>
      <c r="BP70" s="19">
        <v>0</v>
      </c>
      <c r="BQ70" s="19">
        <v>0</v>
      </c>
      <c r="BR70" s="22">
        <f t="shared" si="299"/>
        <v>1452</v>
      </c>
      <c r="BS70" s="23">
        <f t="shared" si="230"/>
        <v>0</v>
      </c>
      <c r="BT70" s="24">
        <f t="shared" si="231"/>
        <v>0</v>
      </c>
      <c r="BU70" s="24">
        <f t="shared" si="232"/>
        <v>0</v>
      </c>
      <c r="BV70" s="24">
        <f t="shared" si="233"/>
        <v>0</v>
      </c>
      <c r="BW70" s="24">
        <f t="shared" si="234"/>
        <v>0</v>
      </c>
      <c r="BX70" s="24">
        <f t="shared" si="235"/>
        <v>0</v>
      </c>
      <c r="BY70" s="24">
        <f t="shared" si="236"/>
        <v>25</v>
      </c>
      <c r="BZ70" s="24">
        <f t="shared" si="237"/>
        <v>50</v>
      </c>
      <c r="CA70" s="24">
        <f t="shared" si="238"/>
        <v>0</v>
      </c>
      <c r="CB70" s="24">
        <f t="shared" si="239"/>
        <v>0</v>
      </c>
      <c r="CC70" s="24">
        <f t="shared" si="240"/>
        <v>0</v>
      </c>
      <c r="CD70" s="24">
        <f t="shared" si="241"/>
        <v>0</v>
      </c>
      <c r="CE70" s="24">
        <f t="shared" si="242"/>
        <v>0</v>
      </c>
      <c r="CF70" s="24">
        <f t="shared" si="243"/>
        <v>0</v>
      </c>
      <c r="CG70" s="24">
        <f t="shared" si="244"/>
        <v>0</v>
      </c>
      <c r="CH70" s="24">
        <f t="shared" si="245"/>
        <v>0</v>
      </c>
      <c r="CI70" s="24">
        <f t="shared" si="246"/>
        <v>0</v>
      </c>
      <c r="CJ70" s="24">
        <f t="shared" si="247"/>
        <v>0</v>
      </c>
      <c r="CK70" s="24">
        <f t="shared" si="248"/>
        <v>0</v>
      </c>
      <c r="CL70" s="24">
        <f t="shared" si="249"/>
        <v>0</v>
      </c>
      <c r="CM70" s="24">
        <f t="shared" si="250"/>
        <v>0</v>
      </c>
      <c r="CN70" s="24">
        <f t="shared" si="251"/>
        <v>0</v>
      </c>
      <c r="CO70" s="24">
        <f t="shared" si="252"/>
        <v>0</v>
      </c>
      <c r="CP70" s="24">
        <f t="shared" si="253"/>
        <v>0</v>
      </c>
      <c r="CQ70" s="24">
        <f t="shared" si="254"/>
        <v>0</v>
      </c>
      <c r="CR70" s="24">
        <f t="shared" si="255"/>
        <v>0</v>
      </c>
      <c r="CS70" s="24">
        <f t="shared" si="256"/>
        <v>0</v>
      </c>
      <c r="CT70" s="24">
        <f t="shared" si="257"/>
        <v>0</v>
      </c>
      <c r="CU70" s="24">
        <f t="shared" si="258"/>
        <v>0</v>
      </c>
      <c r="CV70" s="24">
        <f t="shared" si="259"/>
        <v>0</v>
      </c>
      <c r="CW70" s="24">
        <f t="shared" si="260"/>
        <v>0</v>
      </c>
      <c r="CX70" s="24">
        <f t="shared" si="261"/>
        <v>0</v>
      </c>
      <c r="CY70" s="24">
        <f t="shared" si="262"/>
        <v>0</v>
      </c>
      <c r="CZ70" s="24">
        <f t="shared" si="263"/>
        <v>0</v>
      </c>
      <c r="DA70" s="24">
        <f t="shared" si="264"/>
        <v>0</v>
      </c>
      <c r="DB70" s="24">
        <f t="shared" si="265"/>
        <v>0</v>
      </c>
      <c r="DC70" s="24">
        <f t="shared" si="266"/>
        <v>0</v>
      </c>
      <c r="DD70" s="24">
        <f t="shared" si="267"/>
        <v>0</v>
      </c>
      <c r="DE70" s="24">
        <f t="shared" si="268"/>
        <v>0</v>
      </c>
      <c r="DF70" s="24">
        <f t="shared" si="269"/>
        <v>0</v>
      </c>
      <c r="DG70" s="24">
        <f t="shared" si="270"/>
        <v>0</v>
      </c>
      <c r="DH70" s="24">
        <f t="shared" si="271"/>
        <v>0</v>
      </c>
      <c r="DI70" s="24">
        <f t="shared" si="272"/>
        <v>0</v>
      </c>
      <c r="DJ70" s="24">
        <f t="shared" si="273"/>
        <v>0</v>
      </c>
      <c r="DK70" s="24">
        <f t="shared" si="274"/>
        <v>0</v>
      </c>
      <c r="DL70" s="24">
        <f t="shared" si="275"/>
        <v>0</v>
      </c>
      <c r="DM70" s="24">
        <f t="shared" si="276"/>
        <v>0</v>
      </c>
      <c r="DN70" s="24">
        <f t="shared" si="277"/>
        <v>0</v>
      </c>
      <c r="DO70" s="24">
        <f t="shared" si="278"/>
        <v>0</v>
      </c>
      <c r="DP70" s="24">
        <f t="shared" si="279"/>
        <v>0</v>
      </c>
      <c r="DQ70" s="24">
        <f t="shared" si="280"/>
        <v>0</v>
      </c>
      <c r="DR70" s="24">
        <f t="shared" si="281"/>
        <v>0</v>
      </c>
      <c r="DS70" s="24">
        <f t="shared" si="282"/>
        <v>0</v>
      </c>
      <c r="DT70" s="24">
        <f t="shared" si="283"/>
        <v>0</v>
      </c>
      <c r="DU70" s="24">
        <f t="shared" si="284"/>
        <v>0</v>
      </c>
      <c r="DV70" s="24">
        <f t="shared" si="285"/>
        <v>0</v>
      </c>
      <c r="DW70" s="24">
        <f t="shared" si="286"/>
        <v>0</v>
      </c>
      <c r="DX70" s="24">
        <f t="shared" si="287"/>
        <v>0</v>
      </c>
      <c r="DY70" s="24">
        <f t="shared" si="288"/>
        <v>0</v>
      </c>
      <c r="DZ70" s="24">
        <f t="shared" si="289"/>
        <v>0</v>
      </c>
      <c r="EA70" s="24">
        <f t="shared" si="290"/>
        <v>0</v>
      </c>
      <c r="EB70" s="24">
        <f t="shared" si="291"/>
        <v>0</v>
      </c>
      <c r="EC70" s="24">
        <f t="shared" si="292"/>
        <v>0</v>
      </c>
      <c r="ED70" s="24">
        <f t="shared" si="293"/>
        <v>0</v>
      </c>
      <c r="EE70" s="78"/>
    </row>
    <row r="71" spans="1:135" s="2" customFormat="1" ht="18" customHeight="1" x14ac:dyDescent="0.25">
      <c r="A71" s="15">
        <v>68</v>
      </c>
      <c r="B71" s="108">
        <v>337</v>
      </c>
      <c r="C71" s="74" t="s">
        <v>549</v>
      </c>
      <c r="D71" s="16" t="s">
        <v>107</v>
      </c>
      <c r="E71" s="18">
        <v>45797</v>
      </c>
      <c r="F71" s="19">
        <v>11</v>
      </c>
      <c r="G71" s="19">
        <v>11</v>
      </c>
      <c r="H71" s="19">
        <v>11</v>
      </c>
      <c r="I71" s="19">
        <v>11</v>
      </c>
      <c r="J71" s="19" t="s">
        <v>603</v>
      </c>
      <c r="K71" s="19">
        <v>11</v>
      </c>
      <c r="L71" s="19" t="s">
        <v>15</v>
      </c>
      <c r="M71" s="19">
        <v>11</v>
      </c>
      <c r="N71" s="19">
        <v>11</v>
      </c>
      <c r="O71" s="19">
        <v>11</v>
      </c>
      <c r="P71" s="19">
        <v>11</v>
      </c>
      <c r="Q71" s="19">
        <v>11</v>
      </c>
      <c r="R71" s="19">
        <v>11</v>
      </c>
      <c r="S71" s="19" t="s">
        <v>15</v>
      </c>
      <c r="T71" s="19">
        <v>11</v>
      </c>
      <c r="U71" s="19">
        <v>11</v>
      </c>
      <c r="V71" s="19">
        <v>11</v>
      </c>
      <c r="W71" s="19">
        <v>11</v>
      </c>
      <c r="X71" s="19">
        <v>11</v>
      </c>
      <c r="Y71" s="19">
        <v>11</v>
      </c>
      <c r="Z71" s="19" t="s">
        <v>15</v>
      </c>
      <c r="AA71" s="19">
        <v>11</v>
      </c>
      <c r="AB71" s="19">
        <v>11</v>
      </c>
      <c r="AC71" s="19">
        <v>11</v>
      </c>
      <c r="AD71" s="19">
        <v>11</v>
      </c>
      <c r="AE71" s="19">
        <v>11</v>
      </c>
      <c r="AF71" s="19">
        <v>11</v>
      </c>
      <c r="AG71" s="19" t="s">
        <v>15</v>
      </c>
      <c r="AH71" s="19">
        <v>11</v>
      </c>
      <c r="AI71" s="19">
        <v>11</v>
      </c>
      <c r="AJ71" s="19">
        <v>0</v>
      </c>
      <c r="AK71" s="19">
        <v>11</v>
      </c>
      <c r="AL71" s="19">
        <v>0</v>
      </c>
      <c r="AM71" s="19">
        <v>0</v>
      </c>
      <c r="AN71" s="19">
        <v>0</v>
      </c>
      <c r="AO71" s="19">
        <v>11</v>
      </c>
      <c r="AP71" s="19">
        <v>0</v>
      </c>
      <c r="AQ71" s="19">
        <v>0</v>
      </c>
      <c r="AR71" s="19">
        <v>0</v>
      </c>
      <c r="AS71" s="19">
        <v>0</v>
      </c>
      <c r="AT71" s="19">
        <f>SUM(BT71+BV71+BX71+BZ71+CB71+CD71+CF71+CH71+CJ71+CL71+CN71+CP71+CR71+CT71+CV71+CX71+CZ71+DB71+DD71+DF71+DH71+DJ71+DL71+DN71+DP71+DR71+DT71+DV71+DX71+DZ71+EB71+ED71)</f>
        <v>75</v>
      </c>
      <c r="AU71" s="19">
        <f>SUM(AJ71:AN71)</f>
        <v>11</v>
      </c>
      <c r="AV71" s="19">
        <f>SUM(AO71:AS71)</f>
        <v>11</v>
      </c>
      <c r="AW71" s="16">
        <f t="shared" si="227"/>
        <v>30</v>
      </c>
      <c r="AX71" s="16">
        <f t="shared" si="228"/>
        <v>0</v>
      </c>
      <c r="AY71" s="38">
        <f t="shared" si="229"/>
        <v>0</v>
      </c>
      <c r="AZ71" s="36">
        <v>900</v>
      </c>
      <c r="BA71" s="20">
        <v>100</v>
      </c>
      <c r="BB71" s="21">
        <v>0</v>
      </c>
      <c r="BC71" s="19">
        <f t="shared" si="300"/>
        <v>900</v>
      </c>
      <c r="BD71" s="19">
        <f t="shared" si="301"/>
        <v>100</v>
      </c>
      <c r="BE71" s="19">
        <f t="shared" si="302"/>
        <v>475</v>
      </c>
      <c r="BF71" s="19">
        <f t="shared" si="303"/>
        <v>0</v>
      </c>
      <c r="BG71" s="19">
        <f t="shared" si="304"/>
        <v>0</v>
      </c>
      <c r="BH71" s="19">
        <f t="shared" si="305"/>
        <v>0</v>
      </c>
      <c r="BI71" s="19">
        <v>0</v>
      </c>
      <c r="BJ71" s="19">
        <v>95</v>
      </c>
      <c r="BK71" s="19">
        <f>SUM(BC71:BJ71)</f>
        <v>1570</v>
      </c>
      <c r="BL71" s="19">
        <v>0</v>
      </c>
      <c r="BM71" s="19">
        <v>0</v>
      </c>
      <c r="BN71" s="19">
        <f>BL71+BM71</f>
        <v>0</v>
      </c>
      <c r="BO71" s="19">
        <f>BK71-BN71</f>
        <v>1570</v>
      </c>
      <c r="BP71" s="19">
        <v>0</v>
      </c>
      <c r="BQ71" s="19">
        <v>0</v>
      </c>
      <c r="BR71" s="22">
        <f>SUM(BO71:BP71)-BQ71</f>
        <v>1570</v>
      </c>
      <c r="BS71" s="23">
        <f t="shared" si="230"/>
        <v>0</v>
      </c>
      <c r="BT71" s="24">
        <f>BS71*0.5</f>
        <v>0</v>
      </c>
      <c r="BU71" s="24">
        <f t="shared" si="232"/>
        <v>0</v>
      </c>
      <c r="BV71" s="24">
        <f>BU71*1</f>
        <v>0</v>
      </c>
      <c r="BW71" s="24">
        <f t="shared" si="234"/>
        <v>0</v>
      </c>
      <c r="BX71" s="24">
        <f>BW71*1.5</f>
        <v>0</v>
      </c>
      <c r="BY71" s="24">
        <f t="shared" si="236"/>
        <v>0</v>
      </c>
      <c r="BZ71" s="24">
        <f>BY71*2</f>
        <v>0</v>
      </c>
      <c r="CA71" s="24">
        <f t="shared" si="238"/>
        <v>0</v>
      </c>
      <c r="CB71" s="24">
        <f>CA71*2.5</f>
        <v>0</v>
      </c>
      <c r="CC71" s="24">
        <f t="shared" si="240"/>
        <v>25</v>
      </c>
      <c r="CD71" s="24">
        <f>CC71*3</f>
        <v>75</v>
      </c>
      <c r="CE71" s="24">
        <f t="shared" si="242"/>
        <v>0</v>
      </c>
      <c r="CF71" s="24">
        <f>CE71*3.5</f>
        <v>0</v>
      </c>
      <c r="CG71" s="24">
        <f t="shared" si="244"/>
        <v>0</v>
      </c>
      <c r="CH71" s="24">
        <f>CG71*4</f>
        <v>0</v>
      </c>
      <c r="CI71" s="24">
        <f t="shared" si="246"/>
        <v>0</v>
      </c>
      <c r="CJ71" s="24">
        <f>CI71*4.5</f>
        <v>0</v>
      </c>
      <c r="CK71" s="24">
        <f t="shared" si="248"/>
        <v>0</v>
      </c>
      <c r="CL71" s="24">
        <f>CK71*5</f>
        <v>0</v>
      </c>
      <c r="CM71" s="24">
        <f t="shared" si="250"/>
        <v>0</v>
      </c>
      <c r="CN71" s="24">
        <f>CM71*5.5</f>
        <v>0</v>
      </c>
      <c r="CO71" s="24">
        <f t="shared" si="252"/>
        <v>0</v>
      </c>
      <c r="CP71" s="24">
        <f>CO71*6</f>
        <v>0</v>
      </c>
      <c r="CQ71" s="24">
        <f t="shared" si="254"/>
        <v>0</v>
      </c>
      <c r="CR71" s="24">
        <f>CQ71*6.5</f>
        <v>0</v>
      </c>
      <c r="CS71" s="24">
        <f t="shared" si="256"/>
        <v>0</v>
      </c>
      <c r="CT71" s="24">
        <f>CS71*7</f>
        <v>0</v>
      </c>
      <c r="CU71" s="24">
        <f t="shared" si="258"/>
        <v>0</v>
      </c>
      <c r="CV71" s="24">
        <f>CU71*7.5</f>
        <v>0</v>
      </c>
      <c r="CW71" s="24">
        <f t="shared" si="260"/>
        <v>0</v>
      </c>
      <c r="CX71" s="24">
        <f>CW71*8</f>
        <v>0</v>
      </c>
      <c r="CY71" s="24">
        <f t="shared" si="262"/>
        <v>0</v>
      </c>
      <c r="CZ71" s="24">
        <f>CY71*8.5</f>
        <v>0</v>
      </c>
      <c r="DA71" s="24">
        <f t="shared" si="264"/>
        <v>0</v>
      </c>
      <c r="DB71" s="24">
        <f>DA71*9</f>
        <v>0</v>
      </c>
      <c r="DC71" s="24">
        <f t="shared" si="266"/>
        <v>0</v>
      </c>
      <c r="DD71" s="24">
        <f>DC71*9.5</f>
        <v>0</v>
      </c>
      <c r="DE71" s="24">
        <f t="shared" si="268"/>
        <v>0</v>
      </c>
      <c r="DF71" s="24">
        <f>DE71*10</f>
        <v>0</v>
      </c>
      <c r="DG71" s="24">
        <f t="shared" si="270"/>
        <v>0</v>
      </c>
      <c r="DH71" s="24">
        <f>DG71*10.5</f>
        <v>0</v>
      </c>
      <c r="DI71" s="24">
        <f t="shared" si="272"/>
        <v>0</v>
      </c>
      <c r="DJ71" s="24">
        <f>DI71*11</f>
        <v>0</v>
      </c>
      <c r="DK71" s="24">
        <f t="shared" si="274"/>
        <v>0</v>
      </c>
      <c r="DL71" s="24">
        <f>DK71*11.5</f>
        <v>0</v>
      </c>
      <c r="DM71" s="24">
        <f t="shared" si="276"/>
        <v>0</v>
      </c>
      <c r="DN71" s="24">
        <f>DM71*12</f>
        <v>0</v>
      </c>
      <c r="DO71" s="24">
        <f t="shared" si="278"/>
        <v>0</v>
      </c>
      <c r="DP71" s="24">
        <f>DO71*12.5</f>
        <v>0</v>
      </c>
      <c r="DQ71" s="24">
        <f t="shared" si="280"/>
        <v>0</v>
      </c>
      <c r="DR71" s="24">
        <f>DQ71*13</f>
        <v>0</v>
      </c>
      <c r="DS71" s="24">
        <f t="shared" si="282"/>
        <v>0</v>
      </c>
      <c r="DT71" s="24">
        <f>DS71*13.5</f>
        <v>0</v>
      </c>
      <c r="DU71" s="24">
        <f t="shared" si="284"/>
        <v>0</v>
      </c>
      <c r="DV71" s="24">
        <f>DU71*14</f>
        <v>0</v>
      </c>
      <c r="DW71" s="24">
        <f t="shared" si="286"/>
        <v>0</v>
      </c>
      <c r="DX71" s="24">
        <f>DW71*14.5</f>
        <v>0</v>
      </c>
      <c r="DY71" s="24">
        <f t="shared" si="288"/>
        <v>0</v>
      </c>
      <c r="DZ71" s="24">
        <f>DY71*15</f>
        <v>0</v>
      </c>
      <c r="EA71" s="24">
        <f t="shared" si="290"/>
        <v>0</v>
      </c>
      <c r="EB71" s="24">
        <f>EA71*15.5</f>
        <v>0</v>
      </c>
      <c r="EC71" s="24">
        <f t="shared" si="292"/>
        <v>0</v>
      </c>
      <c r="ED71" s="24">
        <f>EC71*16</f>
        <v>0</v>
      </c>
      <c r="EE71" s="78"/>
    </row>
    <row r="72" spans="1:135" s="2" customFormat="1" ht="18" customHeight="1" x14ac:dyDescent="0.25">
      <c r="A72" s="15">
        <v>69</v>
      </c>
      <c r="B72" s="108">
        <v>338</v>
      </c>
      <c r="C72" s="74" t="s">
        <v>550</v>
      </c>
      <c r="D72" s="16" t="s">
        <v>107</v>
      </c>
      <c r="E72" s="18">
        <v>45797</v>
      </c>
      <c r="F72" s="19">
        <v>13</v>
      </c>
      <c r="G72" s="19">
        <v>11</v>
      </c>
      <c r="H72" s="19">
        <v>13</v>
      </c>
      <c r="I72" s="19">
        <v>13</v>
      </c>
      <c r="J72" s="19" t="s">
        <v>603</v>
      </c>
      <c r="K72" s="19">
        <v>11</v>
      </c>
      <c r="L72" s="19" t="s">
        <v>15</v>
      </c>
      <c r="M72" s="19">
        <v>11</v>
      </c>
      <c r="N72" s="19">
        <v>13</v>
      </c>
      <c r="O72" s="19">
        <v>11</v>
      </c>
      <c r="P72" s="19">
        <v>11</v>
      </c>
      <c r="Q72" s="19">
        <v>11</v>
      </c>
      <c r="R72" s="19">
        <v>11</v>
      </c>
      <c r="S72" s="19" t="s">
        <v>15</v>
      </c>
      <c r="T72" s="19">
        <v>11</v>
      </c>
      <c r="U72" s="19">
        <v>11</v>
      </c>
      <c r="V72" s="19">
        <v>11</v>
      </c>
      <c r="W72" s="19">
        <v>11</v>
      </c>
      <c r="X72" s="19">
        <v>11</v>
      </c>
      <c r="Y72" s="19">
        <v>11</v>
      </c>
      <c r="Z72" s="19" t="s">
        <v>15</v>
      </c>
      <c r="AA72" s="19">
        <v>11</v>
      </c>
      <c r="AB72" s="19">
        <v>11</v>
      </c>
      <c r="AC72" s="19">
        <v>11</v>
      </c>
      <c r="AD72" s="19">
        <v>11</v>
      </c>
      <c r="AE72" s="19">
        <v>11</v>
      </c>
      <c r="AF72" s="19">
        <v>11</v>
      </c>
      <c r="AG72" s="19" t="s">
        <v>15</v>
      </c>
      <c r="AH72" s="19">
        <v>11</v>
      </c>
      <c r="AI72" s="19">
        <v>13</v>
      </c>
      <c r="AJ72" s="19">
        <v>0</v>
      </c>
      <c r="AK72" s="19">
        <v>11</v>
      </c>
      <c r="AL72" s="19">
        <v>0</v>
      </c>
      <c r="AM72" s="19">
        <v>11</v>
      </c>
      <c r="AN72" s="19">
        <v>0</v>
      </c>
      <c r="AO72" s="19">
        <v>11</v>
      </c>
      <c r="AP72" s="19">
        <v>0</v>
      </c>
      <c r="AQ72" s="19">
        <v>0</v>
      </c>
      <c r="AR72" s="19">
        <v>0</v>
      </c>
      <c r="AS72" s="19">
        <v>0</v>
      </c>
      <c r="AT72" s="19">
        <f>SUM(BT72+BV72+BX72+BZ72+CB72+CD72+CF72+CH72+CJ72+CL72+CN72+CP72+CR72+CT72+CV72+CX72+CZ72+DB72+DD72+DF72+DH72+DJ72+DL72+DN72+DP72+DR72+DT72+DV72+DX72+DZ72+EB72+ED72)</f>
        <v>85</v>
      </c>
      <c r="AU72" s="19">
        <f>SUM(AJ72:AN72)</f>
        <v>22</v>
      </c>
      <c r="AV72" s="19">
        <f>SUM(AO72:AS72)</f>
        <v>11</v>
      </c>
      <c r="AW72" s="16">
        <f t="shared" si="227"/>
        <v>30</v>
      </c>
      <c r="AX72" s="16">
        <f t="shared" si="228"/>
        <v>0</v>
      </c>
      <c r="AY72" s="38">
        <f t="shared" si="229"/>
        <v>0</v>
      </c>
      <c r="AZ72" s="36">
        <v>850</v>
      </c>
      <c r="BA72" s="20">
        <v>100</v>
      </c>
      <c r="BB72" s="21">
        <v>0</v>
      </c>
      <c r="BC72" s="19">
        <f t="shared" si="300"/>
        <v>850</v>
      </c>
      <c r="BD72" s="19">
        <f t="shared" si="301"/>
        <v>100</v>
      </c>
      <c r="BE72" s="19">
        <f t="shared" si="302"/>
        <v>552</v>
      </c>
      <c r="BF72" s="19">
        <f t="shared" si="303"/>
        <v>0</v>
      </c>
      <c r="BG72" s="19">
        <f t="shared" si="304"/>
        <v>0</v>
      </c>
      <c r="BH72" s="19">
        <f t="shared" si="305"/>
        <v>0</v>
      </c>
      <c r="BI72" s="19">
        <v>0</v>
      </c>
      <c r="BJ72" s="19">
        <v>95</v>
      </c>
      <c r="BK72" s="19">
        <f>SUM(BC72:BJ72)</f>
        <v>1597</v>
      </c>
      <c r="BL72" s="19">
        <v>0</v>
      </c>
      <c r="BM72" s="19">
        <v>0</v>
      </c>
      <c r="BN72" s="19">
        <f>BL72+BM72</f>
        <v>0</v>
      </c>
      <c r="BO72" s="19">
        <f>BK72-BN72</f>
        <v>1597</v>
      </c>
      <c r="BP72" s="19">
        <v>0</v>
      </c>
      <c r="BQ72" s="19">
        <v>0</v>
      </c>
      <c r="BR72" s="22">
        <f>SUM(BO72:BP72)-BQ72</f>
        <v>1597</v>
      </c>
      <c r="BS72" s="23">
        <f t="shared" si="230"/>
        <v>0</v>
      </c>
      <c r="BT72" s="24">
        <f>BS72*0.5</f>
        <v>0</v>
      </c>
      <c r="BU72" s="24">
        <f t="shared" si="232"/>
        <v>0</v>
      </c>
      <c r="BV72" s="24">
        <f>BU72*1</f>
        <v>0</v>
      </c>
      <c r="BW72" s="24">
        <f t="shared" si="234"/>
        <v>0</v>
      </c>
      <c r="BX72" s="24">
        <f>BW72*1.5</f>
        <v>0</v>
      </c>
      <c r="BY72" s="24">
        <f t="shared" si="236"/>
        <v>0</v>
      </c>
      <c r="BZ72" s="24">
        <f>BY72*2</f>
        <v>0</v>
      </c>
      <c r="CA72" s="24">
        <f t="shared" si="238"/>
        <v>0</v>
      </c>
      <c r="CB72" s="24">
        <f>CA72*2.5</f>
        <v>0</v>
      </c>
      <c r="CC72" s="24">
        <f t="shared" si="240"/>
        <v>20</v>
      </c>
      <c r="CD72" s="24">
        <f>CC72*3</f>
        <v>60</v>
      </c>
      <c r="CE72" s="24">
        <f t="shared" si="242"/>
        <v>0</v>
      </c>
      <c r="CF72" s="24">
        <f>CE72*3.5</f>
        <v>0</v>
      </c>
      <c r="CG72" s="24">
        <f t="shared" si="244"/>
        <v>0</v>
      </c>
      <c r="CH72" s="24">
        <f>CG72*4</f>
        <v>0</v>
      </c>
      <c r="CI72" s="24">
        <f t="shared" si="246"/>
        <v>0</v>
      </c>
      <c r="CJ72" s="24">
        <f>CI72*4.5</f>
        <v>0</v>
      </c>
      <c r="CK72" s="24">
        <f t="shared" si="248"/>
        <v>5</v>
      </c>
      <c r="CL72" s="24">
        <f>CK72*5</f>
        <v>25</v>
      </c>
      <c r="CM72" s="24">
        <f t="shared" si="250"/>
        <v>0</v>
      </c>
      <c r="CN72" s="24">
        <f>CM72*5.5</f>
        <v>0</v>
      </c>
      <c r="CO72" s="24">
        <f t="shared" si="252"/>
        <v>0</v>
      </c>
      <c r="CP72" s="24">
        <f>CO72*6</f>
        <v>0</v>
      </c>
      <c r="CQ72" s="24">
        <f t="shared" si="254"/>
        <v>0</v>
      </c>
      <c r="CR72" s="24">
        <f>CQ72*6.5</f>
        <v>0</v>
      </c>
      <c r="CS72" s="24">
        <f t="shared" si="256"/>
        <v>0</v>
      </c>
      <c r="CT72" s="24">
        <f>CS72*7</f>
        <v>0</v>
      </c>
      <c r="CU72" s="24">
        <f t="shared" si="258"/>
        <v>0</v>
      </c>
      <c r="CV72" s="24">
        <f>CU72*7.5</f>
        <v>0</v>
      </c>
      <c r="CW72" s="24">
        <f t="shared" si="260"/>
        <v>0</v>
      </c>
      <c r="CX72" s="24">
        <f>CW72*8</f>
        <v>0</v>
      </c>
      <c r="CY72" s="24">
        <f t="shared" si="262"/>
        <v>0</v>
      </c>
      <c r="CZ72" s="24">
        <f>CY72*8.5</f>
        <v>0</v>
      </c>
      <c r="DA72" s="24">
        <f t="shared" si="264"/>
        <v>0</v>
      </c>
      <c r="DB72" s="24">
        <f>DA72*9</f>
        <v>0</v>
      </c>
      <c r="DC72" s="24">
        <f t="shared" si="266"/>
        <v>0</v>
      </c>
      <c r="DD72" s="24">
        <f>DC72*9.5</f>
        <v>0</v>
      </c>
      <c r="DE72" s="24">
        <f t="shared" si="268"/>
        <v>0</v>
      </c>
      <c r="DF72" s="24">
        <f>DE72*10</f>
        <v>0</v>
      </c>
      <c r="DG72" s="24">
        <f t="shared" si="270"/>
        <v>0</v>
      </c>
      <c r="DH72" s="24">
        <f>DG72*10.5</f>
        <v>0</v>
      </c>
      <c r="DI72" s="24">
        <f t="shared" si="272"/>
        <v>0</v>
      </c>
      <c r="DJ72" s="24">
        <f>DI72*11</f>
        <v>0</v>
      </c>
      <c r="DK72" s="24">
        <f t="shared" si="274"/>
        <v>0</v>
      </c>
      <c r="DL72" s="24">
        <f>DK72*11.5</f>
        <v>0</v>
      </c>
      <c r="DM72" s="24">
        <f t="shared" si="276"/>
        <v>0</v>
      </c>
      <c r="DN72" s="24">
        <f>DM72*12</f>
        <v>0</v>
      </c>
      <c r="DO72" s="24">
        <f t="shared" si="278"/>
        <v>0</v>
      </c>
      <c r="DP72" s="24">
        <f>DO72*12.5</f>
        <v>0</v>
      </c>
      <c r="DQ72" s="24">
        <f t="shared" si="280"/>
        <v>0</v>
      </c>
      <c r="DR72" s="24">
        <f>DQ72*13</f>
        <v>0</v>
      </c>
      <c r="DS72" s="24">
        <f t="shared" si="282"/>
        <v>0</v>
      </c>
      <c r="DT72" s="24">
        <f>DS72*13.5</f>
        <v>0</v>
      </c>
      <c r="DU72" s="24">
        <f t="shared" si="284"/>
        <v>0</v>
      </c>
      <c r="DV72" s="24">
        <f>DU72*14</f>
        <v>0</v>
      </c>
      <c r="DW72" s="24">
        <f t="shared" si="286"/>
        <v>0</v>
      </c>
      <c r="DX72" s="24">
        <f>DW72*14.5</f>
        <v>0</v>
      </c>
      <c r="DY72" s="24">
        <f t="shared" si="288"/>
        <v>0</v>
      </c>
      <c r="DZ72" s="24">
        <f>DY72*15</f>
        <v>0</v>
      </c>
      <c r="EA72" s="24">
        <f t="shared" si="290"/>
        <v>0</v>
      </c>
      <c r="EB72" s="24">
        <f>EA72*15.5</f>
        <v>0</v>
      </c>
      <c r="EC72" s="24">
        <f t="shared" si="292"/>
        <v>0</v>
      </c>
      <c r="ED72" s="24">
        <f>EC72*16</f>
        <v>0</v>
      </c>
      <c r="EE72" s="78"/>
    </row>
    <row r="73" spans="1:135" s="2" customFormat="1" ht="18" customHeight="1" x14ac:dyDescent="0.25">
      <c r="A73" s="15">
        <v>70</v>
      </c>
      <c r="B73" s="108">
        <v>341</v>
      </c>
      <c r="C73" s="74" t="s">
        <v>551</v>
      </c>
      <c r="D73" s="16" t="s">
        <v>107</v>
      </c>
      <c r="E73" s="18">
        <v>45802</v>
      </c>
      <c r="F73" s="19">
        <v>11</v>
      </c>
      <c r="G73" s="19">
        <v>11</v>
      </c>
      <c r="H73" s="19">
        <v>11</v>
      </c>
      <c r="I73" s="19">
        <v>11</v>
      </c>
      <c r="J73" s="19" t="s">
        <v>603</v>
      </c>
      <c r="K73" s="19">
        <v>11</v>
      </c>
      <c r="L73" s="19" t="s">
        <v>15</v>
      </c>
      <c r="M73" s="19">
        <v>11</v>
      </c>
      <c r="N73" s="19">
        <v>11</v>
      </c>
      <c r="O73" s="19">
        <v>11</v>
      </c>
      <c r="P73" s="19">
        <v>11</v>
      </c>
      <c r="Q73" s="19">
        <v>11</v>
      </c>
      <c r="R73" s="19">
        <v>11</v>
      </c>
      <c r="S73" s="19" t="s">
        <v>15</v>
      </c>
      <c r="T73" s="19">
        <v>11</v>
      </c>
      <c r="U73" s="19">
        <v>11</v>
      </c>
      <c r="V73" s="19">
        <v>11</v>
      </c>
      <c r="W73" s="19">
        <v>11</v>
      </c>
      <c r="X73" s="19">
        <v>11</v>
      </c>
      <c r="Y73" s="19">
        <v>11</v>
      </c>
      <c r="Z73" s="19" t="s">
        <v>15</v>
      </c>
      <c r="AA73" s="19">
        <v>11</v>
      </c>
      <c r="AB73" s="19">
        <v>11</v>
      </c>
      <c r="AC73" s="19">
        <v>11</v>
      </c>
      <c r="AD73" s="19">
        <v>11</v>
      </c>
      <c r="AE73" s="19">
        <v>11</v>
      </c>
      <c r="AF73" s="19">
        <v>11</v>
      </c>
      <c r="AG73" s="19" t="s">
        <v>15</v>
      </c>
      <c r="AH73" s="19">
        <v>11</v>
      </c>
      <c r="AI73" s="19">
        <v>11</v>
      </c>
      <c r="AJ73" s="19">
        <v>0</v>
      </c>
      <c r="AK73" s="19">
        <v>11</v>
      </c>
      <c r="AL73" s="19">
        <v>11</v>
      </c>
      <c r="AM73" s="19">
        <v>0</v>
      </c>
      <c r="AN73" s="19">
        <v>0</v>
      </c>
      <c r="AO73" s="19">
        <v>11</v>
      </c>
      <c r="AP73" s="19">
        <v>0</v>
      </c>
      <c r="AQ73" s="19">
        <v>0</v>
      </c>
      <c r="AR73" s="19">
        <v>0</v>
      </c>
      <c r="AS73" s="19">
        <v>0</v>
      </c>
      <c r="AT73" s="19">
        <f>SUM(BT73+BV73+BX73+BZ73+CB73+CD73+CF73+CH73+CJ73+CL73+CN73+CP73+CR73+CT73+CV73+CX73+CZ73+DB73+DD73+DF73+DH73+DJ73+DL73+DN73+DP73+DR73+DT73+DV73+DX73+DZ73+EB73+ED73)</f>
        <v>75</v>
      </c>
      <c r="AU73" s="19">
        <f>SUM(AJ73:AN73)</f>
        <v>22</v>
      </c>
      <c r="AV73" s="19">
        <f>SUM(AO73:AS73)</f>
        <v>11</v>
      </c>
      <c r="AW73" s="16">
        <f t="shared" si="227"/>
        <v>30</v>
      </c>
      <c r="AX73" s="16">
        <f t="shared" si="228"/>
        <v>0</v>
      </c>
      <c r="AY73" s="38">
        <f t="shared" si="229"/>
        <v>0</v>
      </c>
      <c r="AZ73" s="36">
        <v>950</v>
      </c>
      <c r="BA73" s="20">
        <v>100</v>
      </c>
      <c r="BB73" s="21">
        <v>0</v>
      </c>
      <c r="BC73" s="19">
        <f t="shared" si="300"/>
        <v>950</v>
      </c>
      <c r="BD73" s="19">
        <f t="shared" si="301"/>
        <v>100</v>
      </c>
      <c r="BE73" s="19">
        <f t="shared" si="302"/>
        <v>567</v>
      </c>
      <c r="BF73" s="19">
        <f t="shared" si="303"/>
        <v>0</v>
      </c>
      <c r="BG73" s="19">
        <f t="shared" si="304"/>
        <v>0</v>
      </c>
      <c r="BH73" s="19">
        <f t="shared" si="305"/>
        <v>0</v>
      </c>
      <c r="BI73" s="19">
        <v>0</v>
      </c>
      <c r="BJ73" s="19">
        <v>95</v>
      </c>
      <c r="BK73" s="19">
        <f>SUM(BC73:BJ73)</f>
        <v>1712</v>
      </c>
      <c r="BL73" s="19">
        <v>0</v>
      </c>
      <c r="BM73" s="19">
        <v>0</v>
      </c>
      <c r="BN73" s="19">
        <f>BL73+BM73</f>
        <v>0</v>
      </c>
      <c r="BO73" s="19">
        <f>BK73-BN73</f>
        <v>1712</v>
      </c>
      <c r="BP73" s="19">
        <v>0</v>
      </c>
      <c r="BQ73" s="19">
        <v>0</v>
      </c>
      <c r="BR73" s="22">
        <f>SUM(BO73:BP73)-BQ73</f>
        <v>1712</v>
      </c>
      <c r="BS73" s="23">
        <f t="shared" si="230"/>
        <v>0</v>
      </c>
      <c r="BT73" s="24">
        <f>BS73*0.5</f>
        <v>0</v>
      </c>
      <c r="BU73" s="24">
        <f t="shared" si="232"/>
        <v>0</v>
      </c>
      <c r="BV73" s="24">
        <f>BU73*1</f>
        <v>0</v>
      </c>
      <c r="BW73" s="24">
        <f t="shared" si="234"/>
        <v>0</v>
      </c>
      <c r="BX73" s="24">
        <f>BW73*1.5</f>
        <v>0</v>
      </c>
      <c r="BY73" s="24">
        <f t="shared" si="236"/>
        <v>0</v>
      </c>
      <c r="BZ73" s="24">
        <f>BY73*2</f>
        <v>0</v>
      </c>
      <c r="CA73" s="24">
        <f t="shared" si="238"/>
        <v>0</v>
      </c>
      <c r="CB73" s="24">
        <f>CA73*2.5</f>
        <v>0</v>
      </c>
      <c r="CC73" s="24">
        <f t="shared" si="240"/>
        <v>25</v>
      </c>
      <c r="CD73" s="24">
        <f>CC73*3</f>
        <v>75</v>
      </c>
      <c r="CE73" s="24">
        <f t="shared" si="242"/>
        <v>0</v>
      </c>
      <c r="CF73" s="24">
        <f>CE73*3.5</f>
        <v>0</v>
      </c>
      <c r="CG73" s="24">
        <f t="shared" si="244"/>
        <v>0</v>
      </c>
      <c r="CH73" s="24">
        <f>CG73*4</f>
        <v>0</v>
      </c>
      <c r="CI73" s="24">
        <f t="shared" si="246"/>
        <v>0</v>
      </c>
      <c r="CJ73" s="24">
        <f>CI73*4.5</f>
        <v>0</v>
      </c>
      <c r="CK73" s="24">
        <f t="shared" si="248"/>
        <v>0</v>
      </c>
      <c r="CL73" s="24">
        <f>CK73*5</f>
        <v>0</v>
      </c>
      <c r="CM73" s="24">
        <f t="shared" si="250"/>
        <v>0</v>
      </c>
      <c r="CN73" s="24">
        <f>CM73*5.5</f>
        <v>0</v>
      </c>
      <c r="CO73" s="24">
        <f t="shared" si="252"/>
        <v>0</v>
      </c>
      <c r="CP73" s="24">
        <f>CO73*6</f>
        <v>0</v>
      </c>
      <c r="CQ73" s="24">
        <f t="shared" si="254"/>
        <v>0</v>
      </c>
      <c r="CR73" s="24">
        <f>CQ73*6.5</f>
        <v>0</v>
      </c>
      <c r="CS73" s="24">
        <f t="shared" si="256"/>
        <v>0</v>
      </c>
      <c r="CT73" s="24">
        <f>CS73*7</f>
        <v>0</v>
      </c>
      <c r="CU73" s="24">
        <f t="shared" si="258"/>
        <v>0</v>
      </c>
      <c r="CV73" s="24">
        <f>CU73*7.5</f>
        <v>0</v>
      </c>
      <c r="CW73" s="24">
        <f t="shared" si="260"/>
        <v>0</v>
      </c>
      <c r="CX73" s="24">
        <f>CW73*8</f>
        <v>0</v>
      </c>
      <c r="CY73" s="24">
        <f t="shared" si="262"/>
        <v>0</v>
      </c>
      <c r="CZ73" s="24">
        <f>CY73*8.5</f>
        <v>0</v>
      </c>
      <c r="DA73" s="24">
        <f t="shared" si="264"/>
        <v>0</v>
      </c>
      <c r="DB73" s="24">
        <f>DA73*9</f>
        <v>0</v>
      </c>
      <c r="DC73" s="24">
        <f t="shared" si="266"/>
        <v>0</v>
      </c>
      <c r="DD73" s="24">
        <f>DC73*9.5</f>
        <v>0</v>
      </c>
      <c r="DE73" s="24">
        <f t="shared" si="268"/>
        <v>0</v>
      </c>
      <c r="DF73" s="24">
        <f>DE73*10</f>
        <v>0</v>
      </c>
      <c r="DG73" s="24">
        <f t="shared" si="270"/>
        <v>0</v>
      </c>
      <c r="DH73" s="24">
        <f>DG73*10.5</f>
        <v>0</v>
      </c>
      <c r="DI73" s="24">
        <f t="shared" si="272"/>
        <v>0</v>
      </c>
      <c r="DJ73" s="24">
        <f>DI73*11</f>
        <v>0</v>
      </c>
      <c r="DK73" s="24">
        <f t="shared" si="274"/>
        <v>0</v>
      </c>
      <c r="DL73" s="24">
        <f>DK73*11.5</f>
        <v>0</v>
      </c>
      <c r="DM73" s="24">
        <f t="shared" si="276"/>
        <v>0</v>
      </c>
      <c r="DN73" s="24">
        <f>DM73*12</f>
        <v>0</v>
      </c>
      <c r="DO73" s="24">
        <f t="shared" si="278"/>
        <v>0</v>
      </c>
      <c r="DP73" s="24">
        <f>DO73*12.5</f>
        <v>0</v>
      </c>
      <c r="DQ73" s="24">
        <f t="shared" si="280"/>
        <v>0</v>
      </c>
      <c r="DR73" s="24">
        <f>DQ73*13</f>
        <v>0</v>
      </c>
      <c r="DS73" s="24">
        <f t="shared" si="282"/>
        <v>0</v>
      </c>
      <c r="DT73" s="24">
        <f>DS73*13.5</f>
        <v>0</v>
      </c>
      <c r="DU73" s="24">
        <f t="shared" si="284"/>
        <v>0</v>
      </c>
      <c r="DV73" s="24">
        <f>DU73*14</f>
        <v>0</v>
      </c>
      <c r="DW73" s="24">
        <f t="shared" si="286"/>
        <v>0</v>
      </c>
      <c r="DX73" s="24">
        <f>DW73*14.5</f>
        <v>0</v>
      </c>
      <c r="DY73" s="24">
        <f t="shared" si="288"/>
        <v>0</v>
      </c>
      <c r="DZ73" s="24">
        <f>DY73*15</f>
        <v>0</v>
      </c>
      <c r="EA73" s="24">
        <f t="shared" si="290"/>
        <v>0</v>
      </c>
      <c r="EB73" s="24">
        <f>EA73*15.5</f>
        <v>0</v>
      </c>
      <c r="EC73" s="24">
        <f t="shared" si="292"/>
        <v>0</v>
      </c>
      <c r="ED73" s="24">
        <f>EC73*16</f>
        <v>0</v>
      </c>
      <c r="EE73" s="78"/>
    </row>
    <row r="74" spans="1:135" s="2" customFormat="1" ht="18" customHeight="1" x14ac:dyDescent="0.25">
      <c r="A74" s="15">
        <v>71</v>
      </c>
      <c r="B74" s="108">
        <v>342</v>
      </c>
      <c r="C74" s="74" t="s">
        <v>552</v>
      </c>
      <c r="D74" s="16" t="s">
        <v>107</v>
      </c>
      <c r="E74" s="18">
        <v>45802</v>
      </c>
      <c r="F74" s="19">
        <v>11</v>
      </c>
      <c r="G74" s="19">
        <v>11</v>
      </c>
      <c r="H74" s="19">
        <v>11</v>
      </c>
      <c r="I74" s="19">
        <v>11</v>
      </c>
      <c r="J74" s="19" t="s">
        <v>603</v>
      </c>
      <c r="K74" s="19">
        <v>11</v>
      </c>
      <c r="L74" s="19" t="s">
        <v>15</v>
      </c>
      <c r="M74" s="19">
        <v>11</v>
      </c>
      <c r="N74" s="19">
        <v>11</v>
      </c>
      <c r="O74" s="19">
        <v>11</v>
      </c>
      <c r="P74" s="19">
        <v>11</v>
      </c>
      <c r="Q74" s="19">
        <v>11</v>
      </c>
      <c r="R74" s="19">
        <v>11</v>
      </c>
      <c r="S74" s="19" t="s">
        <v>15</v>
      </c>
      <c r="T74" s="19">
        <v>11</v>
      </c>
      <c r="U74" s="19">
        <v>11</v>
      </c>
      <c r="V74" s="19">
        <v>11</v>
      </c>
      <c r="W74" s="19">
        <v>11</v>
      </c>
      <c r="X74" s="19">
        <v>11</v>
      </c>
      <c r="Y74" s="19">
        <v>11</v>
      </c>
      <c r="Z74" s="19" t="s">
        <v>15</v>
      </c>
      <c r="AA74" s="19">
        <v>11</v>
      </c>
      <c r="AB74" s="19">
        <v>11</v>
      </c>
      <c r="AC74" s="19">
        <v>11</v>
      </c>
      <c r="AD74" s="19">
        <v>11</v>
      </c>
      <c r="AE74" s="19">
        <v>11</v>
      </c>
      <c r="AF74" s="19">
        <v>11</v>
      </c>
      <c r="AG74" s="19" t="s">
        <v>15</v>
      </c>
      <c r="AH74" s="19">
        <v>11</v>
      </c>
      <c r="AI74" s="19">
        <v>11</v>
      </c>
      <c r="AJ74" s="19">
        <v>0</v>
      </c>
      <c r="AK74" s="19">
        <v>11</v>
      </c>
      <c r="AL74" s="19">
        <v>11</v>
      </c>
      <c r="AM74" s="19">
        <v>11</v>
      </c>
      <c r="AN74" s="19">
        <v>0</v>
      </c>
      <c r="AO74" s="19">
        <v>11</v>
      </c>
      <c r="AP74" s="19">
        <v>0</v>
      </c>
      <c r="AQ74" s="19">
        <v>0</v>
      </c>
      <c r="AR74" s="19">
        <v>0</v>
      </c>
      <c r="AS74" s="19">
        <v>0</v>
      </c>
      <c r="AT74" s="19">
        <f>SUM(BT74+BV74+BX74+BZ74+CB74+CD74+CF74+CH74+CJ74+CL74+CN74+CP74+CR74+CT74+CV74+CX74+CZ74+DB74+DD74+DF74+DH74+DJ74+DL74+DN74+DP74+DR74+DT74+DV74+DX74+DZ74+EB74+ED74)</f>
        <v>75</v>
      </c>
      <c r="AU74" s="19">
        <f>SUM(AJ74:AN74)</f>
        <v>33</v>
      </c>
      <c r="AV74" s="19">
        <f>SUM(AO74:AS74)</f>
        <v>11</v>
      </c>
      <c r="AW74" s="16">
        <f t="shared" si="227"/>
        <v>30</v>
      </c>
      <c r="AX74" s="16">
        <f t="shared" si="228"/>
        <v>0</v>
      </c>
      <c r="AY74" s="38">
        <f t="shared" si="229"/>
        <v>0</v>
      </c>
      <c r="AZ74" s="36">
        <v>1100</v>
      </c>
      <c r="BA74" s="20">
        <v>100</v>
      </c>
      <c r="BB74" s="21">
        <v>0</v>
      </c>
      <c r="BC74" s="19">
        <f t="shared" si="300"/>
        <v>1100</v>
      </c>
      <c r="BD74" s="19">
        <f t="shared" si="301"/>
        <v>100</v>
      </c>
      <c r="BE74" s="19">
        <f t="shared" si="302"/>
        <v>732</v>
      </c>
      <c r="BF74" s="19">
        <f t="shared" si="303"/>
        <v>0</v>
      </c>
      <c r="BG74" s="19">
        <f t="shared" si="304"/>
        <v>0</v>
      </c>
      <c r="BH74" s="19">
        <f t="shared" si="305"/>
        <v>0</v>
      </c>
      <c r="BI74" s="19">
        <v>0</v>
      </c>
      <c r="BJ74" s="19">
        <v>95</v>
      </c>
      <c r="BK74" s="19">
        <f>SUM(BC74:BJ74)</f>
        <v>2027</v>
      </c>
      <c r="BL74" s="19">
        <v>0</v>
      </c>
      <c r="BM74" s="19">
        <v>0</v>
      </c>
      <c r="BN74" s="19">
        <f>BL74+BM74</f>
        <v>0</v>
      </c>
      <c r="BO74" s="19">
        <f>BK74-BN74</f>
        <v>2027</v>
      </c>
      <c r="BP74" s="19">
        <v>0</v>
      </c>
      <c r="BQ74" s="19">
        <v>0</v>
      </c>
      <c r="BR74" s="22">
        <f>SUM(BO74:BP74)-BQ74</f>
        <v>2027</v>
      </c>
      <c r="BS74" s="23">
        <f t="shared" si="230"/>
        <v>0</v>
      </c>
      <c r="BT74" s="24">
        <f>BS74*0.5</f>
        <v>0</v>
      </c>
      <c r="BU74" s="24">
        <f t="shared" si="232"/>
        <v>0</v>
      </c>
      <c r="BV74" s="24">
        <f>BU74*1</f>
        <v>0</v>
      </c>
      <c r="BW74" s="24">
        <f t="shared" si="234"/>
        <v>0</v>
      </c>
      <c r="BX74" s="24">
        <f>BW74*1.5</f>
        <v>0</v>
      </c>
      <c r="BY74" s="24">
        <f t="shared" si="236"/>
        <v>0</v>
      </c>
      <c r="BZ74" s="24">
        <f>BY74*2</f>
        <v>0</v>
      </c>
      <c r="CA74" s="24">
        <f t="shared" si="238"/>
        <v>0</v>
      </c>
      <c r="CB74" s="24">
        <f>CA74*2.5</f>
        <v>0</v>
      </c>
      <c r="CC74" s="24">
        <f t="shared" si="240"/>
        <v>25</v>
      </c>
      <c r="CD74" s="24">
        <f>CC74*3</f>
        <v>75</v>
      </c>
      <c r="CE74" s="24">
        <f t="shared" si="242"/>
        <v>0</v>
      </c>
      <c r="CF74" s="24">
        <f>CE74*3.5</f>
        <v>0</v>
      </c>
      <c r="CG74" s="24">
        <f t="shared" si="244"/>
        <v>0</v>
      </c>
      <c r="CH74" s="24">
        <f>CG74*4</f>
        <v>0</v>
      </c>
      <c r="CI74" s="24">
        <f t="shared" si="246"/>
        <v>0</v>
      </c>
      <c r="CJ74" s="24">
        <f>CI74*4.5</f>
        <v>0</v>
      </c>
      <c r="CK74" s="24">
        <f t="shared" si="248"/>
        <v>0</v>
      </c>
      <c r="CL74" s="24">
        <f>CK74*5</f>
        <v>0</v>
      </c>
      <c r="CM74" s="24">
        <f t="shared" si="250"/>
        <v>0</v>
      </c>
      <c r="CN74" s="24">
        <f>CM74*5.5</f>
        <v>0</v>
      </c>
      <c r="CO74" s="24">
        <f t="shared" si="252"/>
        <v>0</v>
      </c>
      <c r="CP74" s="24">
        <f>CO74*6</f>
        <v>0</v>
      </c>
      <c r="CQ74" s="24">
        <f t="shared" si="254"/>
        <v>0</v>
      </c>
      <c r="CR74" s="24">
        <f>CQ74*6.5</f>
        <v>0</v>
      </c>
      <c r="CS74" s="24">
        <f t="shared" si="256"/>
        <v>0</v>
      </c>
      <c r="CT74" s="24">
        <f>CS74*7</f>
        <v>0</v>
      </c>
      <c r="CU74" s="24">
        <f t="shared" si="258"/>
        <v>0</v>
      </c>
      <c r="CV74" s="24">
        <f>CU74*7.5</f>
        <v>0</v>
      </c>
      <c r="CW74" s="24">
        <f t="shared" si="260"/>
        <v>0</v>
      </c>
      <c r="CX74" s="24">
        <f>CW74*8</f>
        <v>0</v>
      </c>
      <c r="CY74" s="24">
        <f t="shared" si="262"/>
        <v>0</v>
      </c>
      <c r="CZ74" s="24">
        <f>CY74*8.5</f>
        <v>0</v>
      </c>
      <c r="DA74" s="24">
        <f t="shared" si="264"/>
        <v>0</v>
      </c>
      <c r="DB74" s="24">
        <f>DA74*9</f>
        <v>0</v>
      </c>
      <c r="DC74" s="24">
        <f t="shared" si="266"/>
        <v>0</v>
      </c>
      <c r="DD74" s="24">
        <f>DC74*9.5</f>
        <v>0</v>
      </c>
      <c r="DE74" s="24">
        <f t="shared" si="268"/>
        <v>0</v>
      </c>
      <c r="DF74" s="24">
        <f>DE74*10</f>
        <v>0</v>
      </c>
      <c r="DG74" s="24">
        <f t="shared" si="270"/>
        <v>0</v>
      </c>
      <c r="DH74" s="24">
        <f>DG74*10.5</f>
        <v>0</v>
      </c>
      <c r="DI74" s="24">
        <f t="shared" si="272"/>
        <v>0</v>
      </c>
      <c r="DJ74" s="24">
        <f>DI74*11</f>
        <v>0</v>
      </c>
      <c r="DK74" s="24">
        <f t="shared" si="274"/>
        <v>0</v>
      </c>
      <c r="DL74" s="24">
        <f>DK74*11.5</f>
        <v>0</v>
      </c>
      <c r="DM74" s="24">
        <f t="shared" si="276"/>
        <v>0</v>
      </c>
      <c r="DN74" s="24">
        <f>DM74*12</f>
        <v>0</v>
      </c>
      <c r="DO74" s="24">
        <f t="shared" si="278"/>
        <v>0</v>
      </c>
      <c r="DP74" s="24">
        <f>DO74*12.5</f>
        <v>0</v>
      </c>
      <c r="DQ74" s="24">
        <f t="shared" si="280"/>
        <v>0</v>
      </c>
      <c r="DR74" s="24">
        <f>DQ74*13</f>
        <v>0</v>
      </c>
      <c r="DS74" s="24">
        <f t="shared" si="282"/>
        <v>0</v>
      </c>
      <c r="DT74" s="24">
        <f>DS74*13.5</f>
        <v>0</v>
      </c>
      <c r="DU74" s="24">
        <f t="shared" si="284"/>
        <v>0</v>
      </c>
      <c r="DV74" s="24">
        <f>DU74*14</f>
        <v>0</v>
      </c>
      <c r="DW74" s="24">
        <f t="shared" si="286"/>
        <v>0</v>
      </c>
      <c r="DX74" s="24">
        <f>DW74*14.5</f>
        <v>0</v>
      </c>
      <c r="DY74" s="24">
        <f t="shared" si="288"/>
        <v>0</v>
      </c>
      <c r="DZ74" s="24">
        <f>DY74*15</f>
        <v>0</v>
      </c>
      <c r="EA74" s="24">
        <f t="shared" si="290"/>
        <v>0</v>
      </c>
      <c r="EB74" s="24">
        <f>EA74*15.5</f>
        <v>0</v>
      </c>
      <c r="EC74" s="24">
        <f t="shared" si="292"/>
        <v>0</v>
      </c>
      <c r="ED74" s="24">
        <f>EC74*16</f>
        <v>0</v>
      </c>
      <c r="EE74" s="78"/>
    </row>
    <row r="75" spans="1:135" s="2" customFormat="1" ht="18" customHeight="1" x14ac:dyDescent="0.25">
      <c r="A75" s="15">
        <v>72</v>
      </c>
      <c r="B75" s="108">
        <v>343</v>
      </c>
      <c r="C75" s="74" t="s">
        <v>555</v>
      </c>
      <c r="D75" s="16" t="s">
        <v>107</v>
      </c>
      <c r="E75" s="18">
        <v>45811</v>
      </c>
      <c r="F75" s="19">
        <v>11</v>
      </c>
      <c r="G75" s="19">
        <v>11</v>
      </c>
      <c r="H75" s="19">
        <v>11</v>
      </c>
      <c r="I75" s="19">
        <v>11</v>
      </c>
      <c r="J75" s="19" t="s">
        <v>603</v>
      </c>
      <c r="K75" s="19">
        <v>11</v>
      </c>
      <c r="L75" s="19" t="s">
        <v>15</v>
      </c>
      <c r="M75" s="19">
        <v>11</v>
      </c>
      <c r="N75" s="19">
        <v>11</v>
      </c>
      <c r="O75" s="19">
        <v>11</v>
      </c>
      <c r="P75" s="19">
        <v>11</v>
      </c>
      <c r="Q75" s="19">
        <v>11</v>
      </c>
      <c r="R75" s="19">
        <v>11</v>
      </c>
      <c r="S75" s="19" t="s">
        <v>15</v>
      </c>
      <c r="T75" s="19">
        <v>11</v>
      </c>
      <c r="U75" s="19">
        <v>11</v>
      </c>
      <c r="V75" s="19">
        <v>11</v>
      </c>
      <c r="W75" s="19">
        <v>11</v>
      </c>
      <c r="X75" s="19">
        <v>11</v>
      </c>
      <c r="Y75" s="19">
        <v>11</v>
      </c>
      <c r="Z75" s="19" t="s">
        <v>15</v>
      </c>
      <c r="AA75" s="19">
        <v>11</v>
      </c>
      <c r="AB75" s="19">
        <v>11</v>
      </c>
      <c r="AC75" s="19">
        <v>11</v>
      </c>
      <c r="AD75" s="19">
        <v>11</v>
      </c>
      <c r="AE75" s="19">
        <v>11</v>
      </c>
      <c r="AF75" s="19">
        <v>11</v>
      </c>
      <c r="AG75" s="19" t="s">
        <v>15</v>
      </c>
      <c r="AH75" s="19">
        <v>11</v>
      </c>
      <c r="AI75" s="19">
        <v>11</v>
      </c>
      <c r="AJ75" s="19">
        <v>0</v>
      </c>
      <c r="AK75" s="19">
        <v>11</v>
      </c>
      <c r="AL75" s="19">
        <v>11</v>
      </c>
      <c r="AM75" s="19">
        <v>0</v>
      </c>
      <c r="AN75" s="19">
        <v>0</v>
      </c>
      <c r="AO75" s="19">
        <v>11</v>
      </c>
      <c r="AP75" s="19">
        <v>0</v>
      </c>
      <c r="AQ75" s="19">
        <v>0</v>
      </c>
      <c r="AR75" s="19">
        <v>0</v>
      </c>
      <c r="AS75" s="19">
        <v>0</v>
      </c>
      <c r="AT75" s="19">
        <f t="shared" ref="AT75:AT78" si="306">SUM(BT75+BV75+BX75+BZ75+CB75+CD75+CF75+CH75+CJ75+CL75+CN75+CP75+CR75+CT75+CV75+CX75+CZ75+DB75+DD75+DF75+DH75+DJ75+DL75+DN75+DP75+DR75+DT75+DV75+DX75+DZ75+EB75+ED75)</f>
        <v>75</v>
      </c>
      <c r="AU75" s="19">
        <f t="shared" ref="AU75:AU78" si="307">SUM(AJ75:AN75)</f>
        <v>22</v>
      </c>
      <c r="AV75" s="19">
        <f t="shared" ref="AV75:AV78" si="308">SUM(AO75:AS75)</f>
        <v>11</v>
      </c>
      <c r="AW75" s="16">
        <f t="shared" si="227"/>
        <v>30</v>
      </c>
      <c r="AX75" s="16">
        <f t="shared" si="228"/>
        <v>0</v>
      </c>
      <c r="AY75" s="38">
        <f t="shared" si="229"/>
        <v>0</v>
      </c>
      <c r="AZ75" s="36">
        <v>900</v>
      </c>
      <c r="BA75" s="20">
        <v>100</v>
      </c>
      <c r="BB75" s="21">
        <v>0</v>
      </c>
      <c r="BC75" s="19">
        <f t="shared" si="300"/>
        <v>900</v>
      </c>
      <c r="BD75" s="19">
        <f t="shared" si="301"/>
        <v>100</v>
      </c>
      <c r="BE75" s="19">
        <f t="shared" si="302"/>
        <v>537</v>
      </c>
      <c r="BF75" s="19">
        <f t="shared" si="303"/>
        <v>0</v>
      </c>
      <c r="BG75" s="19">
        <f t="shared" si="304"/>
        <v>0</v>
      </c>
      <c r="BH75" s="19">
        <f t="shared" si="305"/>
        <v>0</v>
      </c>
      <c r="BI75" s="19">
        <v>0</v>
      </c>
      <c r="BJ75" s="19">
        <v>95</v>
      </c>
      <c r="BK75" s="19">
        <f t="shared" ref="BK75:BK78" si="309">SUM(BC75:BJ75)</f>
        <v>1632</v>
      </c>
      <c r="BL75" s="19">
        <v>100</v>
      </c>
      <c r="BM75" s="19">
        <v>0</v>
      </c>
      <c r="BN75" s="19">
        <f t="shared" ref="BN75:BN78" si="310">BL75+BM75</f>
        <v>100</v>
      </c>
      <c r="BO75" s="19">
        <f t="shared" ref="BO75:BO78" si="311">BK75-BN75</f>
        <v>1532</v>
      </c>
      <c r="BP75" s="19">
        <v>0</v>
      </c>
      <c r="BQ75" s="19">
        <v>0</v>
      </c>
      <c r="BR75" s="22">
        <f t="shared" ref="BR75:BR78" si="312">SUM(BO75:BP75)-BQ75</f>
        <v>1532</v>
      </c>
      <c r="BS75" s="23">
        <f t="shared" si="230"/>
        <v>0</v>
      </c>
      <c r="BT75" s="24">
        <f t="shared" ref="BT75:BT78" si="313">BS75*0.5</f>
        <v>0</v>
      </c>
      <c r="BU75" s="24">
        <f t="shared" si="232"/>
        <v>0</v>
      </c>
      <c r="BV75" s="24">
        <f t="shared" ref="BV75:BV78" si="314">BU75*1</f>
        <v>0</v>
      </c>
      <c r="BW75" s="24">
        <f t="shared" si="234"/>
        <v>0</v>
      </c>
      <c r="BX75" s="24">
        <f t="shared" ref="BX75:BX78" si="315">BW75*1.5</f>
        <v>0</v>
      </c>
      <c r="BY75" s="24">
        <f t="shared" si="236"/>
        <v>0</v>
      </c>
      <c r="BZ75" s="24">
        <f t="shared" ref="BZ75:BZ78" si="316">BY75*2</f>
        <v>0</v>
      </c>
      <c r="CA75" s="24">
        <f t="shared" si="238"/>
        <v>0</v>
      </c>
      <c r="CB75" s="24">
        <f t="shared" ref="CB75:CB78" si="317">CA75*2.5</f>
        <v>0</v>
      </c>
      <c r="CC75" s="24">
        <f t="shared" si="240"/>
        <v>25</v>
      </c>
      <c r="CD75" s="24">
        <f t="shared" ref="CD75:CD78" si="318">CC75*3</f>
        <v>75</v>
      </c>
      <c r="CE75" s="24">
        <f t="shared" si="242"/>
        <v>0</v>
      </c>
      <c r="CF75" s="24">
        <f t="shared" ref="CF75:CF78" si="319">CE75*3.5</f>
        <v>0</v>
      </c>
      <c r="CG75" s="24">
        <f t="shared" si="244"/>
        <v>0</v>
      </c>
      <c r="CH75" s="24">
        <f t="shared" ref="CH75:CH78" si="320">CG75*4</f>
        <v>0</v>
      </c>
      <c r="CI75" s="24">
        <f t="shared" si="246"/>
        <v>0</v>
      </c>
      <c r="CJ75" s="24">
        <f t="shared" ref="CJ75:CJ78" si="321">CI75*4.5</f>
        <v>0</v>
      </c>
      <c r="CK75" s="24">
        <f t="shared" si="248"/>
        <v>0</v>
      </c>
      <c r="CL75" s="24">
        <f t="shared" ref="CL75:CL78" si="322">CK75*5</f>
        <v>0</v>
      </c>
      <c r="CM75" s="24">
        <f t="shared" si="250"/>
        <v>0</v>
      </c>
      <c r="CN75" s="24">
        <f t="shared" ref="CN75:CN78" si="323">CM75*5.5</f>
        <v>0</v>
      </c>
      <c r="CO75" s="24">
        <f t="shared" si="252"/>
        <v>0</v>
      </c>
      <c r="CP75" s="24">
        <f t="shared" ref="CP75:CP78" si="324">CO75*6</f>
        <v>0</v>
      </c>
      <c r="CQ75" s="24">
        <f t="shared" si="254"/>
        <v>0</v>
      </c>
      <c r="CR75" s="24">
        <f t="shared" ref="CR75:CR78" si="325">CQ75*6.5</f>
        <v>0</v>
      </c>
      <c r="CS75" s="24">
        <f t="shared" si="256"/>
        <v>0</v>
      </c>
      <c r="CT75" s="24">
        <f t="shared" ref="CT75:CT78" si="326">CS75*7</f>
        <v>0</v>
      </c>
      <c r="CU75" s="24">
        <f t="shared" si="258"/>
        <v>0</v>
      </c>
      <c r="CV75" s="24">
        <f t="shared" ref="CV75:CV78" si="327">CU75*7.5</f>
        <v>0</v>
      </c>
      <c r="CW75" s="24">
        <f t="shared" si="260"/>
        <v>0</v>
      </c>
      <c r="CX75" s="24">
        <f t="shared" ref="CX75:CX78" si="328">CW75*8</f>
        <v>0</v>
      </c>
      <c r="CY75" s="24">
        <f t="shared" si="262"/>
        <v>0</v>
      </c>
      <c r="CZ75" s="24">
        <f t="shared" ref="CZ75:CZ78" si="329">CY75*8.5</f>
        <v>0</v>
      </c>
      <c r="DA75" s="24">
        <f t="shared" si="264"/>
        <v>0</v>
      </c>
      <c r="DB75" s="24">
        <f t="shared" ref="DB75:DB78" si="330">DA75*9</f>
        <v>0</v>
      </c>
      <c r="DC75" s="24">
        <f t="shared" si="266"/>
        <v>0</v>
      </c>
      <c r="DD75" s="24">
        <f t="shared" ref="DD75:DD78" si="331">DC75*9.5</f>
        <v>0</v>
      </c>
      <c r="DE75" s="24">
        <f t="shared" si="268"/>
        <v>0</v>
      </c>
      <c r="DF75" s="24">
        <f t="shared" ref="DF75:DF78" si="332">DE75*10</f>
        <v>0</v>
      </c>
      <c r="DG75" s="24">
        <f t="shared" si="270"/>
        <v>0</v>
      </c>
      <c r="DH75" s="24">
        <f t="shared" ref="DH75:DH78" si="333">DG75*10.5</f>
        <v>0</v>
      </c>
      <c r="DI75" s="24">
        <f t="shared" si="272"/>
        <v>0</v>
      </c>
      <c r="DJ75" s="24">
        <f t="shared" ref="DJ75:DJ78" si="334">DI75*11</f>
        <v>0</v>
      </c>
      <c r="DK75" s="24">
        <f t="shared" si="274"/>
        <v>0</v>
      </c>
      <c r="DL75" s="24">
        <f t="shared" ref="DL75:DL78" si="335">DK75*11.5</f>
        <v>0</v>
      </c>
      <c r="DM75" s="24">
        <f t="shared" si="276"/>
        <v>0</v>
      </c>
      <c r="DN75" s="24">
        <f t="shared" ref="DN75:DN78" si="336">DM75*12</f>
        <v>0</v>
      </c>
      <c r="DO75" s="24">
        <f t="shared" si="278"/>
        <v>0</v>
      </c>
      <c r="DP75" s="24">
        <f t="shared" ref="DP75:DP78" si="337">DO75*12.5</f>
        <v>0</v>
      </c>
      <c r="DQ75" s="24">
        <f t="shared" si="280"/>
        <v>0</v>
      </c>
      <c r="DR75" s="24">
        <f t="shared" ref="DR75:DR78" si="338">DQ75*13</f>
        <v>0</v>
      </c>
      <c r="DS75" s="24">
        <f t="shared" si="282"/>
        <v>0</v>
      </c>
      <c r="DT75" s="24">
        <f t="shared" ref="DT75:DT78" si="339">DS75*13.5</f>
        <v>0</v>
      </c>
      <c r="DU75" s="24">
        <f t="shared" si="284"/>
        <v>0</v>
      </c>
      <c r="DV75" s="24">
        <f t="shared" ref="DV75:DV78" si="340">DU75*14</f>
        <v>0</v>
      </c>
      <c r="DW75" s="24">
        <f t="shared" si="286"/>
        <v>0</v>
      </c>
      <c r="DX75" s="24">
        <f t="shared" ref="DX75:DX78" si="341">DW75*14.5</f>
        <v>0</v>
      </c>
      <c r="DY75" s="24">
        <f t="shared" si="288"/>
        <v>0</v>
      </c>
      <c r="DZ75" s="24">
        <f t="shared" ref="DZ75:DZ78" si="342">DY75*15</f>
        <v>0</v>
      </c>
      <c r="EA75" s="24">
        <f t="shared" si="290"/>
        <v>0</v>
      </c>
      <c r="EB75" s="24">
        <f t="shared" ref="EB75:EB78" si="343">EA75*15.5</f>
        <v>0</v>
      </c>
      <c r="EC75" s="24">
        <f t="shared" si="292"/>
        <v>0</v>
      </c>
      <c r="ED75" s="24">
        <f t="shared" ref="ED75:ED78" si="344">EC75*16</f>
        <v>0</v>
      </c>
      <c r="EE75" s="78"/>
    </row>
    <row r="76" spans="1:135" s="2" customFormat="1" ht="18" customHeight="1" x14ac:dyDescent="0.25">
      <c r="A76" s="15">
        <v>73</v>
      </c>
      <c r="B76" s="108">
        <v>345</v>
      </c>
      <c r="C76" s="74" t="s">
        <v>556</v>
      </c>
      <c r="D76" s="16" t="s">
        <v>107</v>
      </c>
      <c r="E76" s="18">
        <v>45811</v>
      </c>
      <c r="F76" s="19">
        <v>11</v>
      </c>
      <c r="G76" s="19">
        <v>11</v>
      </c>
      <c r="H76" s="19">
        <v>11</v>
      </c>
      <c r="I76" s="19">
        <v>11</v>
      </c>
      <c r="J76" s="19" t="s">
        <v>603</v>
      </c>
      <c r="K76" s="19">
        <v>11</v>
      </c>
      <c r="L76" s="19" t="s">
        <v>15</v>
      </c>
      <c r="M76" s="19">
        <v>11</v>
      </c>
      <c r="N76" s="19">
        <v>11</v>
      </c>
      <c r="O76" s="19">
        <v>11</v>
      </c>
      <c r="P76" s="19">
        <v>11</v>
      </c>
      <c r="Q76" s="19">
        <v>11</v>
      </c>
      <c r="R76" s="19">
        <v>11</v>
      </c>
      <c r="S76" s="19" t="s">
        <v>15</v>
      </c>
      <c r="T76" s="19">
        <v>11</v>
      </c>
      <c r="U76" s="19">
        <v>11</v>
      </c>
      <c r="V76" s="19">
        <v>11</v>
      </c>
      <c r="W76" s="19">
        <v>11</v>
      </c>
      <c r="X76" s="19">
        <v>11</v>
      </c>
      <c r="Y76" s="19">
        <v>11</v>
      </c>
      <c r="Z76" s="19" t="s">
        <v>15</v>
      </c>
      <c r="AA76" s="19">
        <v>11</v>
      </c>
      <c r="AB76" s="19">
        <v>11</v>
      </c>
      <c r="AC76" s="19">
        <v>11</v>
      </c>
      <c r="AD76" s="19">
        <v>11</v>
      </c>
      <c r="AE76" s="19">
        <v>11</v>
      </c>
      <c r="AF76" s="19">
        <v>11</v>
      </c>
      <c r="AG76" s="19" t="s">
        <v>15</v>
      </c>
      <c r="AH76" s="19">
        <v>11</v>
      </c>
      <c r="AI76" s="19">
        <v>11</v>
      </c>
      <c r="AJ76" s="19">
        <v>0</v>
      </c>
      <c r="AK76" s="19">
        <v>0</v>
      </c>
      <c r="AL76" s="19">
        <v>11</v>
      </c>
      <c r="AM76" s="19">
        <v>0</v>
      </c>
      <c r="AN76" s="19">
        <v>0</v>
      </c>
      <c r="AO76" s="19">
        <v>11</v>
      </c>
      <c r="AP76" s="19">
        <v>0</v>
      </c>
      <c r="AQ76" s="19">
        <v>0</v>
      </c>
      <c r="AR76" s="19">
        <v>0</v>
      </c>
      <c r="AS76" s="19">
        <v>0</v>
      </c>
      <c r="AT76" s="19">
        <f t="shared" si="306"/>
        <v>75</v>
      </c>
      <c r="AU76" s="19">
        <f t="shared" si="307"/>
        <v>11</v>
      </c>
      <c r="AV76" s="19">
        <f t="shared" si="308"/>
        <v>11</v>
      </c>
      <c r="AW76" s="16">
        <f t="shared" si="227"/>
        <v>30</v>
      </c>
      <c r="AX76" s="16">
        <f t="shared" si="228"/>
        <v>0</v>
      </c>
      <c r="AY76" s="38">
        <f t="shared" si="229"/>
        <v>0</v>
      </c>
      <c r="AZ76" s="36">
        <v>850</v>
      </c>
      <c r="BA76" s="20">
        <v>100</v>
      </c>
      <c r="BB76" s="21">
        <v>0</v>
      </c>
      <c r="BC76" s="19">
        <f t="shared" si="300"/>
        <v>850</v>
      </c>
      <c r="BD76" s="19">
        <f t="shared" si="301"/>
        <v>100</v>
      </c>
      <c r="BE76" s="19">
        <f t="shared" si="302"/>
        <v>449</v>
      </c>
      <c r="BF76" s="19">
        <f t="shared" si="303"/>
        <v>0</v>
      </c>
      <c r="BG76" s="19">
        <f t="shared" si="304"/>
        <v>0</v>
      </c>
      <c r="BH76" s="19">
        <f t="shared" si="305"/>
        <v>0</v>
      </c>
      <c r="BI76" s="19">
        <v>0</v>
      </c>
      <c r="BJ76" s="19">
        <v>95</v>
      </c>
      <c r="BK76" s="19">
        <f t="shared" si="309"/>
        <v>1494</v>
      </c>
      <c r="BL76" s="19">
        <v>100</v>
      </c>
      <c r="BM76" s="19">
        <v>0</v>
      </c>
      <c r="BN76" s="19">
        <f t="shared" si="310"/>
        <v>100</v>
      </c>
      <c r="BO76" s="19">
        <f t="shared" si="311"/>
        <v>1394</v>
      </c>
      <c r="BP76" s="19">
        <v>0</v>
      </c>
      <c r="BQ76" s="19">
        <v>0</v>
      </c>
      <c r="BR76" s="22">
        <f t="shared" si="312"/>
        <v>1394</v>
      </c>
      <c r="BS76" s="23">
        <f t="shared" si="230"/>
        <v>0</v>
      </c>
      <c r="BT76" s="24">
        <f t="shared" si="313"/>
        <v>0</v>
      </c>
      <c r="BU76" s="24">
        <f t="shared" si="232"/>
        <v>0</v>
      </c>
      <c r="BV76" s="24">
        <f t="shared" si="314"/>
        <v>0</v>
      </c>
      <c r="BW76" s="24">
        <f t="shared" si="234"/>
        <v>0</v>
      </c>
      <c r="BX76" s="24">
        <f t="shared" si="315"/>
        <v>0</v>
      </c>
      <c r="BY76" s="24">
        <f t="shared" si="236"/>
        <v>0</v>
      </c>
      <c r="BZ76" s="24">
        <f t="shared" si="316"/>
        <v>0</v>
      </c>
      <c r="CA76" s="24">
        <f t="shared" si="238"/>
        <v>0</v>
      </c>
      <c r="CB76" s="24">
        <f t="shared" si="317"/>
        <v>0</v>
      </c>
      <c r="CC76" s="24">
        <f t="shared" si="240"/>
        <v>25</v>
      </c>
      <c r="CD76" s="24">
        <f t="shared" si="318"/>
        <v>75</v>
      </c>
      <c r="CE76" s="24">
        <f t="shared" si="242"/>
        <v>0</v>
      </c>
      <c r="CF76" s="24">
        <f t="shared" si="319"/>
        <v>0</v>
      </c>
      <c r="CG76" s="24">
        <f t="shared" si="244"/>
        <v>0</v>
      </c>
      <c r="CH76" s="24">
        <f t="shared" si="320"/>
        <v>0</v>
      </c>
      <c r="CI76" s="24">
        <f t="shared" si="246"/>
        <v>0</v>
      </c>
      <c r="CJ76" s="24">
        <f t="shared" si="321"/>
        <v>0</v>
      </c>
      <c r="CK76" s="24">
        <f t="shared" si="248"/>
        <v>0</v>
      </c>
      <c r="CL76" s="24">
        <f t="shared" si="322"/>
        <v>0</v>
      </c>
      <c r="CM76" s="24">
        <f t="shared" si="250"/>
        <v>0</v>
      </c>
      <c r="CN76" s="24">
        <f t="shared" si="323"/>
        <v>0</v>
      </c>
      <c r="CO76" s="24">
        <f t="shared" si="252"/>
        <v>0</v>
      </c>
      <c r="CP76" s="24">
        <f t="shared" si="324"/>
        <v>0</v>
      </c>
      <c r="CQ76" s="24">
        <f t="shared" si="254"/>
        <v>0</v>
      </c>
      <c r="CR76" s="24">
        <f t="shared" si="325"/>
        <v>0</v>
      </c>
      <c r="CS76" s="24">
        <f t="shared" si="256"/>
        <v>0</v>
      </c>
      <c r="CT76" s="24">
        <f t="shared" si="326"/>
        <v>0</v>
      </c>
      <c r="CU76" s="24">
        <f t="shared" si="258"/>
        <v>0</v>
      </c>
      <c r="CV76" s="24">
        <f t="shared" si="327"/>
        <v>0</v>
      </c>
      <c r="CW76" s="24">
        <f t="shared" si="260"/>
        <v>0</v>
      </c>
      <c r="CX76" s="24">
        <f t="shared" si="328"/>
        <v>0</v>
      </c>
      <c r="CY76" s="24">
        <f t="shared" si="262"/>
        <v>0</v>
      </c>
      <c r="CZ76" s="24">
        <f t="shared" si="329"/>
        <v>0</v>
      </c>
      <c r="DA76" s="24">
        <f t="shared" si="264"/>
        <v>0</v>
      </c>
      <c r="DB76" s="24">
        <f t="shared" si="330"/>
        <v>0</v>
      </c>
      <c r="DC76" s="24">
        <f t="shared" si="266"/>
        <v>0</v>
      </c>
      <c r="DD76" s="24">
        <f t="shared" si="331"/>
        <v>0</v>
      </c>
      <c r="DE76" s="24">
        <f t="shared" si="268"/>
        <v>0</v>
      </c>
      <c r="DF76" s="24">
        <f t="shared" si="332"/>
        <v>0</v>
      </c>
      <c r="DG76" s="24">
        <f t="shared" si="270"/>
        <v>0</v>
      </c>
      <c r="DH76" s="24">
        <f t="shared" si="333"/>
        <v>0</v>
      </c>
      <c r="DI76" s="24">
        <f t="shared" si="272"/>
        <v>0</v>
      </c>
      <c r="DJ76" s="24">
        <f t="shared" si="334"/>
        <v>0</v>
      </c>
      <c r="DK76" s="24">
        <f t="shared" si="274"/>
        <v>0</v>
      </c>
      <c r="DL76" s="24">
        <f t="shared" si="335"/>
        <v>0</v>
      </c>
      <c r="DM76" s="24">
        <f t="shared" si="276"/>
        <v>0</v>
      </c>
      <c r="DN76" s="24">
        <f t="shared" si="336"/>
        <v>0</v>
      </c>
      <c r="DO76" s="24">
        <f t="shared" si="278"/>
        <v>0</v>
      </c>
      <c r="DP76" s="24">
        <f t="shared" si="337"/>
        <v>0</v>
      </c>
      <c r="DQ76" s="24">
        <f t="shared" si="280"/>
        <v>0</v>
      </c>
      <c r="DR76" s="24">
        <f t="shared" si="338"/>
        <v>0</v>
      </c>
      <c r="DS76" s="24">
        <f t="shared" si="282"/>
        <v>0</v>
      </c>
      <c r="DT76" s="24">
        <f t="shared" si="339"/>
        <v>0</v>
      </c>
      <c r="DU76" s="24">
        <f t="shared" si="284"/>
        <v>0</v>
      </c>
      <c r="DV76" s="24">
        <f t="shared" si="340"/>
        <v>0</v>
      </c>
      <c r="DW76" s="24">
        <f t="shared" si="286"/>
        <v>0</v>
      </c>
      <c r="DX76" s="24">
        <f t="shared" si="341"/>
        <v>0</v>
      </c>
      <c r="DY76" s="24">
        <f t="shared" si="288"/>
        <v>0</v>
      </c>
      <c r="DZ76" s="24">
        <f t="shared" si="342"/>
        <v>0</v>
      </c>
      <c r="EA76" s="24">
        <f t="shared" si="290"/>
        <v>0</v>
      </c>
      <c r="EB76" s="24">
        <f t="shared" si="343"/>
        <v>0</v>
      </c>
      <c r="EC76" s="24">
        <f t="shared" si="292"/>
        <v>0</v>
      </c>
      <c r="ED76" s="24">
        <f t="shared" si="344"/>
        <v>0</v>
      </c>
      <c r="EE76" s="78"/>
    </row>
    <row r="77" spans="1:135" s="2" customFormat="1" ht="18" customHeight="1" x14ac:dyDescent="0.25">
      <c r="A77" s="15">
        <v>74</v>
      </c>
      <c r="B77" s="108">
        <v>347</v>
      </c>
      <c r="C77" s="74" t="s">
        <v>557</v>
      </c>
      <c r="D77" s="16" t="s">
        <v>107</v>
      </c>
      <c r="E77" s="18">
        <v>45823</v>
      </c>
      <c r="F77" s="19">
        <v>10</v>
      </c>
      <c r="G77" s="19">
        <v>8</v>
      </c>
      <c r="H77" s="19">
        <v>10</v>
      </c>
      <c r="I77" s="19">
        <v>10</v>
      </c>
      <c r="J77" s="19" t="s">
        <v>603</v>
      </c>
      <c r="K77" s="19">
        <v>10</v>
      </c>
      <c r="L77" s="19" t="s">
        <v>15</v>
      </c>
      <c r="M77" s="19">
        <v>10</v>
      </c>
      <c r="N77" s="19">
        <v>10</v>
      </c>
      <c r="O77" s="19">
        <v>10</v>
      </c>
      <c r="P77" s="19">
        <v>10</v>
      </c>
      <c r="Q77" s="19">
        <v>10</v>
      </c>
      <c r="R77" s="19">
        <v>10</v>
      </c>
      <c r="S77" s="19" t="s">
        <v>15</v>
      </c>
      <c r="T77" s="19">
        <v>10</v>
      </c>
      <c r="U77" s="19">
        <v>10</v>
      </c>
      <c r="V77" s="19">
        <v>10</v>
      </c>
      <c r="W77" s="19">
        <v>10</v>
      </c>
      <c r="X77" s="19">
        <v>10</v>
      </c>
      <c r="Y77" s="19" t="s">
        <v>316</v>
      </c>
      <c r="Z77" s="19" t="s">
        <v>316</v>
      </c>
      <c r="AA77" s="19">
        <v>11</v>
      </c>
      <c r="AB77" s="19">
        <v>11</v>
      </c>
      <c r="AC77" s="19">
        <v>11</v>
      </c>
      <c r="AD77" s="19">
        <v>11</v>
      </c>
      <c r="AE77" s="19">
        <v>11</v>
      </c>
      <c r="AF77" s="19">
        <v>11</v>
      </c>
      <c r="AG77" s="19" t="s">
        <v>15</v>
      </c>
      <c r="AH77" s="19">
        <v>11</v>
      </c>
      <c r="AI77" s="19">
        <v>11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f t="shared" si="306"/>
        <v>54</v>
      </c>
      <c r="AU77" s="19">
        <f t="shared" si="307"/>
        <v>0</v>
      </c>
      <c r="AV77" s="19">
        <f t="shared" si="308"/>
        <v>0</v>
      </c>
      <c r="AW77" s="16">
        <f t="shared" si="227"/>
        <v>28</v>
      </c>
      <c r="AX77" s="16">
        <f t="shared" si="228"/>
        <v>2</v>
      </c>
      <c r="AY77" s="38">
        <f t="shared" si="229"/>
        <v>0</v>
      </c>
      <c r="AZ77" s="36">
        <v>1100</v>
      </c>
      <c r="BA77" s="20">
        <v>100</v>
      </c>
      <c r="BB77" s="21">
        <v>0</v>
      </c>
      <c r="BC77" s="19">
        <f t="shared" si="300"/>
        <v>1027</v>
      </c>
      <c r="BD77" s="19">
        <f t="shared" si="301"/>
        <v>93</v>
      </c>
      <c r="BE77" s="19">
        <f t="shared" si="302"/>
        <v>309</v>
      </c>
      <c r="BF77" s="19">
        <f t="shared" si="303"/>
        <v>0</v>
      </c>
      <c r="BG77" s="19">
        <f t="shared" si="304"/>
        <v>0</v>
      </c>
      <c r="BH77" s="19">
        <f t="shared" si="305"/>
        <v>0</v>
      </c>
      <c r="BI77" s="19">
        <v>0</v>
      </c>
      <c r="BJ77" s="19">
        <v>0</v>
      </c>
      <c r="BK77" s="19">
        <f t="shared" si="309"/>
        <v>1429</v>
      </c>
      <c r="BL77" s="19">
        <v>100</v>
      </c>
      <c r="BM77" s="19">
        <v>0</v>
      </c>
      <c r="BN77" s="19">
        <f t="shared" si="310"/>
        <v>100</v>
      </c>
      <c r="BO77" s="19">
        <f t="shared" si="311"/>
        <v>1329</v>
      </c>
      <c r="BP77" s="19">
        <v>0</v>
      </c>
      <c r="BQ77" s="19">
        <v>0</v>
      </c>
      <c r="BR77" s="22">
        <f t="shared" si="312"/>
        <v>1329</v>
      </c>
      <c r="BS77" s="23">
        <f t="shared" si="230"/>
        <v>0</v>
      </c>
      <c r="BT77" s="24">
        <f t="shared" si="313"/>
        <v>0</v>
      </c>
      <c r="BU77" s="24">
        <f t="shared" si="232"/>
        <v>0</v>
      </c>
      <c r="BV77" s="24">
        <f t="shared" si="314"/>
        <v>0</v>
      </c>
      <c r="BW77" s="24">
        <f t="shared" si="234"/>
        <v>0</v>
      </c>
      <c r="BX77" s="24">
        <f t="shared" si="315"/>
        <v>0</v>
      </c>
      <c r="BY77" s="24">
        <f t="shared" si="236"/>
        <v>15</v>
      </c>
      <c r="BZ77" s="24">
        <f t="shared" si="316"/>
        <v>30</v>
      </c>
      <c r="CA77" s="24">
        <f t="shared" si="238"/>
        <v>0</v>
      </c>
      <c r="CB77" s="24">
        <f t="shared" si="317"/>
        <v>0</v>
      </c>
      <c r="CC77" s="24">
        <f t="shared" si="240"/>
        <v>8</v>
      </c>
      <c r="CD77" s="24">
        <f t="shared" si="318"/>
        <v>24</v>
      </c>
      <c r="CE77" s="24">
        <f t="shared" si="242"/>
        <v>0</v>
      </c>
      <c r="CF77" s="24">
        <f t="shared" si="319"/>
        <v>0</v>
      </c>
      <c r="CG77" s="24">
        <f t="shared" si="244"/>
        <v>0</v>
      </c>
      <c r="CH77" s="24">
        <f t="shared" si="320"/>
        <v>0</v>
      </c>
      <c r="CI77" s="24">
        <f t="shared" si="246"/>
        <v>0</v>
      </c>
      <c r="CJ77" s="24">
        <f t="shared" si="321"/>
        <v>0</v>
      </c>
      <c r="CK77" s="24">
        <f t="shared" si="248"/>
        <v>0</v>
      </c>
      <c r="CL77" s="24">
        <f t="shared" si="322"/>
        <v>0</v>
      </c>
      <c r="CM77" s="24">
        <f t="shared" si="250"/>
        <v>0</v>
      </c>
      <c r="CN77" s="24">
        <f t="shared" si="323"/>
        <v>0</v>
      </c>
      <c r="CO77" s="24">
        <f t="shared" si="252"/>
        <v>0</v>
      </c>
      <c r="CP77" s="24">
        <f t="shared" si="324"/>
        <v>0</v>
      </c>
      <c r="CQ77" s="24">
        <f t="shared" si="254"/>
        <v>0</v>
      </c>
      <c r="CR77" s="24">
        <f t="shared" si="325"/>
        <v>0</v>
      </c>
      <c r="CS77" s="24">
        <f t="shared" si="256"/>
        <v>0</v>
      </c>
      <c r="CT77" s="24">
        <f t="shared" si="326"/>
        <v>0</v>
      </c>
      <c r="CU77" s="24">
        <f t="shared" si="258"/>
        <v>0</v>
      </c>
      <c r="CV77" s="24">
        <f t="shared" si="327"/>
        <v>0</v>
      </c>
      <c r="CW77" s="24">
        <f t="shared" si="260"/>
        <v>0</v>
      </c>
      <c r="CX77" s="24">
        <f t="shared" si="328"/>
        <v>0</v>
      </c>
      <c r="CY77" s="24">
        <f t="shared" si="262"/>
        <v>0</v>
      </c>
      <c r="CZ77" s="24">
        <f t="shared" si="329"/>
        <v>0</v>
      </c>
      <c r="DA77" s="24">
        <f t="shared" si="264"/>
        <v>0</v>
      </c>
      <c r="DB77" s="24">
        <f t="shared" si="330"/>
        <v>0</v>
      </c>
      <c r="DC77" s="24">
        <f t="shared" si="266"/>
        <v>0</v>
      </c>
      <c r="DD77" s="24">
        <f t="shared" si="331"/>
        <v>0</v>
      </c>
      <c r="DE77" s="24">
        <f t="shared" si="268"/>
        <v>0</v>
      </c>
      <c r="DF77" s="24">
        <f t="shared" si="332"/>
        <v>0</v>
      </c>
      <c r="DG77" s="24">
        <f t="shared" si="270"/>
        <v>0</v>
      </c>
      <c r="DH77" s="24">
        <f t="shared" si="333"/>
        <v>0</v>
      </c>
      <c r="DI77" s="24">
        <f t="shared" si="272"/>
        <v>0</v>
      </c>
      <c r="DJ77" s="24">
        <f t="shared" si="334"/>
        <v>0</v>
      </c>
      <c r="DK77" s="24">
        <f t="shared" si="274"/>
        <v>0</v>
      </c>
      <c r="DL77" s="24">
        <f t="shared" si="335"/>
        <v>0</v>
      </c>
      <c r="DM77" s="24">
        <f t="shared" si="276"/>
        <v>0</v>
      </c>
      <c r="DN77" s="24">
        <f t="shared" si="336"/>
        <v>0</v>
      </c>
      <c r="DO77" s="24">
        <f t="shared" si="278"/>
        <v>0</v>
      </c>
      <c r="DP77" s="24">
        <f t="shared" si="337"/>
        <v>0</v>
      </c>
      <c r="DQ77" s="24">
        <f t="shared" si="280"/>
        <v>0</v>
      </c>
      <c r="DR77" s="24">
        <f t="shared" si="338"/>
        <v>0</v>
      </c>
      <c r="DS77" s="24">
        <f t="shared" si="282"/>
        <v>0</v>
      </c>
      <c r="DT77" s="24">
        <f t="shared" si="339"/>
        <v>0</v>
      </c>
      <c r="DU77" s="24">
        <f t="shared" si="284"/>
        <v>0</v>
      </c>
      <c r="DV77" s="24">
        <f t="shared" si="340"/>
        <v>0</v>
      </c>
      <c r="DW77" s="24">
        <f t="shared" si="286"/>
        <v>0</v>
      </c>
      <c r="DX77" s="24">
        <f t="shared" si="341"/>
        <v>0</v>
      </c>
      <c r="DY77" s="24">
        <f t="shared" si="288"/>
        <v>0</v>
      </c>
      <c r="DZ77" s="24">
        <f t="shared" si="342"/>
        <v>0</v>
      </c>
      <c r="EA77" s="24">
        <f t="shared" si="290"/>
        <v>0</v>
      </c>
      <c r="EB77" s="24">
        <f t="shared" si="343"/>
        <v>0</v>
      </c>
      <c r="EC77" s="24">
        <f t="shared" si="292"/>
        <v>0</v>
      </c>
      <c r="ED77" s="24">
        <f t="shared" si="344"/>
        <v>0</v>
      </c>
      <c r="EE77" s="78"/>
    </row>
    <row r="78" spans="1:135" s="2" customFormat="1" ht="18" customHeight="1" x14ac:dyDescent="0.25">
      <c r="A78" s="15">
        <v>75</v>
      </c>
      <c r="B78" s="108">
        <v>352</v>
      </c>
      <c r="C78" s="74" t="s">
        <v>558</v>
      </c>
      <c r="D78" s="16" t="s">
        <v>167</v>
      </c>
      <c r="E78" s="18">
        <v>45832</v>
      </c>
      <c r="F78" s="19">
        <v>10</v>
      </c>
      <c r="G78" s="19">
        <v>10</v>
      </c>
      <c r="H78" s="19">
        <v>10</v>
      </c>
      <c r="I78" s="19">
        <v>10</v>
      </c>
      <c r="J78" s="19" t="s">
        <v>603</v>
      </c>
      <c r="K78" s="19">
        <v>10</v>
      </c>
      <c r="L78" s="19" t="s">
        <v>15</v>
      </c>
      <c r="M78" s="19">
        <v>10</v>
      </c>
      <c r="N78" s="19">
        <v>10</v>
      </c>
      <c r="O78" s="19">
        <v>10</v>
      </c>
      <c r="P78" s="19">
        <v>10</v>
      </c>
      <c r="Q78" s="19">
        <v>10</v>
      </c>
      <c r="R78" s="19">
        <v>10</v>
      </c>
      <c r="S78" s="19" t="s">
        <v>15</v>
      </c>
      <c r="T78" s="19">
        <v>10</v>
      </c>
      <c r="U78" s="19" t="s">
        <v>316</v>
      </c>
      <c r="V78" s="19">
        <v>10</v>
      </c>
      <c r="W78" s="19">
        <v>10</v>
      </c>
      <c r="X78" s="19">
        <v>10</v>
      </c>
      <c r="Y78" s="19">
        <v>10</v>
      </c>
      <c r="Z78" s="19" t="s">
        <v>316</v>
      </c>
      <c r="AA78" s="19">
        <v>10</v>
      </c>
      <c r="AB78" s="19">
        <v>10</v>
      </c>
      <c r="AC78" s="19">
        <v>10</v>
      </c>
      <c r="AD78" s="19">
        <v>10</v>
      </c>
      <c r="AE78" s="19">
        <v>10</v>
      </c>
      <c r="AF78" s="19">
        <v>10</v>
      </c>
      <c r="AG78" s="19" t="s">
        <v>15</v>
      </c>
      <c r="AH78" s="19">
        <v>10</v>
      </c>
      <c r="AI78" s="19">
        <v>10</v>
      </c>
      <c r="AJ78" s="19">
        <v>0</v>
      </c>
      <c r="AK78" s="19">
        <v>10</v>
      </c>
      <c r="AL78" s="19">
        <v>0</v>
      </c>
      <c r="AM78" s="19">
        <v>0</v>
      </c>
      <c r="AN78" s="19">
        <v>0</v>
      </c>
      <c r="AO78" s="19">
        <v>10</v>
      </c>
      <c r="AP78" s="19">
        <v>0</v>
      </c>
      <c r="AQ78" s="19">
        <v>0</v>
      </c>
      <c r="AR78" s="19">
        <v>0</v>
      </c>
      <c r="AS78" s="19">
        <v>0</v>
      </c>
      <c r="AT78" s="19">
        <f t="shared" si="306"/>
        <v>48</v>
      </c>
      <c r="AU78" s="19">
        <f t="shared" si="307"/>
        <v>10</v>
      </c>
      <c r="AV78" s="19">
        <f t="shared" si="308"/>
        <v>10</v>
      </c>
      <c r="AW78" s="16">
        <f t="shared" si="227"/>
        <v>28</v>
      </c>
      <c r="AX78" s="16">
        <f t="shared" si="228"/>
        <v>2</v>
      </c>
      <c r="AY78" s="38">
        <f t="shared" si="229"/>
        <v>0</v>
      </c>
      <c r="AZ78" s="36">
        <v>850</v>
      </c>
      <c r="BA78" s="20">
        <v>100</v>
      </c>
      <c r="BB78" s="21">
        <v>0</v>
      </c>
      <c r="BC78" s="19">
        <f t="shared" si="300"/>
        <v>793</v>
      </c>
      <c r="BD78" s="19">
        <f t="shared" si="301"/>
        <v>93</v>
      </c>
      <c r="BE78" s="19">
        <f t="shared" si="302"/>
        <v>319</v>
      </c>
      <c r="BF78" s="19">
        <f t="shared" si="303"/>
        <v>0</v>
      </c>
      <c r="BG78" s="19">
        <f t="shared" si="304"/>
        <v>0</v>
      </c>
      <c r="BH78" s="19">
        <f t="shared" si="305"/>
        <v>0</v>
      </c>
      <c r="BI78" s="19">
        <v>0</v>
      </c>
      <c r="BJ78" s="19">
        <v>0</v>
      </c>
      <c r="BK78" s="19">
        <f t="shared" si="309"/>
        <v>1205</v>
      </c>
      <c r="BL78" s="19">
        <v>100</v>
      </c>
      <c r="BM78" s="19">
        <v>0</v>
      </c>
      <c r="BN78" s="19">
        <f t="shared" si="310"/>
        <v>100</v>
      </c>
      <c r="BO78" s="19">
        <f t="shared" si="311"/>
        <v>1105</v>
      </c>
      <c r="BP78" s="19">
        <v>0</v>
      </c>
      <c r="BQ78" s="19">
        <v>0</v>
      </c>
      <c r="BR78" s="22">
        <f t="shared" si="312"/>
        <v>1105</v>
      </c>
      <c r="BS78" s="23">
        <f t="shared" si="230"/>
        <v>0</v>
      </c>
      <c r="BT78" s="24">
        <f t="shared" si="313"/>
        <v>0</v>
      </c>
      <c r="BU78" s="24">
        <f t="shared" si="232"/>
        <v>0</v>
      </c>
      <c r="BV78" s="24">
        <f t="shared" si="314"/>
        <v>0</v>
      </c>
      <c r="BW78" s="24">
        <f t="shared" si="234"/>
        <v>0</v>
      </c>
      <c r="BX78" s="24">
        <f t="shared" si="315"/>
        <v>0</v>
      </c>
      <c r="BY78" s="24">
        <f t="shared" si="236"/>
        <v>24</v>
      </c>
      <c r="BZ78" s="24">
        <f t="shared" si="316"/>
        <v>48</v>
      </c>
      <c r="CA78" s="24">
        <f t="shared" si="238"/>
        <v>0</v>
      </c>
      <c r="CB78" s="24">
        <f t="shared" si="317"/>
        <v>0</v>
      </c>
      <c r="CC78" s="24">
        <f t="shared" si="240"/>
        <v>0</v>
      </c>
      <c r="CD78" s="24">
        <f t="shared" si="318"/>
        <v>0</v>
      </c>
      <c r="CE78" s="24">
        <f t="shared" si="242"/>
        <v>0</v>
      </c>
      <c r="CF78" s="24">
        <f t="shared" si="319"/>
        <v>0</v>
      </c>
      <c r="CG78" s="24">
        <f t="shared" si="244"/>
        <v>0</v>
      </c>
      <c r="CH78" s="24">
        <f t="shared" si="320"/>
        <v>0</v>
      </c>
      <c r="CI78" s="24">
        <f t="shared" si="246"/>
        <v>0</v>
      </c>
      <c r="CJ78" s="24">
        <f t="shared" si="321"/>
        <v>0</v>
      </c>
      <c r="CK78" s="24">
        <f t="shared" si="248"/>
        <v>0</v>
      </c>
      <c r="CL78" s="24">
        <f t="shared" si="322"/>
        <v>0</v>
      </c>
      <c r="CM78" s="24">
        <f t="shared" si="250"/>
        <v>0</v>
      </c>
      <c r="CN78" s="24">
        <f t="shared" si="323"/>
        <v>0</v>
      </c>
      <c r="CO78" s="24">
        <f t="shared" si="252"/>
        <v>0</v>
      </c>
      <c r="CP78" s="24">
        <f t="shared" si="324"/>
        <v>0</v>
      </c>
      <c r="CQ78" s="24">
        <f t="shared" si="254"/>
        <v>0</v>
      </c>
      <c r="CR78" s="24">
        <f t="shared" si="325"/>
        <v>0</v>
      </c>
      <c r="CS78" s="24">
        <f t="shared" si="256"/>
        <v>0</v>
      </c>
      <c r="CT78" s="24">
        <f t="shared" si="326"/>
        <v>0</v>
      </c>
      <c r="CU78" s="24">
        <f t="shared" si="258"/>
        <v>0</v>
      </c>
      <c r="CV78" s="24">
        <f t="shared" si="327"/>
        <v>0</v>
      </c>
      <c r="CW78" s="24">
        <f t="shared" si="260"/>
        <v>0</v>
      </c>
      <c r="CX78" s="24">
        <f t="shared" si="328"/>
        <v>0</v>
      </c>
      <c r="CY78" s="24">
        <f t="shared" si="262"/>
        <v>0</v>
      </c>
      <c r="CZ78" s="24">
        <f t="shared" si="329"/>
        <v>0</v>
      </c>
      <c r="DA78" s="24">
        <f t="shared" si="264"/>
        <v>0</v>
      </c>
      <c r="DB78" s="24">
        <f t="shared" si="330"/>
        <v>0</v>
      </c>
      <c r="DC78" s="24">
        <f t="shared" si="266"/>
        <v>0</v>
      </c>
      <c r="DD78" s="24">
        <f t="shared" si="331"/>
        <v>0</v>
      </c>
      <c r="DE78" s="24">
        <f t="shared" si="268"/>
        <v>0</v>
      </c>
      <c r="DF78" s="24">
        <f t="shared" si="332"/>
        <v>0</v>
      </c>
      <c r="DG78" s="24">
        <f t="shared" si="270"/>
        <v>0</v>
      </c>
      <c r="DH78" s="24">
        <f t="shared" si="333"/>
        <v>0</v>
      </c>
      <c r="DI78" s="24">
        <f t="shared" si="272"/>
        <v>0</v>
      </c>
      <c r="DJ78" s="24">
        <f t="shared" si="334"/>
        <v>0</v>
      </c>
      <c r="DK78" s="24">
        <f t="shared" si="274"/>
        <v>0</v>
      </c>
      <c r="DL78" s="24">
        <f t="shared" si="335"/>
        <v>0</v>
      </c>
      <c r="DM78" s="24">
        <f t="shared" si="276"/>
        <v>0</v>
      </c>
      <c r="DN78" s="24">
        <f t="shared" si="336"/>
        <v>0</v>
      </c>
      <c r="DO78" s="24">
        <f t="shared" si="278"/>
        <v>0</v>
      </c>
      <c r="DP78" s="24">
        <f t="shared" si="337"/>
        <v>0</v>
      </c>
      <c r="DQ78" s="24">
        <f t="shared" si="280"/>
        <v>0</v>
      </c>
      <c r="DR78" s="24">
        <f t="shared" si="338"/>
        <v>0</v>
      </c>
      <c r="DS78" s="24">
        <f t="shared" si="282"/>
        <v>0</v>
      </c>
      <c r="DT78" s="24">
        <f t="shared" si="339"/>
        <v>0</v>
      </c>
      <c r="DU78" s="24">
        <f t="shared" si="284"/>
        <v>0</v>
      </c>
      <c r="DV78" s="24">
        <f t="shared" si="340"/>
        <v>0</v>
      </c>
      <c r="DW78" s="24">
        <f t="shared" si="286"/>
        <v>0</v>
      </c>
      <c r="DX78" s="24">
        <f t="shared" si="341"/>
        <v>0</v>
      </c>
      <c r="DY78" s="24">
        <f t="shared" si="288"/>
        <v>0</v>
      </c>
      <c r="DZ78" s="24">
        <f t="shared" si="342"/>
        <v>0</v>
      </c>
      <c r="EA78" s="24">
        <f t="shared" si="290"/>
        <v>0</v>
      </c>
      <c r="EB78" s="24">
        <f t="shared" si="343"/>
        <v>0</v>
      </c>
      <c r="EC78" s="24">
        <f t="shared" si="292"/>
        <v>0</v>
      </c>
      <c r="ED78" s="24">
        <f t="shared" si="344"/>
        <v>0</v>
      </c>
      <c r="EE78" s="78"/>
    </row>
    <row r="79" spans="1:135" s="2" customFormat="1" ht="18" customHeight="1" x14ac:dyDescent="0.25">
      <c r="A79" s="15">
        <v>76</v>
      </c>
      <c r="B79" s="108">
        <v>353</v>
      </c>
      <c r="C79" s="74" t="s">
        <v>559</v>
      </c>
      <c r="D79" s="16" t="s">
        <v>167</v>
      </c>
      <c r="E79" s="18">
        <v>45832</v>
      </c>
      <c r="F79" s="19" t="s">
        <v>316</v>
      </c>
      <c r="G79" s="19">
        <v>11</v>
      </c>
      <c r="H79" s="19">
        <v>11</v>
      </c>
      <c r="I79" s="19">
        <v>8</v>
      </c>
      <c r="J79" s="19" t="s">
        <v>603</v>
      </c>
      <c r="K79" s="19">
        <v>11</v>
      </c>
      <c r="L79" s="19" t="s">
        <v>316</v>
      </c>
      <c r="M79" s="19">
        <v>11</v>
      </c>
      <c r="N79" s="19">
        <v>11</v>
      </c>
      <c r="O79" s="19">
        <v>11</v>
      </c>
      <c r="P79" s="19">
        <v>11</v>
      </c>
      <c r="Q79" s="19">
        <v>11</v>
      </c>
      <c r="R79" s="19">
        <v>11</v>
      </c>
      <c r="S79" s="19" t="s">
        <v>15</v>
      </c>
      <c r="T79" s="19">
        <v>11</v>
      </c>
      <c r="U79" s="19">
        <v>11</v>
      </c>
      <c r="V79" s="19">
        <v>11</v>
      </c>
      <c r="W79" s="19">
        <v>11</v>
      </c>
      <c r="X79" s="19">
        <v>11</v>
      </c>
      <c r="Y79" s="19">
        <v>11</v>
      </c>
      <c r="Z79" s="19" t="s">
        <v>15</v>
      </c>
      <c r="AA79" s="19">
        <v>11</v>
      </c>
      <c r="AB79" s="19">
        <v>11</v>
      </c>
      <c r="AC79" s="19">
        <v>11</v>
      </c>
      <c r="AD79" s="19">
        <v>11</v>
      </c>
      <c r="AE79" s="19">
        <v>11</v>
      </c>
      <c r="AF79" s="19">
        <v>11</v>
      </c>
      <c r="AG79" s="19" t="s">
        <v>15</v>
      </c>
      <c r="AH79" s="19">
        <v>11</v>
      </c>
      <c r="AI79" s="19">
        <v>11</v>
      </c>
      <c r="AJ79" s="19">
        <v>0</v>
      </c>
      <c r="AK79" s="19">
        <v>0</v>
      </c>
      <c r="AL79" s="19">
        <v>11</v>
      </c>
      <c r="AM79" s="19">
        <v>11</v>
      </c>
      <c r="AN79" s="19">
        <v>0</v>
      </c>
      <c r="AO79" s="19">
        <v>11</v>
      </c>
      <c r="AP79" s="19">
        <v>0</v>
      </c>
      <c r="AQ79" s="19">
        <v>0</v>
      </c>
      <c r="AR79" s="19">
        <v>0</v>
      </c>
      <c r="AS79" s="19">
        <v>0</v>
      </c>
      <c r="AT79" s="19">
        <f t="shared" ref="AT79:AT84" si="345">SUM(BT79+BV79+BX79+BZ79+CB79+CD79+CF79+CH79+CJ79+CL79+CN79+CP79+CR79+CT79+CV79+CX79+CZ79+DB79+DD79+DF79+DH79+DJ79+DL79+DN79+DP79+DR79+DT79+DV79+DX79+DZ79+EB79+ED79)</f>
        <v>69</v>
      </c>
      <c r="AU79" s="19">
        <f t="shared" ref="AU79:AU84" si="346">SUM(AJ79:AN79)</f>
        <v>22</v>
      </c>
      <c r="AV79" s="19">
        <f t="shared" ref="AV79:AV84" si="347">SUM(AO79:AS79)</f>
        <v>11</v>
      </c>
      <c r="AW79" s="16">
        <f t="shared" si="227"/>
        <v>28</v>
      </c>
      <c r="AX79" s="16">
        <f t="shared" si="228"/>
        <v>2</v>
      </c>
      <c r="AY79" s="38">
        <f t="shared" si="229"/>
        <v>0</v>
      </c>
      <c r="AZ79" s="36">
        <v>900</v>
      </c>
      <c r="BA79" s="20">
        <v>100</v>
      </c>
      <c r="BB79" s="21">
        <v>0</v>
      </c>
      <c r="BC79" s="19">
        <f t="shared" si="300"/>
        <v>840</v>
      </c>
      <c r="BD79" s="19">
        <f t="shared" si="301"/>
        <v>93</v>
      </c>
      <c r="BE79" s="19">
        <f t="shared" si="302"/>
        <v>509</v>
      </c>
      <c r="BF79" s="19">
        <f t="shared" si="303"/>
        <v>0</v>
      </c>
      <c r="BG79" s="19">
        <f t="shared" si="304"/>
        <v>0</v>
      </c>
      <c r="BH79" s="19">
        <f t="shared" si="305"/>
        <v>0</v>
      </c>
      <c r="BI79" s="19">
        <v>0</v>
      </c>
      <c r="BJ79" s="19">
        <v>0</v>
      </c>
      <c r="BK79" s="19">
        <f t="shared" ref="BK79:BK84" si="348">SUM(BC79:BJ79)</f>
        <v>1442</v>
      </c>
      <c r="BL79" s="19">
        <v>100</v>
      </c>
      <c r="BM79" s="19">
        <v>0</v>
      </c>
      <c r="BN79" s="19">
        <f t="shared" ref="BN79:BN84" si="349">BL79+BM79</f>
        <v>100</v>
      </c>
      <c r="BO79" s="19">
        <f t="shared" ref="BO79:BO84" si="350">BK79-BN79</f>
        <v>1342</v>
      </c>
      <c r="BP79" s="19">
        <v>0</v>
      </c>
      <c r="BQ79" s="19">
        <v>0</v>
      </c>
      <c r="BR79" s="22">
        <f t="shared" ref="BR79:BR84" si="351">SUM(BO79:BP79)-BQ79</f>
        <v>1342</v>
      </c>
      <c r="BS79" s="23">
        <f t="shared" si="230"/>
        <v>0</v>
      </c>
      <c r="BT79" s="24">
        <f t="shared" ref="BT79:BT84" si="352">BS79*0.5</f>
        <v>0</v>
      </c>
      <c r="BU79" s="24">
        <f t="shared" si="232"/>
        <v>0</v>
      </c>
      <c r="BV79" s="24">
        <f t="shared" ref="BV79:BV84" si="353">BU79*1</f>
        <v>0</v>
      </c>
      <c r="BW79" s="24">
        <f t="shared" si="234"/>
        <v>0</v>
      </c>
      <c r="BX79" s="24">
        <f t="shared" ref="BX79:BX84" si="354">BW79*1.5</f>
        <v>0</v>
      </c>
      <c r="BY79" s="24">
        <f t="shared" si="236"/>
        <v>0</v>
      </c>
      <c r="BZ79" s="24">
        <f t="shared" ref="BZ79:BZ84" si="355">BY79*2</f>
        <v>0</v>
      </c>
      <c r="CA79" s="24">
        <f t="shared" si="238"/>
        <v>0</v>
      </c>
      <c r="CB79" s="24">
        <f t="shared" ref="CB79:CB84" si="356">CA79*2.5</f>
        <v>0</v>
      </c>
      <c r="CC79" s="24">
        <f t="shared" si="240"/>
        <v>23</v>
      </c>
      <c r="CD79" s="24">
        <f t="shared" ref="CD79:CD84" si="357">CC79*3</f>
        <v>69</v>
      </c>
      <c r="CE79" s="24">
        <f t="shared" si="242"/>
        <v>0</v>
      </c>
      <c r="CF79" s="24">
        <f t="shared" ref="CF79:CF84" si="358">CE79*3.5</f>
        <v>0</v>
      </c>
      <c r="CG79" s="24">
        <f t="shared" si="244"/>
        <v>0</v>
      </c>
      <c r="CH79" s="24">
        <f t="shared" ref="CH79:CH84" si="359">CG79*4</f>
        <v>0</v>
      </c>
      <c r="CI79" s="24">
        <f t="shared" si="246"/>
        <v>0</v>
      </c>
      <c r="CJ79" s="24">
        <f t="shared" ref="CJ79:CJ84" si="360">CI79*4.5</f>
        <v>0</v>
      </c>
      <c r="CK79" s="24">
        <f t="shared" si="248"/>
        <v>0</v>
      </c>
      <c r="CL79" s="24">
        <f t="shared" ref="CL79:CL84" si="361">CK79*5</f>
        <v>0</v>
      </c>
      <c r="CM79" s="24">
        <f t="shared" si="250"/>
        <v>0</v>
      </c>
      <c r="CN79" s="24">
        <f t="shared" ref="CN79:CN84" si="362">CM79*5.5</f>
        <v>0</v>
      </c>
      <c r="CO79" s="24">
        <f t="shared" si="252"/>
        <v>0</v>
      </c>
      <c r="CP79" s="24">
        <f t="shared" ref="CP79:CP84" si="363">CO79*6</f>
        <v>0</v>
      </c>
      <c r="CQ79" s="24">
        <f t="shared" si="254"/>
        <v>0</v>
      </c>
      <c r="CR79" s="24">
        <f t="shared" ref="CR79:CR84" si="364">CQ79*6.5</f>
        <v>0</v>
      </c>
      <c r="CS79" s="24">
        <f t="shared" si="256"/>
        <v>0</v>
      </c>
      <c r="CT79" s="24">
        <f t="shared" ref="CT79:CT84" si="365">CS79*7</f>
        <v>0</v>
      </c>
      <c r="CU79" s="24">
        <f t="shared" si="258"/>
        <v>0</v>
      </c>
      <c r="CV79" s="24">
        <f t="shared" ref="CV79:CV84" si="366">CU79*7.5</f>
        <v>0</v>
      </c>
      <c r="CW79" s="24">
        <f t="shared" si="260"/>
        <v>0</v>
      </c>
      <c r="CX79" s="24">
        <f t="shared" ref="CX79:CX84" si="367">CW79*8</f>
        <v>0</v>
      </c>
      <c r="CY79" s="24">
        <f t="shared" si="262"/>
        <v>0</v>
      </c>
      <c r="CZ79" s="24">
        <f t="shared" ref="CZ79:CZ84" si="368">CY79*8.5</f>
        <v>0</v>
      </c>
      <c r="DA79" s="24">
        <f t="shared" si="264"/>
        <v>0</v>
      </c>
      <c r="DB79" s="24">
        <f t="shared" ref="DB79:DB84" si="369">DA79*9</f>
        <v>0</v>
      </c>
      <c r="DC79" s="24">
        <f t="shared" si="266"/>
        <v>0</v>
      </c>
      <c r="DD79" s="24">
        <f t="shared" ref="DD79:DD84" si="370">DC79*9.5</f>
        <v>0</v>
      </c>
      <c r="DE79" s="24">
        <f t="shared" si="268"/>
        <v>0</v>
      </c>
      <c r="DF79" s="24">
        <f t="shared" ref="DF79:DF84" si="371">DE79*10</f>
        <v>0</v>
      </c>
      <c r="DG79" s="24">
        <f t="shared" si="270"/>
        <v>0</v>
      </c>
      <c r="DH79" s="24">
        <f t="shared" ref="DH79:DH84" si="372">DG79*10.5</f>
        <v>0</v>
      </c>
      <c r="DI79" s="24">
        <f t="shared" si="272"/>
        <v>0</v>
      </c>
      <c r="DJ79" s="24">
        <f t="shared" ref="DJ79:DJ84" si="373">DI79*11</f>
        <v>0</v>
      </c>
      <c r="DK79" s="24">
        <f t="shared" si="274"/>
        <v>0</v>
      </c>
      <c r="DL79" s="24">
        <f t="shared" ref="DL79:DL84" si="374">DK79*11.5</f>
        <v>0</v>
      </c>
      <c r="DM79" s="24">
        <f t="shared" si="276"/>
        <v>0</v>
      </c>
      <c r="DN79" s="24">
        <f t="shared" ref="DN79:DN84" si="375">DM79*12</f>
        <v>0</v>
      </c>
      <c r="DO79" s="24">
        <f t="shared" si="278"/>
        <v>0</v>
      </c>
      <c r="DP79" s="24">
        <f t="shared" ref="DP79:DP84" si="376">DO79*12.5</f>
        <v>0</v>
      </c>
      <c r="DQ79" s="24">
        <f t="shared" si="280"/>
        <v>0</v>
      </c>
      <c r="DR79" s="24">
        <f t="shared" ref="DR79:DR84" si="377">DQ79*13</f>
        <v>0</v>
      </c>
      <c r="DS79" s="24">
        <f t="shared" si="282"/>
        <v>0</v>
      </c>
      <c r="DT79" s="24">
        <f t="shared" ref="DT79:DT84" si="378">DS79*13.5</f>
        <v>0</v>
      </c>
      <c r="DU79" s="24">
        <f t="shared" si="284"/>
        <v>0</v>
      </c>
      <c r="DV79" s="24">
        <f t="shared" ref="DV79:DV84" si="379">DU79*14</f>
        <v>0</v>
      </c>
      <c r="DW79" s="24">
        <f t="shared" si="286"/>
        <v>0</v>
      </c>
      <c r="DX79" s="24">
        <f t="shared" ref="DX79:DX84" si="380">DW79*14.5</f>
        <v>0</v>
      </c>
      <c r="DY79" s="24">
        <f t="shared" si="288"/>
        <v>0</v>
      </c>
      <c r="DZ79" s="24">
        <f t="shared" ref="DZ79:DZ84" si="381">DY79*15</f>
        <v>0</v>
      </c>
      <c r="EA79" s="24">
        <f t="shared" si="290"/>
        <v>0</v>
      </c>
      <c r="EB79" s="24">
        <f t="shared" ref="EB79:EB84" si="382">EA79*15.5</f>
        <v>0</v>
      </c>
      <c r="EC79" s="24">
        <f t="shared" si="292"/>
        <v>0</v>
      </c>
      <c r="ED79" s="24">
        <f t="shared" ref="ED79:ED84" si="383">EC79*16</f>
        <v>0</v>
      </c>
      <c r="EE79" s="78"/>
    </row>
    <row r="80" spans="1:135" s="2" customFormat="1" ht="18" customHeight="1" x14ac:dyDescent="0.25">
      <c r="A80" s="15">
        <v>77</v>
      </c>
      <c r="B80" s="108">
        <v>365</v>
      </c>
      <c r="C80" s="74" t="s">
        <v>577</v>
      </c>
      <c r="D80" s="16" t="s">
        <v>107</v>
      </c>
      <c r="E80" s="18">
        <v>45841</v>
      </c>
      <c r="F80" s="19">
        <v>10</v>
      </c>
      <c r="G80" s="19">
        <v>8</v>
      </c>
      <c r="H80" s="19">
        <v>10</v>
      </c>
      <c r="I80" s="19">
        <v>10</v>
      </c>
      <c r="J80" s="19" t="s">
        <v>603</v>
      </c>
      <c r="K80" s="19">
        <v>10</v>
      </c>
      <c r="L80" s="19" t="s">
        <v>15</v>
      </c>
      <c r="M80" s="19">
        <v>10</v>
      </c>
      <c r="N80" s="19">
        <v>10</v>
      </c>
      <c r="O80" s="19">
        <v>10</v>
      </c>
      <c r="P80" s="19">
        <v>10</v>
      </c>
      <c r="Q80" s="19">
        <v>10</v>
      </c>
      <c r="R80" s="19">
        <v>10</v>
      </c>
      <c r="S80" s="19" t="s">
        <v>15</v>
      </c>
      <c r="T80" s="19">
        <v>10</v>
      </c>
      <c r="U80" s="19">
        <v>10</v>
      </c>
      <c r="V80" s="19" t="s">
        <v>316</v>
      </c>
      <c r="W80" s="19">
        <v>10</v>
      </c>
      <c r="X80" s="19">
        <v>10</v>
      </c>
      <c r="Y80" s="19">
        <v>10</v>
      </c>
      <c r="Z80" s="19" t="s">
        <v>316</v>
      </c>
      <c r="AA80" s="19">
        <v>11</v>
      </c>
      <c r="AB80" s="19">
        <v>11</v>
      </c>
      <c r="AC80" s="19">
        <v>11</v>
      </c>
      <c r="AD80" s="19">
        <v>11</v>
      </c>
      <c r="AE80" s="19">
        <v>11</v>
      </c>
      <c r="AF80" s="19">
        <v>11</v>
      </c>
      <c r="AG80" s="19" t="s">
        <v>15</v>
      </c>
      <c r="AH80" s="19">
        <v>11</v>
      </c>
      <c r="AI80" s="19">
        <v>11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f t="shared" si="345"/>
        <v>54</v>
      </c>
      <c r="AU80" s="19">
        <f t="shared" si="346"/>
        <v>0</v>
      </c>
      <c r="AV80" s="19">
        <f t="shared" si="347"/>
        <v>0</v>
      </c>
      <c r="AW80" s="16">
        <f t="shared" si="227"/>
        <v>28</v>
      </c>
      <c r="AX80" s="16">
        <f t="shared" si="228"/>
        <v>2</v>
      </c>
      <c r="AY80" s="38">
        <f t="shared" si="229"/>
        <v>0</v>
      </c>
      <c r="AZ80" s="36">
        <v>1200</v>
      </c>
      <c r="BA80" s="20">
        <v>100</v>
      </c>
      <c r="BB80" s="21">
        <v>0</v>
      </c>
      <c r="BC80" s="19">
        <f t="shared" si="300"/>
        <v>1120</v>
      </c>
      <c r="BD80" s="19">
        <f t="shared" si="301"/>
        <v>93</v>
      </c>
      <c r="BE80" s="19">
        <f t="shared" si="302"/>
        <v>338</v>
      </c>
      <c r="BF80" s="19">
        <f t="shared" si="303"/>
        <v>0</v>
      </c>
      <c r="BG80" s="19">
        <f t="shared" si="304"/>
        <v>0</v>
      </c>
      <c r="BH80" s="19">
        <f t="shared" si="305"/>
        <v>0</v>
      </c>
      <c r="BI80" s="19">
        <v>0</v>
      </c>
      <c r="BJ80" s="19">
        <v>0</v>
      </c>
      <c r="BK80" s="19">
        <f t="shared" si="348"/>
        <v>1551</v>
      </c>
      <c r="BL80" s="19">
        <v>100</v>
      </c>
      <c r="BM80" s="19">
        <v>0</v>
      </c>
      <c r="BN80" s="19">
        <f t="shared" si="349"/>
        <v>100</v>
      </c>
      <c r="BO80" s="19">
        <f t="shared" si="350"/>
        <v>1451</v>
      </c>
      <c r="BP80" s="19">
        <v>0</v>
      </c>
      <c r="BQ80" s="19">
        <v>0</v>
      </c>
      <c r="BR80" s="22">
        <f t="shared" si="351"/>
        <v>1451</v>
      </c>
      <c r="BS80" s="23">
        <f t="shared" si="230"/>
        <v>0</v>
      </c>
      <c r="BT80" s="24">
        <f t="shared" si="352"/>
        <v>0</v>
      </c>
      <c r="BU80" s="24">
        <f t="shared" si="232"/>
        <v>0</v>
      </c>
      <c r="BV80" s="24">
        <f t="shared" si="353"/>
        <v>0</v>
      </c>
      <c r="BW80" s="24">
        <f t="shared" si="234"/>
        <v>0</v>
      </c>
      <c r="BX80" s="24">
        <f t="shared" si="354"/>
        <v>0</v>
      </c>
      <c r="BY80" s="24">
        <f t="shared" si="236"/>
        <v>15</v>
      </c>
      <c r="BZ80" s="24">
        <f t="shared" si="355"/>
        <v>30</v>
      </c>
      <c r="CA80" s="24">
        <f t="shared" si="238"/>
        <v>0</v>
      </c>
      <c r="CB80" s="24">
        <f t="shared" si="356"/>
        <v>0</v>
      </c>
      <c r="CC80" s="24">
        <f t="shared" si="240"/>
        <v>8</v>
      </c>
      <c r="CD80" s="24">
        <f t="shared" si="357"/>
        <v>24</v>
      </c>
      <c r="CE80" s="24">
        <f t="shared" si="242"/>
        <v>0</v>
      </c>
      <c r="CF80" s="24">
        <f t="shared" si="358"/>
        <v>0</v>
      </c>
      <c r="CG80" s="24">
        <f t="shared" si="244"/>
        <v>0</v>
      </c>
      <c r="CH80" s="24">
        <f t="shared" si="359"/>
        <v>0</v>
      </c>
      <c r="CI80" s="24">
        <f t="shared" si="246"/>
        <v>0</v>
      </c>
      <c r="CJ80" s="24">
        <f t="shared" si="360"/>
        <v>0</v>
      </c>
      <c r="CK80" s="24">
        <f t="shared" si="248"/>
        <v>0</v>
      </c>
      <c r="CL80" s="24">
        <f t="shared" si="361"/>
        <v>0</v>
      </c>
      <c r="CM80" s="24">
        <f t="shared" si="250"/>
        <v>0</v>
      </c>
      <c r="CN80" s="24">
        <f t="shared" si="362"/>
        <v>0</v>
      </c>
      <c r="CO80" s="24">
        <f t="shared" si="252"/>
        <v>0</v>
      </c>
      <c r="CP80" s="24">
        <f t="shared" si="363"/>
        <v>0</v>
      </c>
      <c r="CQ80" s="24">
        <f t="shared" si="254"/>
        <v>0</v>
      </c>
      <c r="CR80" s="24">
        <f t="shared" si="364"/>
        <v>0</v>
      </c>
      <c r="CS80" s="24">
        <f t="shared" si="256"/>
        <v>0</v>
      </c>
      <c r="CT80" s="24">
        <f t="shared" si="365"/>
        <v>0</v>
      </c>
      <c r="CU80" s="24">
        <f t="shared" si="258"/>
        <v>0</v>
      </c>
      <c r="CV80" s="24">
        <f t="shared" si="366"/>
        <v>0</v>
      </c>
      <c r="CW80" s="24">
        <f t="shared" si="260"/>
        <v>0</v>
      </c>
      <c r="CX80" s="24">
        <f t="shared" si="367"/>
        <v>0</v>
      </c>
      <c r="CY80" s="24">
        <f t="shared" si="262"/>
        <v>0</v>
      </c>
      <c r="CZ80" s="24">
        <f t="shared" si="368"/>
        <v>0</v>
      </c>
      <c r="DA80" s="24">
        <f t="shared" si="264"/>
        <v>0</v>
      </c>
      <c r="DB80" s="24">
        <f t="shared" si="369"/>
        <v>0</v>
      </c>
      <c r="DC80" s="24">
        <f t="shared" si="266"/>
        <v>0</v>
      </c>
      <c r="DD80" s="24">
        <f t="shared" si="370"/>
        <v>0</v>
      </c>
      <c r="DE80" s="24">
        <f t="shared" si="268"/>
        <v>0</v>
      </c>
      <c r="DF80" s="24">
        <f t="shared" si="371"/>
        <v>0</v>
      </c>
      <c r="DG80" s="24">
        <f t="shared" si="270"/>
        <v>0</v>
      </c>
      <c r="DH80" s="24">
        <f t="shared" si="372"/>
        <v>0</v>
      </c>
      <c r="DI80" s="24">
        <f t="shared" si="272"/>
        <v>0</v>
      </c>
      <c r="DJ80" s="24">
        <f t="shared" si="373"/>
        <v>0</v>
      </c>
      <c r="DK80" s="24">
        <f t="shared" si="274"/>
        <v>0</v>
      </c>
      <c r="DL80" s="24">
        <f t="shared" si="374"/>
        <v>0</v>
      </c>
      <c r="DM80" s="24">
        <f t="shared" si="276"/>
        <v>0</v>
      </c>
      <c r="DN80" s="24">
        <f t="shared" si="375"/>
        <v>0</v>
      </c>
      <c r="DO80" s="24">
        <f t="shared" si="278"/>
        <v>0</v>
      </c>
      <c r="DP80" s="24">
        <f t="shared" si="376"/>
        <v>0</v>
      </c>
      <c r="DQ80" s="24">
        <f t="shared" si="280"/>
        <v>0</v>
      </c>
      <c r="DR80" s="24">
        <f t="shared" si="377"/>
        <v>0</v>
      </c>
      <c r="DS80" s="24">
        <f t="shared" si="282"/>
        <v>0</v>
      </c>
      <c r="DT80" s="24">
        <f t="shared" si="378"/>
        <v>0</v>
      </c>
      <c r="DU80" s="24">
        <f t="shared" si="284"/>
        <v>0</v>
      </c>
      <c r="DV80" s="24">
        <f t="shared" si="379"/>
        <v>0</v>
      </c>
      <c r="DW80" s="24">
        <f t="shared" si="286"/>
        <v>0</v>
      </c>
      <c r="DX80" s="24">
        <f t="shared" si="380"/>
        <v>0</v>
      </c>
      <c r="DY80" s="24">
        <f t="shared" si="288"/>
        <v>0</v>
      </c>
      <c r="DZ80" s="24">
        <f t="shared" si="381"/>
        <v>0</v>
      </c>
      <c r="EA80" s="24">
        <f t="shared" si="290"/>
        <v>0</v>
      </c>
      <c r="EB80" s="24">
        <f t="shared" si="382"/>
        <v>0</v>
      </c>
      <c r="EC80" s="24">
        <f t="shared" si="292"/>
        <v>0</v>
      </c>
      <c r="ED80" s="24">
        <f t="shared" si="383"/>
        <v>0</v>
      </c>
      <c r="EE80" s="78"/>
    </row>
    <row r="81" spans="1:135" s="2" customFormat="1" ht="18" customHeight="1" x14ac:dyDescent="0.25">
      <c r="A81" s="15">
        <v>78</v>
      </c>
      <c r="B81" s="108">
        <v>366</v>
      </c>
      <c r="C81" s="74" t="s">
        <v>578</v>
      </c>
      <c r="D81" s="16" t="s">
        <v>107</v>
      </c>
      <c r="E81" s="18">
        <v>45841</v>
      </c>
      <c r="F81" s="19">
        <v>10</v>
      </c>
      <c r="G81" s="19">
        <v>8</v>
      </c>
      <c r="H81" s="19">
        <v>10</v>
      </c>
      <c r="I81" s="19">
        <v>10</v>
      </c>
      <c r="J81" s="19" t="s">
        <v>603</v>
      </c>
      <c r="K81" s="19">
        <v>10</v>
      </c>
      <c r="L81" s="19" t="s">
        <v>15</v>
      </c>
      <c r="M81" s="19">
        <v>10</v>
      </c>
      <c r="N81" s="19">
        <v>10</v>
      </c>
      <c r="O81" s="19">
        <v>10</v>
      </c>
      <c r="P81" s="19">
        <v>10</v>
      </c>
      <c r="Q81" s="19">
        <v>10</v>
      </c>
      <c r="R81" s="19">
        <v>10</v>
      </c>
      <c r="S81" s="19" t="s">
        <v>15</v>
      </c>
      <c r="T81" s="19">
        <v>10</v>
      </c>
      <c r="U81" s="19">
        <v>10</v>
      </c>
      <c r="V81" s="19" t="s">
        <v>316</v>
      </c>
      <c r="W81" s="19">
        <v>10</v>
      </c>
      <c r="X81" s="19">
        <v>10</v>
      </c>
      <c r="Y81" s="19">
        <v>10</v>
      </c>
      <c r="Z81" s="19" t="s">
        <v>316</v>
      </c>
      <c r="AA81" s="19">
        <v>11</v>
      </c>
      <c r="AB81" s="19">
        <v>11</v>
      </c>
      <c r="AC81" s="19">
        <v>11</v>
      </c>
      <c r="AD81" s="19">
        <v>11</v>
      </c>
      <c r="AE81" s="19">
        <v>11</v>
      </c>
      <c r="AF81" s="19">
        <v>11</v>
      </c>
      <c r="AG81" s="19" t="s">
        <v>15</v>
      </c>
      <c r="AH81" s="19">
        <v>11</v>
      </c>
      <c r="AI81" s="19">
        <v>11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f t="shared" si="345"/>
        <v>54</v>
      </c>
      <c r="AU81" s="19">
        <f t="shared" si="346"/>
        <v>0</v>
      </c>
      <c r="AV81" s="19">
        <f t="shared" si="347"/>
        <v>0</v>
      </c>
      <c r="AW81" s="16">
        <f t="shared" si="227"/>
        <v>28</v>
      </c>
      <c r="AX81" s="16">
        <f t="shared" si="228"/>
        <v>2</v>
      </c>
      <c r="AY81" s="38">
        <f t="shared" si="229"/>
        <v>0</v>
      </c>
      <c r="AZ81" s="36">
        <v>900</v>
      </c>
      <c r="BA81" s="20">
        <v>100</v>
      </c>
      <c r="BB81" s="21">
        <v>0</v>
      </c>
      <c r="BC81" s="19">
        <f t="shared" si="300"/>
        <v>840</v>
      </c>
      <c r="BD81" s="19">
        <f t="shared" si="301"/>
        <v>93</v>
      </c>
      <c r="BE81" s="19">
        <f t="shared" si="302"/>
        <v>253</v>
      </c>
      <c r="BF81" s="19">
        <f t="shared" si="303"/>
        <v>0</v>
      </c>
      <c r="BG81" s="19">
        <f t="shared" si="304"/>
        <v>0</v>
      </c>
      <c r="BH81" s="19">
        <f t="shared" si="305"/>
        <v>0</v>
      </c>
      <c r="BI81" s="19">
        <v>0</v>
      </c>
      <c r="BJ81" s="19">
        <v>0</v>
      </c>
      <c r="BK81" s="19">
        <f t="shared" si="348"/>
        <v>1186</v>
      </c>
      <c r="BL81" s="19">
        <v>100</v>
      </c>
      <c r="BM81" s="19">
        <v>0</v>
      </c>
      <c r="BN81" s="19">
        <f t="shared" si="349"/>
        <v>100</v>
      </c>
      <c r="BO81" s="19">
        <f t="shared" si="350"/>
        <v>1086</v>
      </c>
      <c r="BP81" s="19">
        <v>0</v>
      </c>
      <c r="BQ81" s="19">
        <v>0</v>
      </c>
      <c r="BR81" s="22">
        <f t="shared" si="351"/>
        <v>1086</v>
      </c>
      <c r="BS81" s="23">
        <f t="shared" si="230"/>
        <v>0</v>
      </c>
      <c r="BT81" s="24">
        <f t="shared" si="352"/>
        <v>0</v>
      </c>
      <c r="BU81" s="24">
        <f t="shared" si="232"/>
        <v>0</v>
      </c>
      <c r="BV81" s="24">
        <f t="shared" si="353"/>
        <v>0</v>
      </c>
      <c r="BW81" s="24">
        <f t="shared" si="234"/>
        <v>0</v>
      </c>
      <c r="BX81" s="24">
        <f t="shared" si="354"/>
        <v>0</v>
      </c>
      <c r="BY81" s="24">
        <f t="shared" si="236"/>
        <v>15</v>
      </c>
      <c r="BZ81" s="24">
        <f t="shared" si="355"/>
        <v>30</v>
      </c>
      <c r="CA81" s="24">
        <f t="shared" si="238"/>
        <v>0</v>
      </c>
      <c r="CB81" s="24">
        <f t="shared" si="356"/>
        <v>0</v>
      </c>
      <c r="CC81" s="24">
        <f t="shared" si="240"/>
        <v>8</v>
      </c>
      <c r="CD81" s="24">
        <f t="shared" si="357"/>
        <v>24</v>
      </c>
      <c r="CE81" s="24">
        <f t="shared" si="242"/>
        <v>0</v>
      </c>
      <c r="CF81" s="24">
        <f t="shared" si="358"/>
        <v>0</v>
      </c>
      <c r="CG81" s="24">
        <f t="shared" si="244"/>
        <v>0</v>
      </c>
      <c r="CH81" s="24">
        <f t="shared" si="359"/>
        <v>0</v>
      </c>
      <c r="CI81" s="24">
        <f t="shared" si="246"/>
        <v>0</v>
      </c>
      <c r="CJ81" s="24">
        <f t="shared" si="360"/>
        <v>0</v>
      </c>
      <c r="CK81" s="24">
        <f t="shared" si="248"/>
        <v>0</v>
      </c>
      <c r="CL81" s="24">
        <f t="shared" si="361"/>
        <v>0</v>
      </c>
      <c r="CM81" s="24">
        <f t="shared" si="250"/>
        <v>0</v>
      </c>
      <c r="CN81" s="24">
        <f t="shared" si="362"/>
        <v>0</v>
      </c>
      <c r="CO81" s="24">
        <f t="shared" si="252"/>
        <v>0</v>
      </c>
      <c r="CP81" s="24">
        <f t="shared" si="363"/>
        <v>0</v>
      </c>
      <c r="CQ81" s="24">
        <f t="shared" si="254"/>
        <v>0</v>
      </c>
      <c r="CR81" s="24">
        <f t="shared" si="364"/>
        <v>0</v>
      </c>
      <c r="CS81" s="24">
        <f t="shared" si="256"/>
        <v>0</v>
      </c>
      <c r="CT81" s="24">
        <f t="shared" si="365"/>
        <v>0</v>
      </c>
      <c r="CU81" s="24">
        <f t="shared" si="258"/>
        <v>0</v>
      </c>
      <c r="CV81" s="24">
        <f t="shared" si="366"/>
        <v>0</v>
      </c>
      <c r="CW81" s="24">
        <f t="shared" si="260"/>
        <v>0</v>
      </c>
      <c r="CX81" s="24">
        <f t="shared" si="367"/>
        <v>0</v>
      </c>
      <c r="CY81" s="24">
        <f t="shared" si="262"/>
        <v>0</v>
      </c>
      <c r="CZ81" s="24">
        <f t="shared" si="368"/>
        <v>0</v>
      </c>
      <c r="DA81" s="24">
        <f t="shared" si="264"/>
        <v>0</v>
      </c>
      <c r="DB81" s="24">
        <f t="shared" si="369"/>
        <v>0</v>
      </c>
      <c r="DC81" s="24">
        <f t="shared" si="266"/>
        <v>0</v>
      </c>
      <c r="DD81" s="24">
        <f t="shared" si="370"/>
        <v>0</v>
      </c>
      <c r="DE81" s="24">
        <f t="shared" si="268"/>
        <v>0</v>
      </c>
      <c r="DF81" s="24">
        <f t="shared" si="371"/>
        <v>0</v>
      </c>
      <c r="DG81" s="24">
        <f t="shared" si="270"/>
        <v>0</v>
      </c>
      <c r="DH81" s="24">
        <f t="shared" si="372"/>
        <v>0</v>
      </c>
      <c r="DI81" s="24">
        <f t="shared" si="272"/>
        <v>0</v>
      </c>
      <c r="DJ81" s="24">
        <f t="shared" si="373"/>
        <v>0</v>
      </c>
      <c r="DK81" s="24">
        <f t="shared" si="274"/>
        <v>0</v>
      </c>
      <c r="DL81" s="24">
        <f t="shared" si="374"/>
        <v>0</v>
      </c>
      <c r="DM81" s="24">
        <f t="shared" si="276"/>
        <v>0</v>
      </c>
      <c r="DN81" s="24">
        <f t="shared" si="375"/>
        <v>0</v>
      </c>
      <c r="DO81" s="24">
        <f t="shared" si="278"/>
        <v>0</v>
      </c>
      <c r="DP81" s="24">
        <f t="shared" si="376"/>
        <v>0</v>
      </c>
      <c r="DQ81" s="24">
        <f t="shared" si="280"/>
        <v>0</v>
      </c>
      <c r="DR81" s="24">
        <f t="shared" si="377"/>
        <v>0</v>
      </c>
      <c r="DS81" s="24">
        <f t="shared" si="282"/>
        <v>0</v>
      </c>
      <c r="DT81" s="24">
        <f t="shared" si="378"/>
        <v>0</v>
      </c>
      <c r="DU81" s="24">
        <f t="shared" si="284"/>
        <v>0</v>
      </c>
      <c r="DV81" s="24">
        <f t="shared" si="379"/>
        <v>0</v>
      </c>
      <c r="DW81" s="24">
        <f t="shared" si="286"/>
        <v>0</v>
      </c>
      <c r="DX81" s="24">
        <f t="shared" si="380"/>
        <v>0</v>
      </c>
      <c r="DY81" s="24">
        <f t="shared" si="288"/>
        <v>0</v>
      </c>
      <c r="DZ81" s="24">
        <f t="shared" si="381"/>
        <v>0</v>
      </c>
      <c r="EA81" s="24">
        <f t="shared" si="290"/>
        <v>0</v>
      </c>
      <c r="EB81" s="24">
        <f t="shared" si="382"/>
        <v>0</v>
      </c>
      <c r="EC81" s="24">
        <f t="shared" si="292"/>
        <v>0</v>
      </c>
      <c r="ED81" s="24">
        <f t="shared" si="383"/>
        <v>0</v>
      </c>
      <c r="EE81" s="78"/>
    </row>
    <row r="82" spans="1:135" s="2" customFormat="1" ht="18" customHeight="1" x14ac:dyDescent="0.25">
      <c r="A82" s="15">
        <v>79</v>
      </c>
      <c r="B82" s="108">
        <v>367</v>
      </c>
      <c r="C82" s="74" t="s">
        <v>579</v>
      </c>
      <c r="D82" s="16" t="s">
        <v>107</v>
      </c>
      <c r="E82" s="18">
        <v>45841</v>
      </c>
      <c r="F82" s="19">
        <v>11</v>
      </c>
      <c r="G82" s="19">
        <v>11</v>
      </c>
      <c r="H82" s="19">
        <v>11</v>
      </c>
      <c r="I82" s="19">
        <v>11</v>
      </c>
      <c r="J82" s="19" t="s">
        <v>603</v>
      </c>
      <c r="K82" s="19">
        <v>11</v>
      </c>
      <c r="L82" s="19" t="s">
        <v>15</v>
      </c>
      <c r="M82" s="19">
        <v>11</v>
      </c>
      <c r="N82" s="19">
        <v>11</v>
      </c>
      <c r="O82" s="19">
        <v>11</v>
      </c>
      <c r="P82" s="19">
        <v>11</v>
      </c>
      <c r="Q82" s="19">
        <v>11</v>
      </c>
      <c r="R82" s="19" t="s">
        <v>316</v>
      </c>
      <c r="S82" s="19" t="s">
        <v>316</v>
      </c>
      <c r="T82" s="19">
        <v>11</v>
      </c>
      <c r="U82" s="19">
        <v>11</v>
      </c>
      <c r="V82" s="19">
        <v>11</v>
      </c>
      <c r="W82" s="19">
        <v>11</v>
      </c>
      <c r="X82" s="19">
        <v>11</v>
      </c>
      <c r="Y82" s="19">
        <v>11</v>
      </c>
      <c r="Z82" s="19" t="s">
        <v>15</v>
      </c>
      <c r="AA82" s="19">
        <v>11</v>
      </c>
      <c r="AB82" s="19">
        <v>11</v>
      </c>
      <c r="AC82" s="19">
        <v>11</v>
      </c>
      <c r="AD82" s="19">
        <v>11</v>
      </c>
      <c r="AE82" s="19">
        <v>11</v>
      </c>
      <c r="AF82" s="19">
        <v>11</v>
      </c>
      <c r="AG82" s="19" t="s">
        <v>15</v>
      </c>
      <c r="AH82" s="19">
        <v>11</v>
      </c>
      <c r="AI82" s="19">
        <v>11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11</v>
      </c>
      <c r="AP82" s="19">
        <v>0</v>
      </c>
      <c r="AQ82" s="19">
        <v>0</v>
      </c>
      <c r="AR82" s="19">
        <v>0</v>
      </c>
      <c r="AS82" s="19">
        <v>0</v>
      </c>
      <c r="AT82" s="19">
        <f t="shared" si="345"/>
        <v>72</v>
      </c>
      <c r="AU82" s="19">
        <f t="shared" si="346"/>
        <v>0</v>
      </c>
      <c r="AV82" s="19">
        <f t="shared" si="347"/>
        <v>11</v>
      </c>
      <c r="AW82" s="16">
        <f t="shared" si="227"/>
        <v>28</v>
      </c>
      <c r="AX82" s="16">
        <f t="shared" si="228"/>
        <v>2</v>
      </c>
      <c r="AY82" s="38">
        <f t="shared" si="229"/>
        <v>0</v>
      </c>
      <c r="AZ82" s="36">
        <v>800</v>
      </c>
      <c r="BA82" s="20">
        <v>100</v>
      </c>
      <c r="BB82" s="21">
        <v>0</v>
      </c>
      <c r="BC82" s="19">
        <f t="shared" si="300"/>
        <v>747</v>
      </c>
      <c r="BD82" s="19">
        <f t="shared" si="301"/>
        <v>93</v>
      </c>
      <c r="BE82" s="19">
        <f t="shared" si="302"/>
        <v>355</v>
      </c>
      <c r="BF82" s="19">
        <f t="shared" si="303"/>
        <v>0</v>
      </c>
      <c r="BG82" s="19">
        <f t="shared" si="304"/>
        <v>0</v>
      </c>
      <c r="BH82" s="19">
        <f t="shared" si="305"/>
        <v>0</v>
      </c>
      <c r="BI82" s="19">
        <v>0</v>
      </c>
      <c r="BJ82" s="19">
        <v>0</v>
      </c>
      <c r="BK82" s="19">
        <f t="shared" si="348"/>
        <v>1195</v>
      </c>
      <c r="BL82" s="19">
        <v>100</v>
      </c>
      <c r="BM82" s="19">
        <v>0</v>
      </c>
      <c r="BN82" s="19">
        <f t="shared" si="349"/>
        <v>100</v>
      </c>
      <c r="BO82" s="19">
        <f t="shared" si="350"/>
        <v>1095</v>
      </c>
      <c r="BP82" s="19">
        <v>0</v>
      </c>
      <c r="BQ82" s="19">
        <v>0</v>
      </c>
      <c r="BR82" s="22">
        <f t="shared" si="351"/>
        <v>1095</v>
      </c>
      <c r="BS82" s="23">
        <f t="shared" si="230"/>
        <v>0</v>
      </c>
      <c r="BT82" s="24">
        <f t="shared" si="352"/>
        <v>0</v>
      </c>
      <c r="BU82" s="24">
        <f t="shared" si="232"/>
        <v>0</v>
      </c>
      <c r="BV82" s="24">
        <f t="shared" si="353"/>
        <v>0</v>
      </c>
      <c r="BW82" s="24">
        <f t="shared" si="234"/>
        <v>0</v>
      </c>
      <c r="BX82" s="24">
        <f t="shared" si="354"/>
        <v>0</v>
      </c>
      <c r="BY82" s="24">
        <f t="shared" si="236"/>
        <v>0</v>
      </c>
      <c r="BZ82" s="24">
        <f t="shared" si="355"/>
        <v>0</v>
      </c>
      <c r="CA82" s="24">
        <f t="shared" si="238"/>
        <v>0</v>
      </c>
      <c r="CB82" s="24">
        <f t="shared" si="356"/>
        <v>0</v>
      </c>
      <c r="CC82" s="24">
        <f t="shared" si="240"/>
        <v>24</v>
      </c>
      <c r="CD82" s="24">
        <f t="shared" si="357"/>
        <v>72</v>
      </c>
      <c r="CE82" s="24">
        <f t="shared" si="242"/>
        <v>0</v>
      </c>
      <c r="CF82" s="24">
        <f t="shared" si="358"/>
        <v>0</v>
      </c>
      <c r="CG82" s="24">
        <f t="shared" si="244"/>
        <v>0</v>
      </c>
      <c r="CH82" s="24">
        <f t="shared" si="359"/>
        <v>0</v>
      </c>
      <c r="CI82" s="24">
        <f t="shared" si="246"/>
        <v>0</v>
      </c>
      <c r="CJ82" s="24">
        <f t="shared" si="360"/>
        <v>0</v>
      </c>
      <c r="CK82" s="24">
        <f t="shared" si="248"/>
        <v>0</v>
      </c>
      <c r="CL82" s="24">
        <f t="shared" si="361"/>
        <v>0</v>
      </c>
      <c r="CM82" s="24">
        <f t="shared" si="250"/>
        <v>0</v>
      </c>
      <c r="CN82" s="24">
        <f t="shared" si="362"/>
        <v>0</v>
      </c>
      <c r="CO82" s="24">
        <f t="shared" si="252"/>
        <v>0</v>
      </c>
      <c r="CP82" s="24">
        <f t="shared" si="363"/>
        <v>0</v>
      </c>
      <c r="CQ82" s="24">
        <f t="shared" si="254"/>
        <v>0</v>
      </c>
      <c r="CR82" s="24">
        <f t="shared" si="364"/>
        <v>0</v>
      </c>
      <c r="CS82" s="24">
        <f t="shared" si="256"/>
        <v>0</v>
      </c>
      <c r="CT82" s="24">
        <f t="shared" si="365"/>
        <v>0</v>
      </c>
      <c r="CU82" s="24">
        <f t="shared" si="258"/>
        <v>0</v>
      </c>
      <c r="CV82" s="24">
        <f t="shared" si="366"/>
        <v>0</v>
      </c>
      <c r="CW82" s="24">
        <f t="shared" si="260"/>
        <v>0</v>
      </c>
      <c r="CX82" s="24">
        <f t="shared" si="367"/>
        <v>0</v>
      </c>
      <c r="CY82" s="24">
        <f t="shared" si="262"/>
        <v>0</v>
      </c>
      <c r="CZ82" s="24">
        <f t="shared" si="368"/>
        <v>0</v>
      </c>
      <c r="DA82" s="24">
        <f t="shared" si="264"/>
        <v>0</v>
      </c>
      <c r="DB82" s="24">
        <f t="shared" si="369"/>
        <v>0</v>
      </c>
      <c r="DC82" s="24">
        <f t="shared" si="266"/>
        <v>0</v>
      </c>
      <c r="DD82" s="24">
        <f t="shared" si="370"/>
        <v>0</v>
      </c>
      <c r="DE82" s="24">
        <f t="shared" si="268"/>
        <v>0</v>
      </c>
      <c r="DF82" s="24">
        <f t="shared" si="371"/>
        <v>0</v>
      </c>
      <c r="DG82" s="24">
        <f t="shared" si="270"/>
        <v>0</v>
      </c>
      <c r="DH82" s="24">
        <f t="shared" si="372"/>
        <v>0</v>
      </c>
      <c r="DI82" s="24">
        <f t="shared" si="272"/>
        <v>0</v>
      </c>
      <c r="DJ82" s="24">
        <f t="shared" si="373"/>
        <v>0</v>
      </c>
      <c r="DK82" s="24">
        <f t="shared" si="274"/>
        <v>0</v>
      </c>
      <c r="DL82" s="24">
        <f t="shared" si="374"/>
        <v>0</v>
      </c>
      <c r="DM82" s="24">
        <f t="shared" si="276"/>
        <v>0</v>
      </c>
      <c r="DN82" s="24">
        <f t="shared" si="375"/>
        <v>0</v>
      </c>
      <c r="DO82" s="24">
        <f t="shared" si="278"/>
        <v>0</v>
      </c>
      <c r="DP82" s="24">
        <f t="shared" si="376"/>
        <v>0</v>
      </c>
      <c r="DQ82" s="24">
        <f t="shared" si="280"/>
        <v>0</v>
      </c>
      <c r="DR82" s="24">
        <f t="shared" si="377"/>
        <v>0</v>
      </c>
      <c r="DS82" s="24">
        <f t="shared" si="282"/>
        <v>0</v>
      </c>
      <c r="DT82" s="24">
        <f t="shared" si="378"/>
        <v>0</v>
      </c>
      <c r="DU82" s="24">
        <f t="shared" si="284"/>
        <v>0</v>
      </c>
      <c r="DV82" s="24">
        <f t="shared" si="379"/>
        <v>0</v>
      </c>
      <c r="DW82" s="24">
        <f t="shared" si="286"/>
        <v>0</v>
      </c>
      <c r="DX82" s="24">
        <f t="shared" si="380"/>
        <v>0</v>
      </c>
      <c r="DY82" s="24">
        <f t="shared" si="288"/>
        <v>0</v>
      </c>
      <c r="DZ82" s="24">
        <f t="shared" si="381"/>
        <v>0</v>
      </c>
      <c r="EA82" s="24">
        <f t="shared" si="290"/>
        <v>0</v>
      </c>
      <c r="EB82" s="24">
        <f t="shared" si="382"/>
        <v>0</v>
      </c>
      <c r="EC82" s="24">
        <f t="shared" si="292"/>
        <v>0</v>
      </c>
      <c r="ED82" s="24">
        <f t="shared" si="383"/>
        <v>0</v>
      </c>
      <c r="EE82" s="78"/>
    </row>
    <row r="83" spans="1:135" s="2" customFormat="1" ht="18" customHeight="1" x14ac:dyDescent="0.25">
      <c r="A83" s="15">
        <v>80</v>
      </c>
      <c r="B83" s="108">
        <v>368</v>
      </c>
      <c r="C83" s="74" t="s">
        <v>580</v>
      </c>
      <c r="D83" s="16" t="s">
        <v>167</v>
      </c>
      <c r="E83" s="18">
        <v>45842</v>
      </c>
      <c r="F83" s="19">
        <v>10</v>
      </c>
      <c r="G83" s="19">
        <v>10</v>
      </c>
      <c r="H83" s="19">
        <v>10</v>
      </c>
      <c r="I83" s="19">
        <v>10</v>
      </c>
      <c r="J83" s="19" t="s">
        <v>603</v>
      </c>
      <c r="K83" s="19">
        <v>11</v>
      </c>
      <c r="L83" s="19" t="s">
        <v>15</v>
      </c>
      <c r="M83" s="19">
        <v>10</v>
      </c>
      <c r="N83" s="19">
        <v>10</v>
      </c>
      <c r="O83" s="19">
        <v>10</v>
      </c>
      <c r="P83" s="19">
        <v>10</v>
      </c>
      <c r="Q83" s="19">
        <v>11</v>
      </c>
      <c r="R83" s="19">
        <v>10</v>
      </c>
      <c r="S83" s="19" t="s">
        <v>15</v>
      </c>
      <c r="T83" s="19">
        <v>11</v>
      </c>
      <c r="U83" s="19">
        <v>10</v>
      </c>
      <c r="V83" s="19">
        <v>10</v>
      </c>
      <c r="W83" s="19">
        <v>11</v>
      </c>
      <c r="X83" s="19">
        <v>10</v>
      </c>
      <c r="Y83" s="19">
        <v>10</v>
      </c>
      <c r="Z83" s="19" t="s">
        <v>15</v>
      </c>
      <c r="AA83" s="19">
        <v>10</v>
      </c>
      <c r="AB83" s="19">
        <v>10</v>
      </c>
      <c r="AC83" s="19">
        <v>10</v>
      </c>
      <c r="AD83" s="19">
        <v>10</v>
      </c>
      <c r="AE83" s="19">
        <v>10</v>
      </c>
      <c r="AF83" s="19">
        <v>10</v>
      </c>
      <c r="AG83" s="19" t="s">
        <v>15</v>
      </c>
      <c r="AH83" s="19">
        <v>10</v>
      </c>
      <c r="AI83" s="19">
        <v>10</v>
      </c>
      <c r="AJ83" s="19">
        <v>0</v>
      </c>
      <c r="AK83" s="19">
        <v>10</v>
      </c>
      <c r="AL83" s="19">
        <v>0</v>
      </c>
      <c r="AM83" s="19">
        <v>0</v>
      </c>
      <c r="AN83" s="19">
        <v>0</v>
      </c>
      <c r="AO83" s="19">
        <v>10</v>
      </c>
      <c r="AP83" s="19">
        <v>0</v>
      </c>
      <c r="AQ83" s="19">
        <v>0</v>
      </c>
      <c r="AR83" s="19">
        <v>0</v>
      </c>
      <c r="AS83" s="19">
        <v>0</v>
      </c>
      <c r="AT83" s="19">
        <f t="shared" si="345"/>
        <v>54</v>
      </c>
      <c r="AU83" s="19">
        <f t="shared" si="346"/>
        <v>10</v>
      </c>
      <c r="AV83" s="19">
        <f t="shared" si="347"/>
        <v>10</v>
      </c>
      <c r="AW83" s="16">
        <f t="shared" si="227"/>
        <v>30</v>
      </c>
      <c r="AX83" s="16">
        <f t="shared" si="228"/>
        <v>0</v>
      </c>
      <c r="AY83" s="38">
        <f t="shared" si="229"/>
        <v>0</v>
      </c>
      <c r="AZ83" s="36">
        <v>850</v>
      </c>
      <c r="BA83" s="20">
        <v>100</v>
      </c>
      <c r="BB83" s="21">
        <v>0</v>
      </c>
      <c r="BC83" s="19">
        <f t="shared" si="300"/>
        <v>850</v>
      </c>
      <c r="BD83" s="19">
        <f t="shared" si="301"/>
        <v>100</v>
      </c>
      <c r="BE83" s="19">
        <f t="shared" si="302"/>
        <v>345</v>
      </c>
      <c r="BF83" s="19">
        <f t="shared" si="303"/>
        <v>0</v>
      </c>
      <c r="BG83" s="19">
        <f t="shared" si="304"/>
        <v>0</v>
      </c>
      <c r="BH83" s="19">
        <f t="shared" si="305"/>
        <v>0</v>
      </c>
      <c r="BI83" s="19">
        <v>0</v>
      </c>
      <c r="BJ83" s="19">
        <v>95</v>
      </c>
      <c r="BK83" s="19">
        <f t="shared" si="348"/>
        <v>1390</v>
      </c>
      <c r="BL83" s="19">
        <v>100</v>
      </c>
      <c r="BM83" s="19">
        <v>0</v>
      </c>
      <c r="BN83" s="19">
        <f t="shared" si="349"/>
        <v>100</v>
      </c>
      <c r="BO83" s="19">
        <f t="shared" si="350"/>
        <v>1290</v>
      </c>
      <c r="BP83" s="19">
        <v>0</v>
      </c>
      <c r="BQ83" s="19">
        <v>0</v>
      </c>
      <c r="BR83" s="22">
        <f t="shared" si="351"/>
        <v>1290</v>
      </c>
      <c r="BS83" s="23">
        <f t="shared" si="230"/>
        <v>0</v>
      </c>
      <c r="BT83" s="24">
        <f t="shared" si="352"/>
        <v>0</v>
      </c>
      <c r="BU83" s="24">
        <f t="shared" si="232"/>
        <v>0</v>
      </c>
      <c r="BV83" s="24">
        <f t="shared" si="353"/>
        <v>0</v>
      </c>
      <c r="BW83" s="24">
        <f t="shared" si="234"/>
        <v>0</v>
      </c>
      <c r="BX83" s="24">
        <f t="shared" si="354"/>
        <v>0</v>
      </c>
      <c r="BY83" s="24">
        <f t="shared" si="236"/>
        <v>21</v>
      </c>
      <c r="BZ83" s="24">
        <f t="shared" si="355"/>
        <v>42</v>
      </c>
      <c r="CA83" s="24">
        <f t="shared" si="238"/>
        <v>0</v>
      </c>
      <c r="CB83" s="24">
        <f t="shared" si="356"/>
        <v>0</v>
      </c>
      <c r="CC83" s="24">
        <f t="shared" si="240"/>
        <v>4</v>
      </c>
      <c r="CD83" s="24">
        <f t="shared" si="357"/>
        <v>12</v>
      </c>
      <c r="CE83" s="24">
        <f t="shared" si="242"/>
        <v>0</v>
      </c>
      <c r="CF83" s="24">
        <f t="shared" si="358"/>
        <v>0</v>
      </c>
      <c r="CG83" s="24">
        <f t="shared" si="244"/>
        <v>0</v>
      </c>
      <c r="CH83" s="24">
        <f t="shared" si="359"/>
        <v>0</v>
      </c>
      <c r="CI83" s="24">
        <f t="shared" si="246"/>
        <v>0</v>
      </c>
      <c r="CJ83" s="24">
        <f t="shared" si="360"/>
        <v>0</v>
      </c>
      <c r="CK83" s="24">
        <f t="shared" si="248"/>
        <v>0</v>
      </c>
      <c r="CL83" s="24">
        <f t="shared" si="361"/>
        <v>0</v>
      </c>
      <c r="CM83" s="24">
        <f t="shared" si="250"/>
        <v>0</v>
      </c>
      <c r="CN83" s="24">
        <f t="shared" si="362"/>
        <v>0</v>
      </c>
      <c r="CO83" s="24">
        <f t="shared" si="252"/>
        <v>0</v>
      </c>
      <c r="CP83" s="24">
        <f t="shared" si="363"/>
        <v>0</v>
      </c>
      <c r="CQ83" s="24">
        <f t="shared" si="254"/>
        <v>0</v>
      </c>
      <c r="CR83" s="24">
        <f t="shared" si="364"/>
        <v>0</v>
      </c>
      <c r="CS83" s="24">
        <f t="shared" si="256"/>
        <v>0</v>
      </c>
      <c r="CT83" s="24">
        <f t="shared" si="365"/>
        <v>0</v>
      </c>
      <c r="CU83" s="24">
        <f t="shared" si="258"/>
        <v>0</v>
      </c>
      <c r="CV83" s="24">
        <f t="shared" si="366"/>
        <v>0</v>
      </c>
      <c r="CW83" s="24">
        <f t="shared" si="260"/>
        <v>0</v>
      </c>
      <c r="CX83" s="24">
        <f t="shared" si="367"/>
        <v>0</v>
      </c>
      <c r="CY83" s="24">
        <f t="shared" si="262"/>
        <v>0</v>
      </c>
      <c r="CZ83" s="24">
        <f t="shared" si="368"/>
        <v>0</v>
      </c>
      <c r="DA83" s="24">
        <f t="shared" si="264"/>
        <v>0</v>
      </c>
      <c r="DB83" s="24">
        <f t="shared" si="369"/>
        <v>0</v>
      </c>
      <c r="DC83" s="24">
        <f t="shared" si="266"/>
        <v>0</v>
      </c>
      <c r="DD83" s="24">
        <f t="shared" si="370"/>
        <v>0</v>
      </c>
      <c r="DE83" s="24">
        <f t="shared" si="268"/>
        <v>0</v>
      </c>
      <c r="DF83" s="24">
        <f t="shared" si="371"/>
        <v>0</v>
      </c>
      <c r="DG83" s="24">
        <f t="shared" si="270"/>
        <v>0</v>
      </c>
      <c r="DH83" s="24">
        <f t="shared" si="372"/>
        <v>0</v>
      </c>
      <c r="DI83" s="24">
        <f t="shared" si="272"/>
        <v>0</v>
      </c>
      <c r="DJ83" s="24">
        <f t="shared" si="373"/>
        <v>0</v>
      </c>
      <c r="DK83" s="24">
        <f t="shared" si="274"/>
        <v>0</v>
      </c>
      <c r="DL83" s="24">
        <f t="shared" si="374"/>
        <v>0</v>
      </c>
      <c r="DM83" s="24">
        <f t="shared" si="276"/>
        <v>0</v>
      </c>
      <c r="DN83" s="24">
        <f t="shared" si="375"/>
        <v>0</v>
      </c>
      <c r="DO83" s="24">
        <f t="shared" si="278"/>
        <v>0</v>
      </c>
      <c r="DP83" s="24">
        <f t="shared" si="376"/>
        <v>0</v>
      </c>
      <c r="DQ83" s="24">
        <f t="shared" si="280"/>
        <v>0</v>
      </c>
      <c r="DR83" s="24">
        <f t="shared" si="377"/>
        <v>0</v>
      </c>
      <c r="DS83" s="24">
        <f t="shared" si="282"/>
        <v>0</v>
      </c>
      <c r="DT83" s="24">
        <f t="shared" si="378"/>
        <v>0</v>
      </c>
      <c r="DU83" s="24">
        <f t="shared" si="284"/>
        <v>0</v>
      </c>
      <c r="DV83" s="24">
        <f t="shared" si="379"/>
        <v>0</v>
      </c>
      <c r="DW83" s="24">
        <f t="shared" si="286"/>
        <v>0</v>
      </c>
      <c r="DX83" s="24">
        <f t="shared" si="380"/>
        <v>0</v>
      </c>
      <c r="DY83" s="24">
        <f t="shared" si="288"/>
        <v>0</v>
      </c>
      <c r="DZ83" s="24">
        <f t="shared" si="381"/>
        <v>0</v>
      </c>
      <c r="EA83" s="24">
        <f t="shared" si="290"/>
        <v>0</v>
      </c>
      <c r="EB83" s="24">
        <f t="shared" si="382"/>
        <v>0</v>
      </c>
      <c r="EC83" s="24">
        <f t="shared" si="292"/>
        <v>0</v>
      </c>
      <c r="ED83" s="24">
        <f t="shared" si="383"/>
        <v>0</v>
      </c>
      <c r="EE83" s="78"/>
    </row>
    <row r="84" spans="1:135" s="2" customFormat="1" ht="18" customHeight="1" x14ac:dyDescent="0.25">
      <c r="A84" s="15">
        <v>81</v>
      </c>
      <c r="B84" s="108">
        <v>370</v>
      </c>
      <c r="C84" s="74" t="s">
        <v>581</v>
      </c>
      <c r="D84" s="16" t="s">
        <v>107</v>
      </c>
      <c r="E84" s="18">
        <v>45851</v>
      </c>
      <c r="F84" s="19" t="s">
        <v>316</v>
      </c>
      <c r="G84" s="19">
        <v>10</v>
      </c>
      <c r="H84" s="19">
        <v>10</v>
      </c>
      <c r="I84" s="19">
        <v>10</v>
      </c>
      <c r="J84" s="19" t="s">
        <v>603</v>
      </c>
      <c r="K84" s="19">
        <v>10</v>
      </c>
      <c r="L84" s="19" t="s">
        <v>316</v>
      </c>
      <c r="M84" s="19">
        <v>10</v>
      </c>
      <c r="N84" s="19">
        <v>10</v>
      </c>
      <c r="O84" s="19">
        <v>10</v>
      </c>
      <c r="P84" s="19">
        <v>10</v>
      </c>
      <c r="Q84" s="19">
        <v>10</v>
      </c>
      <c r="R84" s="19">
        <v>10</v>
      </c>
      <c r="S84" s="19" t="s">
        <v>15</v>
      </c>
      <c r="T84" s="19">
        <v>10</v>
      </c>
      <c r="U84" s="19">
        <v>10</v>
      </c>
      <c r="V84" s="19">
        <v>10</v>
      </c>
      <c r="W84" s="19">
        <v>10</v>
      </c>
      <c r="X84" s="19">
        <v>10</v>
      </c>
      <c r="Y84" s="19">
        <v>10</v>
      </c>
      <c r="Z84" s="19" t="s">
        <v>15</v>
      </c>
      <c r="AA84" s="19">
        <v>10</v>
      </c>
      <c r="AB84" s="19">
        <v>10</v>
      </c>
      <c r="AC84" s="19">
        <v>10</v>
      </c>
      <c r="AD84" s="19">
        <v>10</v>
      </c>
      <c r="AE84" s="19">
        <v>10</v>
      </c>
      <c r="AF84" s="19">
        <v>10</v>
      </c>
      <c r="AG84" s="19" t="s">
        <v>15</v>
      </c>
      <c r="AH84" s="19">
        <v>10</v>
      </c>
      <c r="AI84" s="19">
        <v>10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10</v>
      </c>
      <c r="AP84" s="19">
        <v>0</v>
      </c>
      <c r="AQ84" s="19">
        <v>0</v>
      </c>
      <c r="AR84" s="19">
        <v>0</v>
      </c>
      <c r="AS84" s="19">
        <v>0</v>
      </c>
      <c r="AT84" s="19">
        <f t="shared" si="345"/>
        <v>48</v>
      </c>
      <c r="AU84" s="19">
        <f t="shared" si="346"/>
        <v>0</v>
      </c>
      <c r="AV84" s="19">
        <f t="shared" si="347"/>
        <v>10</v>
      </c>
      <c r="AW84" s="16">
        <f t="shared" si="227"/>
        <v>28</v>
      </c>
      <c r="AX84" s="16">
        <f t="shared" si="228"/>
        <v>2</v>
      </c>
      <c r="AY84" s="38">
        <f t="shared" si="229"/>
        <v>0</v>
      </c>
      <c r="AZ84" s="36">
        <v>900</v>
      </c>
      <c r="BA84" s="20">
        <v>100</v>
      </c>
      <c r="BB84" s="21">
        <v>0</v>
      </c>
      <c r="BC84" s="19">
        <f t="shared" si="300"/>
        <v>840</v>
      </c>
      <c r="BD84" s="19">
        <f t="shared" si="301"/>
        <v>93</v>
      </c>
      <c r="BE84" s="19">
        <f t="shared" si="302"/>
        <v>281</v>
      </c>
      <c r="BF84" s="19">
        <f t="shared" si="303"/>
        <v>0</v>
      </c>
      <c r="BG84" s="19">
        <f t="shared" si="304"/>
        <v>0</v>
      </c>
      <c r="BH84" s="19">
        <f t="shared" si="305"/>
        <v>0</v>
      </c>
      <c r="BI84" s="19">
        <v>0</v>
      </c>
      <c r="BJ84" s="19">
        <v>0</v>
      </c>
      <c r="BK84" s="19">
        <f t="shared" si="348"/>
        <v>1214</v>
      </c>
      <c r="BL84" s="19">
        <v>100</v>
      </c>
      <c r="BM84" s="19">
        <v>0</v>
      </c>
      <c r="BN84" s="19">
        <f t="shared" si="349"/>
        <v>100</v>
      </c>
      <c r="BO84" s="19">
        <f t="shared" si="350"/>
        <v>1114</v>
      </c>
      <c r="BP84" s="19">
        <v>0</v>
      </c>
      <c r="BQ84" s="19">
        <v>0</v>
      </c>
      <c r="BR84" s="22">
        <f t="shared" si="351"/>
        <v>1114</v>
      </c>
      <c r="BS84" s="23">
        <f t="shared" si="230"/>
        <v>0</v>
      </c>
      <c r="BT84" s="24">
        <f t="shared" si="352"/>
        <v>0</v>
      </c>
      <c r="BU84" s="24">
        <f t="shared" si="232"/>
        <v>0</v>
      </c>
      <c r="BV84" s="24">
        <f t="shared" si="353"/>
        <v>0</v>
      </c>
      <c r="BW84" s="24">
        <f t="shared" si="234"/>
        <v>0</v>
      </c>
      <c r="BX84" s="24">
        <f t="shared" si="354"/>
        <v>0</v>
      </c>
      <c r="BY84" s="24">
        <f t="shared" si="236"/>
        <v>24</v>
      </c>
      <c r="BZ84" s="24">
        <f t="shared" si="355"/>
        <v>48</v>
      </c>
      <c r="CA84" s="24">
        <f t="shared" si="238"/>
        <v>0</v>
      </c>
      <c r="CB84" s="24">
        <f t="shared" si="356"/>
        <v>0</v>
      </c>
      <c r="CC84" s="24">
        <f t="shared" si="240"/>
        <v>0</v>
      </c>
      <c r="CD84" s="24">
        <f t="shared" si="357"/>
        <v>0</v>
      </c>
      <c r="CE84" s="24">
        <f t="shared" si="242"/>
        <v>0</v>
      </c>
      <c r="CF84" s="24">
        <f t="shared" si="358"/>
        <v>0</v>
      </c>
      <c r="CG84" s="24">
        <f t="shared" si="244"/>
        <v>0</v>
      </c>
      <c r="CH84" s="24">
        <f t="shared" si="359"/>
        <v>0</v>
      </c>
      <c r="CI84" s="24">
        <f t="shared" si="246"/>
        <v>0</v>
      </c>
      <c r="CJ84" s="24">
        <f t="shared" si="360"/>
        <v>0</v>
      </c>
      <c r="CK84" s="24">
        <f t="shared" si="248"/>
        <v>0</v>
      </c>
      <c r="CL84" s="24">
        <f t="shared" si="361"/>
        <v>0</v>
      </c>
      <c r="CM84" s="24">
        <f t="shared" si="250"/>
        <v>0</v>
      </c>
      <c r="CN84" s="24">
        <f t="shared" si="362"/>
        <v>0</v>
      </c>
      <c r="CO84" s="24">
        <f t="shared" si="252"/>
        <v>0</v>
      </c>
      <c r="CP84" s="24">
        <f t="shared" si="363"/>
        <v>0</v>
      </c>
      <c r="CQ84" s="24">
        <f t="shared" si="254"/>
        <v>0</v>
      </c>
      <c r="CR84" s="24">
        <f t="shared" si="364"/>
        <v>0</v>
      </c>
      <c r="CS84" s="24">
        <f t="shared" si="256"/>
        <v>0</v>
      </c>
      <c r="CT84" s="24">
        <f t="shared" si="365"/>
        <v>0</v>
      </c>
      <c r="CU84" s="24">
        <f t="shared" si="258"/>
        <v>0</v>
      </c>
      <c r="CV84" s="24">
        <f t="shared" si="366"/>
        <v>0</v>
      </c>
      <c r="CW84" s="24">
        <f t="shared" si="260"/>
        <v>0</v>
      </c>
      <c r="CX84" s="24">
        <f t="shared" si="367"/>
        <v>0</v>
      </c>
      <c r="CY84" s="24">
        <f t="shared" si="262"/>
        <v>0</v>
      </c>
      <c r="CZ84" s="24">
        <f t="shared" si="368"/>
        <v>0</v>
      </c>
      <c r="DA84" s="24">
        <f t="shared" si="264"/>
        <v>0</v>
      </c>
      <c r="DB84" s="24">
        <f t="shared" si="369"/>
        <v>0</v>
      </c>
      <c r="DC84" s="24">
        <f t="shared" si="266"/>
        <v>0</v>
      </c>
      <c r="DD84" s="24">
        <f t="shared" si="370"/>
        <v>0</v>
      </c>
      <c r="DE84" s="24">
        <f t="shared" si="268"/>
        <v>0</v>
      </c>
      <c r="DF84" s="24">
        <f t="shared" si="371"/>
        <v>0</v>
      </c>
      <c r="DG84" s="24">
        <f t="shared" si="270"/>
        <v>0</v>
      </c>
      <c r="DH84" s="24">
        <f t="shared" si="372"/>
        <v>0</v>
      </c>
      <c r="DI84" s="24">
        <f t="shared" si="272"/>
        <v>0</v>
      </c>
      <c r="DJ84" s="24">
        <f t="shared" si="373"/>
        <v>0</v>
      </c>
      <c r="DK84" s="24">
        <f t="shared" si="274"/>
        <v>0</v>
      </c>
      <c r="DL84" s="24">
        <f t="shared" si="374"/>
        <v>0</v>
      </c>
      <c r="DM84" s="24">
        <f t="shared" si="276"/>
        <v>0</v>
      </c>
      <c r="DN84" s="24">
        <f t="shared" si="375"/>
        <v>0</v>
      </c>
      <c r="DO84" s="24">
        <f t="shared" si="278"/>
        <v>0</v>
      </c>
      <c r="DP84" s="24">
        <f t="shared" si="376"/>
        <v>0</v>
      </c>
      <c r="DQ84" s="24">
        <f t="shared" si="280"/>
        <v>0</v>
      </c>
      <c r="DR84" s="24">
        <f t="shared" si="377"/>
        <v>0</v>
      </c>
      <c r="DS84" s="24">
        <f t="shared" si="282"/>
        <v>0</v>
      </c>
      <c r="DT84" s="24">
        <f t="shared" si="378"/>
        <v>0</v>
      </c>
      <c r="DU84" s="24">
        <f t="shared" si="284"/>
        <v>0</v>
      </c>
      <c r="DV84" s="24">
        <f t="shared" si="379"/>
        <v>0</v>
      </c>
      <c r="DW84" s="24">
        <f t="shared" si="286"/>
        <v>0</v>
      </c>
      <c r="DX84" s="24">
        <f t="shared" si="380"/>
        <v>0</v>
      </c>
      <c r="DY84" s="24">
        <f t="shared" si="288"/>
        <v>0</v>
      </c>
      <c r="DZ84" s="24">
        <f t="shared" si="381"/>
        <v>0</v>
      </c>
      <c r="EA84" s="24">
        <f t="shared" si="290"/>
        <v>0</v>
      </c>
      <c r="EB84" s="24">
        <f t="shared" si="382"/>
        <v>0</v>
      </c>
      <c r="EC84" s="24">
        <f t="shared" si="292"/>
        <v>0</v>
      </c>
      <c r="ED84" s="24">
        <f t="shared" si="383"/>
        <v>0</v>
      </c>
      <c r="EE84" s="78"/>
    </row>
    <row r="85" spans="1:135" s="2" customFormat="1" ht="18" customHeight="1" x14ac:dyDescent="0.25">
      <c r="A85" s="15">
        <v>82</v>
      </c>
      <c r="B85" s="108">
        <v>374</v>
      </c>
      <c r="C85" s="74" t="s">
        <v>582</v>
      </c>
      <c r="D85" s="16" t="s">
        <v>107</v>
      </c>
      <c r="E85" s="18">
        <v>45857</v>
      </c>
      <c r="F85" s="19">
        <v>10</v>
      </c>
      <c r="G85" s="19">
        <v>10</v>
      </c>
      <c r="H85" s="19">
        <v>10</v>
      </c>
      <c r="I85" s="19">
        <v>10</v>
      </c>
      <c r="J85" s="19" t="s">
        <v>603</v>
      </c>
      <c r="K85" s="19">
        <v>10</v>
      </c>
      <c r="L85" s="19" t="s">
        <v>15</v>
      </c>
      <c r="M85" s="19">
        <v>10</v>
      </c>
      <c r="N85" s="19">
        <v>10</v>
      </c>
      <c r="O85" s="19">
        <v>10</v>
      </c>
      <c r="P85" s="19">
        <v>10</v>
      </c>
      <c r="Q85" s="19">
        <v>10</v>
      </c>
      <c r="R85" s="19">
        <v>10</v>
      </c>
      <c r="S85" s="19" t="s">
        <v>15</v>
      </c>
      <c r="T85" s="19">
        <v>10</v>
      </c>
      <c r="U85" s="19">
        <v>10</v>
      </c>
      <c r="V85" s="19">
        <v>10</v>
      </c>
      <c r="W85" s="19">
        <v>10</v>
      </c>
      <c r="X85" s="19">
        <v>10</v>
      </c>
      <c r="Y85" s="19">
        <v>10</v>
      </c>
      <c r="Z85" s="19" t="s">
        <v>15</v>
      </c>
      <c r="AA85" s="19">
        <v>10</v>
      </c>
      <c r="AB85" s="19">
        <v>10</v>
      </c>
      <c r="AC85" s="19">
        <v>10</v>
      </c>
      <c r="AD85" s="19">
        <v>10</v>
      </c>
      <c r="AE85" s="19">
        <v>10</v>
      </c>
      <c r="AF85" s="19">
        <v>10</v>
      </c>
      <c r="AG85" s="19" t="s">
        <v>15</v>
      </c>
      <c r="AH85" s="19">
        <v>10</v>
      </c>
      <c r="AI85" s="19">
        <v>10</v>
      </c>
      <c r="AJ85" s="19">
        <v>10</v>
      </c>
      <c r="AK85" s="19">
        <v>10</v>
      </c>
      <c r="AL85" s="19">
        <v>0</v>
      </c>
      <c r="AM85" s="19">
        <v>10</v>
      </c>
      <c r="AN85" s="19">
        <v>0</v>
      </c>
      <c r="AO85" s="19">
        <v>10</v>
      </c>
      <c r="AP85" s="19">
        <v>0</v>
      </c>
      <c r="AQ85" s="19">
        <v>0</v>
      </c>
      <c r="AR85" s="19">
        <v>0</v>
      </c>
      <c r="AS85" s="19">
        <v>0</v>
      </c>
      <c r="AT85" s="19">
        <f t="shared" ref="AT85:AT86" si="384">SUM(BT85+BV85+BX85+BZ85+CB85+CD85+CF85+CH85+CJ85+CL85+CN85+CP85+CR85+CT85+CV85+CX85+CZ85+DB85+DD85+DF85+DH85+DJ85+DL85+DN85+DP85+DR85+DT85+DV85+DX85+DZ85+EB85+ED85)</f>
        <v>50</v>
      </c>
      <c r="AU85" s="19">
        <f t="shared" ref="AU85:AU86" si="385">SUM(AJ85:AN85)</f>
        <v>30</v>
      </c>
      <c r="AV85" s="19">
        <f t="shared" ref="AV85:AV86" si="386">SUM(AO85:AS85)</f>
        <v>10</v>
      </c>
      <c r="AW85" s="16">
        <f t="shared" si="227"/>
        <v>30</v>
      </c>
      <c r="AX85" s="16">
        <f t="shared" si="228"/>
        <v>0</v>
      </c>
      <c r="AY85" s="38">
        <f t="shared" si="229"/>
        <v>0</v>
      </c>
      <c r="AZ85" s="36">
        <v>900</v>
      </c>
      <c r="BA85" s="20">
        <v>100</v>
      </c>
      <c r="BB85" s="21">
        <v>0</v>
      </c>
      <c r="BC85" s="19">
        <f t="shared" si="300"/>
        <v>900</v>
      </c>
      <c r="BD85" s="19">
        <f t="shared" si="301"/>
        <v>100</v>
      </c>
      <c r="BE85" s="19">
        <f t="shared" si="302"/>
        <v>459</v>
      </c>
      <c r="BF85" s="19">
        <f t="shared" si="303"/>
        <v>0</v>
      </c>
      <c r="BG85" s="19">
        <f t="shared" si="304"/>
        <v>0</v>
      </c>
      <c r="BH85" s="19">
        <f t="shared" si="305"/>
        <v>0</v>
      </c>
      <c r="BI85" s="19">
        <v>0</v>
      </c>
      <c r="BJ85" s="19">
        <v>95</v>
      </c>
      <c r="BK85" s="19">
        <f t="shared" ref="BK85:BK86" si="387">SUM(BC85:BJ85)</f>
        <v>1554</v>
      </c>
      <c r="BL85" s="19">
        <v>100</v>
      </c>
      <c r="BM85" s="19">
        <v>0</v>
      </c>
      <c r="BN85" s="19">
        <f t="shared" ref="BN85:BN86" si="388">BL85+BM85</f>
        <v>100</v>
      </c>
      <c r="BO85" s="19">
        <f t="shared" ref="BO85:BO86" si="389">BK85-BN85</f>
        <v>1454</v>
      </c>
      <c r="BP85" s="19">
        <v>0</v>
      </c>
      <c r="BQ85" s="19">
        <v>0</v>
      </c>
      <c r="BR85" s="22">
        <f t="shared" ref="BR85:BR86" si="390">SUM(BO85:BP85)-BQ85</f>
        <v>1454</v>
      </c>
      <c r="BS85" s="23">
        <f t="shared" si="230"/>
        <v>0</v>
      </c>
      <c r="BT85" s="24">
        <f t="shared" ref="BT85:BT86" si="391">BS85*0.5</f>
        <v>0</v>
      </c>
      <c r="BU85" s="24">
        <f t="shared" si="232"/>
        <v>0</v>
      </c>
      <c r="BV85" s="24">
        <f t="shared" ref="BV85:BV86" si="392">BU85*1</f>
        <v>0</v>
      </c>
      <c r="BW85" s="24">
        <f t="shared" si="234"/>
        <v>0</v>
      </c>
      <c r="BX85" s="24">
        <f t="shared" ref="BX85:BX86" si="393">BW85*1.5</f>
        <v>0</v>
      </c>
      <c r="BY85" s="24">
        <f t="shared" si="236"/>
        <v>25</v>
      </c>
      <c r="BZ85" s="24">
        <f t="shared" ref="BZ85:BZ86" si="394">BY85*2</f>
        <v>50</v>
      </c>
      <c r="CA85" s="24">
        <f t="shared" si="238"/>
        <v>0</v>
      </c>
      <c r="CB85" s="24">
        <f t="shared" ref="CB85:CB86" si="395">CA85*2.5</f>
        <v>0</v>
      </c>
      <c r="CC85" s="24">
        <f t="shared" si="240"/>
        <v>0</v>
      </c>
      <c r="CD85" s="24">
        <f t="shared" ref="CD85:CD86" si="396">CC85*3</f>
        <v>0</v>
      </c>
      <c r="CE85" s="24">
        <f t="shared" si="242"/>
        <v>0</v>
      </c>
      <c r="CF85" s="24">
        <f t="shared" ref="CF85:CF86" si="397">CE85*3.5</f>
        <v>0</v>
      </c>
      <c r="CG85" s="24">
        <f t="shared" si="244"/>
        <v>0</v>
      </c>
      <c r="CH85" s="24">
        <f t="shared" ref="CH85:CH86" si="398">CG85*4</f>
        <v>0</v>
      </c>
      <c r="CI85" s="24">
        <f t="shared" si="246"/>
        <v>0</v>
      </c>
      <c r="CJ85" s="24">
        <f t="shared" ref="CJ85:CJ86" si="399">CI85*4.5</f>
        <v>0</v>
      </c>
      <c r="CK85" s="24">
        <f t="shared" si="248"/>
        <v>0</v>
      </c>
      <c r="CL85" s="24">
        <f t="shared" ref="CL85:CL86" si="400">CK85*5</f>
        <v>0</v>
      </c>
      <c r="CM85" s="24">
        <f t="shared" si="250"/>
        <v>0</v>
      </c>
      <c r="CN85" s="24">
        <f t="shared" ref="CN85:CN86" si="401">CM85*5.5</f>
        <v>0</v>
      </c>
      <c r="CO85" s="24">
        <f t="shared" si="252"/>
        <v>0</v>
      </c>
      <c r="CP85" s="24">
        <f t="shared" ref="CP85:CP86" si="402">CO85*6</f>
        <v>0</v>
      </c>
      <c r="CQ85" s="24">
        <f t="shared" si="254"/>
        <v>0</v>
      </c>
      <c r="CR85" s="24">
        <f t="shared" ref="CR85:CR86" si="403">CQ85*6.5</f>
        <v>0</v>
      </c>
      <c r="CS85" s="24">
        <f t="shared" si="256"/>
        <v>0</v>
      </c>
      <c r="CT85" s="24">
        <f t="shared" ref="CT85:CT86" si="404">CS85*7</f>
        <v>0</v>
      </c>
      <c r="CU85" s="24">
        <f t="shared" si="258"/>
        <v>0</v>
      </c>
      <c r="CV85" s="24">
        <f t="shared" ref="CV85:CV86" si="405">CU85*7.5</f>
        <v>0</v>
      </c>
      <c r="CW85" s="24">
        <f t="shared" si="260"/>
        <v>0</v>
      </c>
      <c r="CX85" s="24">
        <f t="shared" ref="CX85:CX86" si="406">CW85*8</f>
        <v>0</v>
      </c>
      <c r="CY85" s="24">
        <f t="shared" si="262"/>
        <v>0</v>
      </c>
      <c r="CZ85" s="24">
        <f t="shared" ref="CZ85:CZ86" si="407">CY85*8.5</f>
        <v>0</v>
      </c>
      <c r="DA85" s="24">
        <f t="shared" si="264"/>
        <v>0</v>
      </c>
      <c r="DB85" s="24">
        <f t="shared" ref="DB85:DB86" si="408">DA85*9</f>
        <v>0</v>
      </c>
      <c r="DC85" s="24">
        <f t="shared" si="266"/>
        <v>0</v>
      </c>
      <c r="DD85" s="24">
        <f t="shared" ref="DD85:DD86" si="409">DC85*9.5</f>
        <v>0</v>
      </c>
      <c r="DE85" s="24">
        <f t="shared" si="268"/>
        <v>0</v>
      </c>
      <c r="DF85" s="24">
        <f t="shared" ref="DF85:DF86" si="410">DE85*10</f>
        <v>0</v>
      </c>
      <c r="DG85" s="24">
        <f t="shared" si="270"/>
        <v>0</v>
      </c>
      <c r="DH85" s="24">
        <f t="shared" ref="DH85:DH86" si="411">DG85*10.5</f>
        <v>0</v>
      </c>
      <c r="DI85" s="24">
        <f t="shared" si="272"/>
        <v>0</v>
      </c>
      <c r="DJ85" s="24">
        <f t="shared" ref="DJ85:DJ86" si="412">DI85*11</f>
        <v>0</v>
      </c>
      <c r="DK85" s="24">
        <f t="shared" si="274"/>
        <v>0</v>
      </c>
      <c r="DL85" s="24">
        <f t="shared" ref="DL85:DL86" si="413">DK85*11.5</f>
        <v>0</v>
      </c>
      <c r="DM85" s="24">
        <f t="shared" si="276"/>
        <v>0</v>
      </c>
      <c r="DN85" s="24">
        <f t="shared" ref="DN85:DN86" si="414">DM85*12</f>
        <v>0</v>
      </c>
      <c r="DO85" s="24">
        <f t="shared" si="278"/>
        <v>0</v>
      </c>
      <c r="DP85" s="24">
        <f t="shared" ref="DP85:DP86" si="415">DO85*12.5</f>
        <v>0</v>
      </c>
      <c r="DQ85" s="24">
        <f t="shared" si="280"/>
        <v>0</v>
      </c>
      <c r="DR85" s="24">
        <f t="shared" ref="DR85:DR86" si="416">DQ85*13</f>
        <v>0</v>
      </c>
      <c r="DS85" s="24">
        <f t="shared" si="282"/>
        <v>0</v>
      </c>
      <c r="DT85" s="24">
        <f t="shared" ref="DT85:DT86" si="417">DS85*13.5</f>
        <v>0</v>
      </c>
      <c r="DU85" s="24">
        <f t="shared" si="284"/>
        <v>0</v>
      </c>
      <c r="DV85" s="24">
        <f t="shared" ref="DV85:DV86" si="418">DU85*14</f>
        <v>0</v>
      </c>
      <c r="DW85" s="24">
        <f t="shared" si="286"/>
        <v>0</v>
      </c>
      <c r="DX85" s="24">
        <f t="shared" ref="DX85:DX86" si="419">DW85*14.5</f>
        <v>0</v>
      </c>
      <c r="DY85" s="24">
        <f t="shared" si="288"/>
        <v>0</v>
      </c>
      <c r="DZ85" s="24">
        <f t="shared" ref="DZ85:DZ86" si="420">DY85*15</f>
        <v>0</v>
      </c>
      <c r="EA85" s="24">
        <f t="shared" si="290"/>
        <v>0</v>
      </c>
      <c r="EB85" s="24">
        <f t="shared" ref="EB85:EB86" si="421">EA85*15.5</f>
        <v>0</v>
      </c>
      <c r="EC85" s="24">
        <f t="shared" si="292"/>
        <v>0</v>
      </c>
      <c r="ED85" s="24">
        <f t="shared" ref="ED85:ED86" si="422">EC85*16</f>
        <v>0</v>
      </c>
      <c r="EE85" s="78"/>
    </row>
    <row r="86" spans="1:135" s="2" customFormat="1" ht="18" customHeight="1" x14ac:dyDescent="0.25">
      <c r="A86" s="15">
        <v>83</v>
      </c>
      <c r="B86" s="108">
        <v>378</v>
      </c>
      <c r="C86" s="74" t="s">
        <v>583</v>
      </c>
      <c r="D86" s="16" t="s">
        <v>107</v>
      </c>
      <c r="E86" s="18">
        <v>45868</v>
      </c>
      <c r="F86" s="19">
        <v>10</v>
      </c>
      <c r="G86" s="19">
        <v>8</v>
      </c>
      <c r="H86" s="19">
        <v>10</v>
      </c>
      <c r="I86" s="19">
        <v>8</v>
      </c>
      <c r="J86" s="19" t="s">
        <v>603</v>
      </c>
      <c r="K86" s="19">
        <v>8</v>
      </c>
      <c r="L86" s="19" t="s">
        <v>15</v>
      </c>
      <c r="M86" s="19">
        <v>9</v>
      </c>
      <c r="N86" s="19">
        <v>10</v>
      </c>
      <c r="O86" s="19">
        <v>10</v>
      </c>
      <c r="P86" s="19">
        <v>10</v>
      </c>
      <c r="Q86" s="19">
        <v>10</v>
      </c>
      <c r="R86" s="19">
        <v>10</v>
      </c>
      <c r="S86" s="19" t="s">
        <v>15</v>
      </c>
      <c r="T86" s="19">
        <v>10</v>
      </c>
      <c r="U86" s="19">
        <v>10</v>
      </c>
      <c r="V86" s="19">
        <v>10</v>
      </c>
      <c r="W86" s="19">
        <v>10</v>
      </c>
      <c r="X86" s="19">
        <v>10</v>
      </c>
      <c r="Y86" s="19">
        <v>10</v>
      </c>
      <c r="Z86" s="19" t="s">
        <v>15</v>
      </c>
      <c r="AA86" s="19">
        <v>10</v>
      </c>
      <c r="AB86" s="19">
        <v>10</v>
      </c>
      <c r="AC86" s="19">
        <v>10</v>
      </c>
      <c r="AD86" s="19">
        <v>10</v>
      </c>
      <c r="AE86" s="19">
        <v>10</v>
      </c>
      <c r="AF86" s="19">
        <v>10</v>
      </c>
      <c r="AG86" s="19" t="s">
        <v>15</v>
      </c>
      <c r="AH86" s="19">
        <v>10</v>
      </c>
      <c r="AI86" s="19">
        <v>10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f t="shared" si="384"/>
        <v>43</v>
      </c>
      <c r="AU86" s="19">
        <f t="shared" si="385"/>
        <v>0</v>
      </c>
      <c r="AV86" s="19">
        <f t="shared" si="386"/>
        <v>0</v>
      </c>
      <c r="AW86" s="16">
        <f t="shared" si="227"/>
        <v>30</v>
      </c>
      <c r="AX86" s="16">
        <f t="shared" si="228"/>
        <v>0</v>
      </c>
      <c r="AY86" s="38">
        <f t="shared" si="229"/>
        <v>0</v>
      </c>
      <c r="AZ86" s="36">
        <v>1200</v>
      </c>
      <c r="BA86" s="20">
        <v>100</v>
      </c>
      <c r="BB86" s="21">
        <v>0</v>
      </c>
      <c r="BC86" s="19">
        <f t="shared" si="300"/>
        <v>1200</v>
      </c>
      <c r="BD86" s="19">
        <f t="shared" si="301"/>
        <v>100</v>
      </c>
      <c r="BE86" s="19">
        <f t="shared" si="302"/>
        <v>269</v>
      </c>
      <c r="BF86" s="19">
        <f t="shared" si="303"/>
        <v>0</v>
      </c>
      <c r="BG86" s="19">
        <f t="shared" si="304"/>
        <v>0</v>
      </c>
      <c r="BH86" s="19">
        <f t="shared" si="305"/>
        <v>0</v>
      </c>
      <c r="BI86" s="19">
        <v>0</v>
      </c>
      <c r="BJ86" s="19">
        <v>95</v>
      </c>
      <c r="BK86" s="19">
        <f t="shared" si="387"/>
        <v>1664</v>
      </c>
      <c r="BL86" s="19">
        <v>100</v>
      </c>
      <c r="BM86" s="19">
        <v>0</v>
      </c>
      <c r="BN86" s="19">
        <f t="shared" si="388"/>
        <v>100</v>
      </c>
      <c r="BO86" s="19">
        <f t="shared" si="389"/>
        <v>1564</v>
      </c>
      <c r="BP86" s="19">
        <v>0</v>
      </c>
      <c r="BQ86" s="19">
        <v>0</v>
      </c>
      <c r="BR86" s="22">
        <f t="shared" si="390"/>
        <v>1564</v>
      </c>
      <c r="BS86" s="23">
        <f t="shared" si="230"/>
        <v>0</v>
      </c>
      <c r="BT86" s="24">
        <f t="shared" si="391"/>
        <v>0</v>
      </c>
      <c r="BU86" s="24">
        <f t="shared" si="232"/>
        <v>1</v>
      </c>
      <c r="BV86" s="24">
        <f t="shared" si="392"/>
        <v>1</v>
      </c>
      <c r="BW86" s="24">
        <f t="shared" si="234"/>
        <v>0</v>
      </c>
      <c r="BX86" s="24">
        <f t="shared" si="393"/>
        <v>0</v>
      </c>
      <c r="BY86" s="24">
        <f t="shared" si="236"/>
        <v>21</v>
      </c>
      <c r="BZ86" s="24">
        <f t="shared" si="394"/>
        <v>42</v>
      </c>
      <c r="CA86" s="24">
        <f t="shared" si="238"/>
        <v>0</v>
      </c>
      <c r="CB86" s="24">
        <f t="shared" si="395"/>
        <v>0</v>
      </c>
      <c r="CC86" s="24">
        <f t="shared" si="240"/>
        <v>0</v>
      </c>
      <c r="CD86" s="24">
        <f t="shared" si="396"/>
        <v>0</v>
      </c>
      <c r="CE86" s="24">
        <f t="shared" si="242"/>
        <v>0</v>
      </c>
      <c r="CF86" s="24">
        <f t="shared" si="397"/>
        <v>0</v>
      </c>
      <c r="CG86" s="24">
        <f t="shared" si="244"/>
        <v>0</v>
      </c>
      <c r="CH86" s="24">
        <f t="shared" si="398"/>
        <v>0</v>
      </c>
      <c r="CI86" s="24">
        <f t="shared" si="246"/>
        <v>0</v>
      </c>
      <c r="CJ86" s="24">
        <f t="shared" si="399"/>
        <v>0</v>
      </c>
      <c r="CK86" s="24">
        <f t="shared" si="248"/>
        <v>0</v>
      </c>
      <c r="CL86" s="24">
        <f t="shared" si="400"/>
        <v>0</v>
      </c>
      <c r="CM86" s="24">
        <f t="shared" si="250"/>
        <v>0</v>
      </c>
      <c r="CN86" s="24">
        <f t="shared" si="401"/>
        <v>0</v>
      </c>
      <c r="CO86" s="24">
        <f t="shared" si="252"/>
        <v>0</v>
      </c>
      <c r="CP86" s="24">
        <f t="shared" si="402"/>
        <v>0</v>
      </c>
      <c r="CQ86" s="24">
        <f t="shared" si="254"/>
        <v>0</v>
      </c>
      <c r="CR86" s="24">
        <f t="shared" si="403"/>
        <v>0</v>
      </c>
      <c r="CS86" s="24">
        <f t="shared" si="256"/>
        <v>0</v>
      </c>
      <c r="CT86" s="24">
        <f t="shared" si="404"/>
        <v>0</v>
      </c>
      <c r="CU86" s="24">
        <f t="shared" si="258"/>
        <v>0</v>
      </c>
      <c r="CV86" s="24">
        <f t="shared" si="405"/>
        <v>0</v>
      </c>
      <c r="CW86" s="24">
        <f t="shared" si="260"/>
        <v>0</v>
      </c>
      <c r="CX86" s="24">
        <f t="shared" si="406"/>
        <v>0</v>
      </c>
      <c r="CY86" s="24">
        <f t="shared" si="262"/>
        <v>0</v>
      </c>
      <c r="CZ86" s="24">
        <f t="shared" si="407"/>
        <v>0</v>
      </c>
      <c r="DA86" s="24">
        <f t="shared" si="264"/>
        <v>0</v>
      </c>
      <c r="DB86" s="24">
        <f t="shared" si="408"/>
        <v>0</v>
      </c>
      <c r="DC86" s="24">
        <f t="shared" si="266"/>
        <v>0</v>
      </c>
      <c r="DD86" s="24">
        <f t="shared" si="409"/>
        <v>0</v>
      </c>
      <c r="DE86" s="24">
        <f t="shared" si="268"/>
        <v>0</v>
      </c>
      <c r="DF86" s="24">
        <f t="shared" si="410"/>
        <v>0</v>
      </c>
      <c r="DG86" s="24">
        <f t="shared" si="270"/>
        <v>0</v>
      </c>
      <c r="DH86" s="24">
        <f t="shared" si="411"/>
        <v>0</v>
      </c>
      <c r="DI86" s="24">
        <f t="shared" si="272"/>
        <v>0</v>
      </c>
      <c r="DJ86" s="24">
        <f t="shared" si="412"/>
        <v>0</v>
      </c>
      <c r="DK86" s="24">
        <f t="shared" si="274"/>
        <v>0</v>
      </c>
      <c r="DL86" s="24">
        <f t="shared" si="413"/>
        <v>0</v>
      </c>
      <c r="DM86" s="24">
        <f t="shared" si="276"/>
        <v>0</v>
      </c>
      <c r="DN86" s="24">
        <f t="shared" si="414"/>
        <v>0</v>
      </c>
      <c r="DO86" s="24">
        <f t="shared" si="278"/>
        <v>0</v>
      </c>
      <c r="DP86" s="24">
        <f t="shared" si="415"/>
        <v>0</v>
      </c>
      <c r="DQ86" s="24">
        <f t="shared" si="280"/>
        <v>0</v>
      </c>
      <c r="DR86" s="24">
        <f t="shared" si="416"/>
        <v>0</v>
      </c>
      <c r="DS86" s="24">
        <f t="shared" si="282"/>
        <v>0</v>
      </c>
      <c r="DT86" s="24">
        <f t="shared" si="417"/>
        <v>0</v>
      </c>
      <c r="DU86" s="24">
        <f t="shared" si="284"/>
        <v>0</v>
      </c>
      <c r="DV86" s="24">
        <f t="shared" si="418"/>
        <v>0</v>
      </c>
      <c r="DW86" s="24">
        <f t="shared" si="286"/>
        <v>0</v>
      </c>
      <c r="DX86" s="24">
        <f t="shared" si="419"/>
        <v>0</v>
      </c>
      <c r="DY86" s="24">
        <f t="shared" si="288"/>
        <v>0</v>
      </c>
      <c r="DZ86" s="24">
        <f t="shared" si="420"/>
        <v>0</v>
      </c>
      <c r="EA86" s="24">
        <f t="shared" si="290"/>
        <v>0</v>
      </c>
      <c r="EB86" s="24">
        <f t="shared" si="421"/>
        <v>0</v>
      </c>
      <c r="EC86" s="24">
        <f t="shared" si="292"/>
        <v>0</v>
      </c>
      <c r="ED86" s="24">
        <f t="shared" si="422"/>
        <v>0</v>
      </c>
      <c r="EE86" s="78"/>
    </row>
    <row r="87" spans="1:135" s="2" customFormat="1" ht="18" customHeight="1" x14ac:dyDescent="0.25">
      <c r="A87" s="15">
        <v>84</v>
      </c>
      <c r="B87" s="108">
        <v>380</v>
      </c>
      <c r="C87" s="74" t="s">
        <v>584</v>
      </c>
      <c r="D87" s="16" t="s">
        <v>167</v>
      </c>
      <c r="E87" s="18">
        <v>45869</v>
      </c>
      <c r="F87" s="19">
        <v>10</v>
      </c>
      <c r="G87" s="19">
        <v>10</v>
      </c>
      <c r="H87" s="19">
        <v>10</v>
      </c>
      <c r="I87" s="19">
        <v>10</v>
      </c>
      <c r="J87" s="19" t="s">
        <v>603</v>
      </c>
      <c r="K87" s="19">
        <v>10</v>
      </c>
      <c r="L87" s="19" t="s">
        <v>15</v>
      </c>
      <c r="M87" s="19">
        <v>10</v>
      </c>
      <c r="N87" s="19">
        <v>10</v>
      </c>
      <c r="O87" s="19">
        <v>10</v>
      </c>
      <c r="P87" s="19">
        <v>10</v>
      </c>
      <c r="Q87" s="19">
        <v>10</v>
      </c>
      <c r="R87" s="19">
        <v>10</v>
      </c>
      <c r="S87" s="19" t="s">
        <v>15</v>
      </c>
      <c r="T87" s="19">
        <v>10</v>
      </c>
      <c r="U87" s="19">
        <v>10</v>
      </c>
      <c r="V87" s="19">
        <v>10</v>
      </c>
      <c r="W87" s="19">
        <v>10</v>
      </c>
      <c r="X87" s="19">
        <v>10</v>
      </c>
      <c r="Y87" s="19">
        <v>10</v>
      </c>
      <c r="Z87" s="19" t="s">
        <v>15</v>
      </c>
      <c r="AA87" s="19">
        <v>10</v>
      </c>
      <c r="AB87" s="19">
        <v>10</v>
      </c>
      <c r="AC87" s="19">
        <v>10</v>
      </c>
      <c r="AD87" s="19" t="s">
        <v>316</v>
      </c>
      <c r="AE87" s="19">
        <v>10</v>
      </c>
      <c r="AF87" s="19">
        <v>10</v>
      </c>
      <c r="AG87" s="19" t="s">
        <v>316</v>
      </c>
      <c r="AH87" s="19">
        <v>10</v>
      </c>
      <c r="AI87" s="19">
        <v>10</v>
      </c>
      <c r="AJ87" s="19">
        <v>0</v>
      </c>
      <c r="AK87" s="19">
        <v>11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f t="shared" ref="AT87:AT91" si="423">SUM(BT87+BV87+BX87+BZ87+CB87+CD87+CF87+CH87+CJ87+CL87+CN87+CP87+CR87+CT87+CV87+CX87+CZ87+DB87+DD87+DF87+DH87+DJ87+DL87+DN87+DP87+DR87+DT87+DV87+DX87+DZ87+EB87+ED87)</f>
        <v>48</v>
      </c>
      <c r="AU87" s="19">
        <f t="shared" ref="AU87:AU91" si="424">SUM(AJ87:AN87)</f>
        <v>11</v>
      </c>
      <c r="AV87" s="19">
        <f t="shared" ref="AV87:AV91" si="425">SUM(AO87:AS87)</f>
        <v>0</v>
      </c>
      <c r="AW87" s="16">
        <f t="shared" si="227"/>
        <v>28</v>
      </c>
      <c r="AX87" s="16">
        <f t="shared" si="228"/>
        <v>2</v>
      </c>
      <c r="AY87" s="38">
        <f t="shared" si="229"/>
        <v>0</v>
      </c>
      <c r="AZ87" s="36">
        <v>800</v>
      </c>
      <c r="BA87" s="20">
        <v>100</v>
      </c>
      <c r="BB87" s="21">
        <v>0</v>
      </c>
      <c r="BC87" s="19">
        <f t="shared" si="300"/>
        <v>747</v>
      </c>
      <c r="BD87" s="19">
        <f t="shared" si="301"/>
        <v>93</v>
      </c>
      <c r="BE87" s="19">
        <f t="shared" si="302"/>
        <v>255</v>
      </c>
      <c r="BF87" s="19">
        <f t="shared" si="303"/>
        <v>0</v>
      </c>
      <c r="BG87" s="19">
        <f t="shared" si="304"/>
        <v>0</v>
      </c>
      <c r="BH87" s="19">
        <f t="shared" si="305"/>
        <v>0</v>
      </c>
      <c r="BI87" s="19">
        <v>0</v>
      </c>
      <c r="BJ87" s="19">
        <v>0</v>
      </c>
      <c r="BK87" s="19">
        <f t="shared" ref="BK87:BK91" si="426">SUM(BC87:BJ87)</f>
        <v>1095</v>
      </c>
      <c r="BL87" s="19">
        <v>100</v>
      </c>
      <c r="BM87" s="19">
        <v>0</v>
      </c>
      <c r="BN87" s="19">
        <f t="shared" ref="BN87:BN91" si="427">BL87+BM87</f>
        <v>100</v>
      </c>
      <c r="BO87" s="19">
        <f t="shared" ref="BO87:BO91" si="428">BK87-BN87</f>
        <v>995</v>
      </c>
      <c r="BP87" s="19">
        <v>0</v>
      </c>
      <c r="BQ87" s="19">
        <v>0</v>
      </c>
      <c r="BR87" s="22">
        <f t="shared" ref="BR87:BR91" si="429">SUM(BO87:BP87)-BQ87</f>
        <v>995</v>
      </c>
      <c r="BS87" s="23">
        <f t="shared" si="230"/>
        <v>0</v>
      </c>
      <c r="BT87" s="24">
        <f t="shared" ref="BT87:BT91" si="430">BS87*0.5</f>
        <v>0</v>
      </c>
      <c r="BU87" s="24">
        <f t="shared" si="232"/>
        <v>0</v>
      </c>
      <c r="BV87" s="24">
        <f t="shared" ref="BV87:BV91" si="431">BU87*1</f>
        <v>0</v>
      </c>
      <c r="BW87" s="24">
        <f t="shared" si="234"/>
        <v>0</v>
      </c>
      <c r="BX87" s="24">
        <f t="shared" ref="BX87:BX91" si="432">BW87*1.5</f>
        <v>0</v>
      </c>
      <c r="BY87" s="24">
        <f t="shared" si="236"/>
        <v>24</v>
      </c>
      <c r="BZ87" s="24">
        <f t="shared" ref="BZ87:BZ91" si="433">BY87*2</f>
        <v>48</v>
      </c>
      <c r="CA87" s="24">
        <f t="shared" si="238"/>
        <v>0</v>
      </c>
      <c r="CB87" s="24">
        <f t="shared" ref="CB87:CB91" si="434">CA87*2.5</f>
        <v>0</v>
      </c>
      <c r="CC87" s="24">
        <f t="shared" si="240"/>
        <v>0</v>
      </c>
      <c r="CD87" s="24">
        <f t="shared" ref="CD87:CD91" si="435">CC87*3</f>
        <v>0</v>
      </c>
      <c r="CE87" s="24">
        <f t="shared" si="242"/>
        <v>0</v>
      </c>
      <c r="CF87" s="24">
        <f t="shared" ref="CF87:CF91" si="436">CE87*3.5</f>
        <v>0</v>
      </c>
      <c r="CG87" s="24">
        <f t="shared" si="244"/>
        <v>0</v>
      </c>
      <c r="CH87" s="24">
        <f t="shared" ref="CH87:CH91" si="437">CG87*4</f>
        <v>0</v>
      </c>
      <c r="CI87" s="24">
        <f t="shared" si="246"/>
        <v>0</v>
      </c>
      <c r="CJ87" s="24">
        <f t="shared" ref="CJ87:CJ91" si="438">CI87*4.5</f>
        <v>0</v>
      </c>
      <c r="CK87" s="24">
        <f t="shared" si="248"/>
        <v>0</v>
      </c>
      <c r="CL87" s="24">
        <f t="shared" ref="CL87:CL91" si="439">CK87*5</f>
        <v>0</v>
      </c>
      <c r="CM87" s="24">
        <f t="shared" si="250"/>
        <v>0</v>
      </c>
      <c r="CN87" s="24">
        <f t="shared" ref="CN87:CN91" si="440">CM87*5.5</f>
        <v>0</v>
      </c>
      <c r="CO87" s="24">
        <f t="shared" si="252"/>
        <v>0</v>
      </c>
      <c r="CP87" s="24">
        <f t="shared" ref="CP87:CP91" si="441">CO87*6</f>
        <v>0</v>
      </c>
      <c r="CQ87" s="24">
        <f t="shared" si="254"/>
        <v>0</v>
      </c>
      <c r="CR87" s="24">
        <f t="shared" ref="CR87:CR91" si="442">CQ87*6.5</f>
        <v>0</v>
      </c>
      <c r="CS87" s="24">
        <f t="shared" si="256"/>
        <v>0</v>
      </c>
      <c r="CT87" s="24">
        <f t="shared" ref="CT87:CT91" si="443">CS87*7</f>
        <v>0</v>
      </c>
      <c r="CU87" s="24">
        <f t="shared" si="258"/>
        <v>0</v>
      </c>
      <c r="CV87" s="24">
        <f t="shared" ref="CV87:CV91" si="444">CU87*7.5</f>
        <v>0</v>
      </c>
      <c r="CW87" s="24">
        <f t="shared" si="260"/>
        <v>0</v>
      </c>
      <c r="CX87" s="24">
        <f t="shared" ref="CX87:CX91" si="445">CW87*8</f>
        <v>0</v>
      </c>
      <c r="CY87" s="24">
        <f t="shared" si="262"/>
        <v>0</v>
      </c>
      <c r="CZ87" s="24">
        <f t="shared" ref="CZ87:CZ91" si="446">CY87*8.5</f>
        <v>0</v>
      </c>
      <c r="DA87" s="24">
        <f t="shared" si="264"/>
        <v>0</v>
      </c>
      <c r="DB87" s="24">
        <f t="shared" ref="DB87:DB91" si="447">DA87*9</f>
        <v>0</v>
      </c>
      <c r="DC87" s="24">
        <f t="shared" si="266"/>
        <v>0</v>
      </c>
      <c r="DD87" s="24">
        <f t="shared" ref="DD87:DD91" si="448">DC87*9.5</f>
        <v>0</v>
      </c>
      <c r="DE87" s="24">
        <f t="shared" si="268"/>
        <v>0</v>
      </c>
      <c r="DF87" s="24">
        <f t="shared" ref="DF87:DF91" si="449">DE87*10</f>
        <v>0</v>
      </c>
      <c r="DG87" s="24">
        <f t="shared" si="270"/>
        <v>0</v>
      </c>
      <c r="DH87" s="24">
        <f t="shared" ref="DH87:DH91" si="450">DG87*10.5</f>
        <v>0</v>
      </c>
      <c r="DI87" s="24">
        <f t="shared" si="272"/>
        <v>0</v>
      </c>
      <c r="DJ87" s="24">
        <f t="shared" ref="DJ87:DJ91" si="451">DI87*11</f>
        <v>0</v>
      </c>
      <c r="DK87" s="24">
        <f t="shared" si="274"/>
        <v>0</v>
      </c>
      <c r="DL87" s="24">
        <f t="shared" ref="DL87:DL91" si="452">DK87*11.5</f>
        <v>0</v>
      </c>
      <c r="DM87" s="24">
        <f t="shared" si="276"/>
        <v>0</v>
      </c>
      <c r="DN87" s="24">
        <f t="shared" ref="DN87:DN91" si="453">DM87*12</f>
        <v>0</v>
      </c>
      <c r="DO87" s="24">
        <f t="shared" si="278"/>
        <v>0</v>
      </c>
      <c r="DP87" s="24">
        <f t="shared" ref="DP87:DP91" si="454">DO87*12.5</f>
        <v>0</v>
      </c>
      <c r="DQ87" s="24">
        <f t="shared" si="280"/>
        <v>0</v>
      </c>
      <c r="DR87" s="24">
        <f t="shared" ref="DR87:DR91" si="455">DQ87*13</f>
        <v>0</v>
      </c>
      <c r="DS87" s="24">
        <f t="shared" si="282"/>
        <v>0</v>
      </c>
      <c r="DT87" s="24">
        <f t="shared" ref="DT87:DT91" si="456">DS87*13.5</f>
        <v>0</v>
      </c>
      <c r="DU87" s="24">
        <f t="shared" si="284"/>
        <v>0</v>
      </c>
      <c r="DV87" s="24">
        <f t="shared" ref="DV87:DV91" si="457">DU87*14</f>
        <v>0</v>
      </c>
      <c r="DW87" s="24">
        <f t="shared" si="286"/>
        <v>0</v>
      </c>
      <c r="DX87" s="24">
        <f t="shared" ref="DX87:DX91" si="458">DW87*14.5</f>
        <v>0</v>
      </c>
      <c r="DY87" s="24">
        <f t="shared" si="288"/>
        <v>0</v>
      </c>
      <c r="DZ87" s="24">
        <f t="shared" ref="DZ87:DZ91" si="459">DY87*15</f>
        <v>0</v>
      </c>
      <c r="EA87" s="24">
        <f t="shared" si="290"/>
        <v>0</v>
      </c>
      <c r="EB87" s="24">
        <f t="shared" ref="EB87:EB91" si="460">EA87*15.5</f>
        <v>0</v>
      </c>
      <c r="EC87" s="24">
        <f t="shared" si="292"/>
        <v>0</v>
      </c>
      <c r="ED87" s="24">
        <f t="shared" ref="ED87:ED91" si="461">EC87*16</f>
        <v>0</v>
      </c>
      <c r="EE87" s="78"/>
    </row>
    <row r="88" spans="1:135" s="2" customFormat="1" ht="18" customHeight="1" x14ac:dyDescent="0.25">
      <c r="A88" s="15">
        <v>85</v>
      </c>
      <c r="B88" s="108" t="s">
        <v>196</v>
      </c>
      <c r="C88" s="74" t="s">
        <v>235</v>
      </c>
      <c r="D88" s="90" t="s">
        <v>203</v>
      </c>
      <c r="E88" s="18">
        <v>45243</v>
      </c>
      <c r="F88" s="19">
        <v>10</v>
      </c>
      <c r="G88" s="19">
        <v>10</v>
      </c>
      <c r="H88" s="19">
        <v>10</v>
      </c>
      <c r="I88" s="19">
        <v>10</v>
      </c>
      <c r="J88" s="19" t="s">
        <v>603</v>
      </c>
      <c r="K88" s="19">
        <v>10</v>
      </c>
      <c r="L88" s="19" t="s">
        <v>15</v>
      </c>
      <c r="M88" s="19">
        <v>10</v>
      </c>
      <c r="N88" s="19">
        <v>10</v>
      </c>
      <c r="O88" s="19">
        <v>10</v>
      </c>
      <c r="P88" s="19">
        <v>10</v>
      </c>
      <c r="Q88" s="19">
        <v>10</v>
      </c>
      <c r="R88" s="19">
        <v>10</v>
      </c>
      <c r="S88" s="19" t="s">
        <v>15</v>
      </c>
      <c r="T88" s="19">
        <v>10</v>
      </c>
      <c r="U88" s="19">
        <v>10</v>
      </c>
      <c r="V88" s="19">
        <v>10</v>
      </c>
      <c r="W88" s="19">
        <v>10</v>
      </c>
      <c r="X88" s="19">
        <v>10</v>
      </c>
      <c r="Y88" s="19">
        <v>10</v>
      </c>
      <c r="Z88" s="19" t="s">
        <v>15</v>
      </c>
      <c r="AA88" s="19">
        <v>10</v>
      </c>
      <c r="AB88" s="19">
        <v>10</v>
      </c>
      <c r="AC88" s="19">
        <v>10</v>
      </c>
      <c r="AD88" s="19">
        <v>10</v>
      </c>
      <c r="AE88" s="19">
        <v>10</v>
      </c>
      <c r="AF88" s="19">
        <v>10</v>
      </c>
      <c r="AG88" s="19" t="s">
        <v>15</v>
      </c>
      <c r="AH88" s="19">
        <v>10</v>
      </c>
      <c r="AI88" s="19">
        <v>10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f>SUM(BT88+BV88+BX88+BZ88+CB88+CD88+CF88+CH88+CJ88+CL88+CN88+CP88+CR88+CT88+CV88+CX88+CZ88+DB88+DD88+DF88+DH88+DJ88+DL88+DN88+DP88+DR88+DT88+DV88+DX88+DZ88+EB88+ED88)</f>
        <v>50</v>
      </c>
      <c r="AU88" s="19">
        <f>SUM(AJ88:AN88)</f>
        <v>0</v>
      </c>
      <c r="AV88" s="19">
        <f>SUM(AO88:AS88)</f>
        <v>0</v>
      </c>
      <c r="AW88" s="16">
        <f>COUNTIF(F88:AI88,"8")+COUNTIF(F88:AI88,"8.5")+COUNTIF(F88:AI88,"9")+COUNTIF(F88:AI88,"9.5")+COUNTIF(F88:AI88,"10")+COUNTIF(F88:AI88,"10.5")+COUNTIF(F88:AI88,"11")+COUNTIF(F88:AI88,"11.5")+COUNTIF(F88:AI88,"12")+COUNTIF(F88:AI88,"12.5")+COUNTIF(F88:AI88,"13")+COUNTIF(F88:AI88,"13.5")+COUNTIF(F88:AI88,"14")+COUNTIF(F88:AI88,"14.5")+COUNTIF(F88:AI88,"15")+COUNTIF(F88:AI88,"15.5")+COUNTIF(F88:AI88,"16")+COUNTIF(F88:AI88,"16.5")+COUNTIF(F88:AI88,"17")+COUNTIF(F88:AI88,"17.5")+COUNTIF(F88:AI88,"18")+COUNTIF(F88:AI88,"18.5")+COUNTIF(F88:AI88,"19")+COUNTIF(F88:AI88,"19.5")+COUNTIF(F88:AI88,"20")+COUNTIF(F88:AI88,"20.5")+COUNTIF(F88:AI88,"21")+COUNTIF(F88:AI88,"21.5")+COUNTIF(F88:AI88,"22")+COUNTIF(F88:AI88,"22.5")+COUNTIF(F88:AI88,"23")+COUNTIF(F88:AI88,"23.5")+COUNTIF(F88:AI88,"24")+COUNTIF(F88:AI88,"S")+COUNTIF(F88:AI88,"PH")+COUNTIF(F88:AI88,"ML")+COUNTIF(F88:AI88,"OD")</f>
        <v>30</v>
      </c>
      <c r="AX88" s="16">
        <f>COUNTIF(F88:AI88,"A")</f>
        <v>0</v>
      </c>
      <c r="AY88" s="38">
        <f>COUNTIF(F88:AI88,"ID")</f>
        <v>0</v>
      </c>
      <c r="AZ88" s="36">
        <f>1200+200</f>
        <v>1400</v>
      </c>
      <c r="BA88" s="20">
        <v>100</v>
      </c>
      <c r="BB88" s="21">
        <v>300</v>
      </c>
      <c r="BC88" s="19">
        <f>MROUND(AZ88/30*AW88, 1)</f>
        <v>1400</v>
      </c>
      <c r="BD88" s="19">
        <f>MROUND(BA88/30*AW88, 1)</f>
        <v>100</v>
      </c>
      <c r="BE88" s="19">
        <f>MROUND((AZ88/30/8*1.25*AT88)+(AZ88/30/8*1.5*AU88)+(AZ88/30/8*1.5*AV88), 1)</f>
        <v>365</v>
      </c>
      <c r="BF88" s="19">
        <f>MROUND(BB88/30*AW88, 1)</f>
        <v>300</v>
      </c>
      <c r="BG88" s="19">
        <f>MROUND(AZ88/30*AY88, 1)</f>
        <v>0</v>
      </c>
      <c r="BH88" s="19">
        <f>MROUND(BA88/30*AY88, 1)</f>
        <v>0</v>
      </c>
      <c r="BI88" s="19">
        <v>0</v>
      </c>
      <c r="BJ88" s="19">
        <v>95</v>
      </c>
      <c r="BK88" s="19">
        <f>SUM(BC88:BJ88)</f>
        <v>2260</v>
      </c>
      <c r="BL88" s="19">
        <v>0</v>
      </c>
      <c r="BM88" s="19">
        <v>0</v>
      </c>
      <c r="BN88" s="19">
        <f>BL88+BM88</f>
        <v>0</v>
      </c>
      <c r="BO88" s="19">
        <f>BK88-BN88</f>
        <v>2260</v>
      </c>
      <c r="BP88" s="19">
        <v>0</v>
      </c>
      <c r="BQ88" s="19">
        <v>0</v>
      </c>
      <c r="BR88" s="22">
        <f>SUM(BO88:BP88)-BQ88</f>
        <v>2260</v>
      </c>
      <c r="BS88" s="23">
        <f>COUNTIF(F88:AI88, "8.5")</f>
        <v>0</v>
      </c>
      <c r="BT88" s="24">
        <f>BS88*0.5</f>
        <v>0</v>
      </c>
      <c r="BU88" s="24">
        <f>COUNTIF(F88:AI88, "9")</f>
        <v>0</v>
      </c>
      <c r="BV88" s="24">
        <f>BU88*1</f>
        <v>0</v>
      </c>
      <c r="BW88" s="24">
        <f>COUNTIF(F88:AI88, "9.5")</f>
        <v>0</v>
      </c>
      <c r="BX88" s="24">
        <f>BW88*1.5</f>
        <v>0</v>
      </c>
      <c r="BY88" s="24">
        <f>COUNTIF(F88:AI88, "10")</f>
        <v>25</v>
      </c>
      <c r="BZ88" s="24">
        <f>BY88*2</f>
        <v>50</v>
      </c>
      <c r="CA88" s="24">
        <f>COUNTIF(F88:AI88, "10.5")</f>
        <v>0</v>
      </c>
      <c r="CB88" s="24">
        <f>CA88*2.5</f>
        <v>0</v>
      </c>
      <c r="CC88" s="24">
        <f>COUNTIF(F88:AI88, "11")</f>
        <v>0</v>
      </c>
      <c r="CD88" s="24">
        <f>CC88*3</f>
        <v>0</v>
      </c>
      <c r="CE88" s="24">
        <f>COUNTIF(F88:AI88, "11.5")</f>
        <v>0</v>
      </c>
      <c r="CF88" s="24">
        <f>CE88*3.5</f>
        <v>0</v>
      </c>
      <c r="CG88" s="24">
        <f>COUNTIF(F88:AI88, "12")</f>
        <v>0</v>
      </c>
      <c r="CH88" s="24">
        <f>CG88*4</f>
        <v>0</v>
      </c>
      <c r="CI88" s="24">
        <f>COUNTIF(F88:AI88, "12.5")</f>
        <v>0</v>
      </c>
      <c r="CJ88" s="24">
        <f>CI88*4.5</f>
        <v>0</v>
      </c>
      <c r="CK88" s="24">
        <f>COUNTIF(F88:AI88, "13")</f>
        <v>0</v>
      </c>
      <c r="CL88" s="24">
        <f>CK88*5</f>
        <v>0</v>
      </c>
      <c r="CM88" s="24">
        <f>COUNTIF(F88:AI88, "13.5")</f>
        <v>0</v>
      </c>
      <c r="CN88" s="24">
        <f>CM88*5.5</f>
        <v>0</v>
      </c>
      <c r="CO88" s="24">
        <f>COUNTIF(F88:AI88, "14")</f>
        <v>0</v>
      </c>
      <c r="CP88" s="24">
        <f>CO88*6</f>
        <v>0</v>
      </c>
      <c r="CQ88" s="24">
        <f>COUNTIF(F88:AI88, "14.5")</f>
        <v>0</v>
      </c>
      <c r="CR88" s="24">
        <f>CQ88*6.5</f>
        <v>0</v>
      </c>
      <c r="CS88" s="24">
        <f>COUNTIF(F88:AI88, "15")</f>
        <v>0</v>
      </c>
      <c r="CT88" s="24">
        <f>CS88*7</f>
        <v>0</v>
      </c>
      <c r="CU88" s="24">
        <f>COUNTIF(F88:AI88, "15.5")</f>
        <v>0</v>
      </c>
      <c r="CV88" s="24">
        <f>CU88*7.5</f>
        <v>0</v>
      </c>
      <c r="CW88" s="24">
        <f>COUNTIF(F88:AI88, "16")</f>
        <v>0</v>
      </c>
      <c r="CX88" s="24">
        <f>CW88*8</f>
        <v>0</v>
      </c>
      <c r="CY88" s="24">
        <f>COUNTIF(F88:AI88, "16.5")</f>
        <v>0</v>
      </c>
      <c r="CZ88" s="24">
        <f>CY88*8.5</f>
        <v>0</v>
      </c>
      <c r="DA88" s="24">
        <f>COUNTIF(F88:AI88, "17")</f>
        <v>0</v>
      </c>
      <c r="DB88" s="24">
        <f>DA88*9</f>
        <v>0</v>
      </c>
      <c r="DC88" s="24">
        <f>COUNTIF(F88:AI88, "17.5")</f>
        <v>0</v>
      </c>
      <c r="DD88" s="24">
        <f>DC88*9.5</f>
        <v>0</v>
      </c>
      <c r="DE88" s="24">
        <f>COUNTIF(F88:AI88, "18")</f>
        <v>0</v>
      </c>
      <c r="DF88" s="24">
        <f>DE88*10</f>
        <v>0</v>
      </c>
      <c r="DG88" s="24">
        <f>COUNTIF(F88:AI88, "18.5")</f>
        <v>0</v>
      </c>
      <c r="DH88" s="24">
        <f>DG88*10.5</f>
        <v>0</v>
      </c>
      <c r="DI88" s="24">
        <f>COUNTIF(F88:AI88, "19")</f>
        <v>0</v>
      </c>
      <c r="DJ88" s="24">
        <f>DI88*11</f>
        <v>0</v>
      </c>
      <c r="DK88" s="24">
        <f>COUNTIF(F88:AI88, "19.5")</f>
        <v>0</v>
      </c>
      <c r="DL88" s="24">
        <f>DK88*11.5</f>
        <v>0</v>
      </c>
      <c r="DM88" s="24">
        <f>COUNTIF(F88:AI88, "20")</f>
        <v>0</v>
      </c>
      <c r="DN88" s="24">
        <f>DM88*12</f>
        <v>0</v>
      </c>
      <c r="DO88" s="24">
        <f>COUNTIF(F88:AI88, "20.5")</f>
        <v>0</v>
      </c>
      <c r="DP88" s="24">
        <f>DO88*12.5</f>
        <v>0</v>
      </c>
      <c r="DQ88" s="24">
        <f>COUNTIF(F88:AI88, "21")</f>
        <v>0</v>
      </c>
      <c r="DR88" s="24">
        <f>DQ88*13</f>
        <v>0</v>
      </c>
      <c r="DS88" s="24">
        <f>COUNTIF(F88:AI88, "21.5")</f>
        <v>0</v>
      </c>
      <c r="DT88" s="24">
        <f>DS88*13.5</f>
        <v>0</v>
      </c>
      <c r="DU88" s="24">
        <f>COUNTIF(F88:AI88, "22")</f>
        <v>0</v>
      </c>
      <c r="DV88" s="24">
        <f>DU88*14</f>
        <v>0</v>
      </c>
      <c r="DW88" s="24">
        <f>COUNTIF(F88:AI88, "22.5")</f>
        <v>0</v>
      </c>
      <c r="DX88" s="24">
        <f>DW88*14.5</f>
        <v>0</v>
      </c>
      <c r="DY88" s="24">
        <f>COUNTIF(F88:AI88, "23")</f>
        <v>0</v>
      </c>
      <c r="DZ88" s="24">
        <f>DY88*15</f>
        <v>0</v>
      </c>
      <c r="EA88" s="24">
        <f>COUNTIF(F88:AI88, "23.5")</f>
        <v>0</v>
      </c>
      <c r="EB88" s="24">
        <f>EA88*15.5</f>
        <v>0</v>
      </c>
      <c r="EC88" s="24">
        <f>COUNTIF(F88:AI88, "24")</f>
        <v>0</v>
      </c>
      <c r="ED88" s="24">
        <f>EC88*16</f>
        <v>0</v>
      </c>
      <c r="EE88" s="25"/>
    </row>
    <row r="89" spans="1:135" s="2" customFormat="1" ht="18" customHeight="1" x14ac:dyDescent="0.25">
      <c r="A89" s="99">
        <v>86</v>
      </c>
      <c r="B89" s="110">
        <v>377</v>
      </c>
      <c r="C89" s="95" t="s">
        <v>585</v>
      </c>
      <c r="D89" s="102" t="s">
        <v>107</v>
      </c>
      <c r="E89" s="18">
        <v>45868</v>
      </c>
      <c r="F89" s="19">
        <v>10</v>
      </c>
      <c r="G89" s="19">
        <v>10</v>
      </c>
      <c r="H89" s="19">
        <v>10</v>
      </c>
      <c r="I89" s="19">
        <v>10</v>
      </c>
      <c r="J89" s="19" t="s">
        <v>603</v>
      </c>
      <c r="K89" s="19">
        <v>10</v>
      </c>
      <c r="L89" s="19" t="s">
        <v>15</v>
      </c>
      <c r="M89" s="19">
        <v>10</v>
      </c>
      <c r="N89" s="19">
        <v>10</v>
      </c>
      <c r="O89" s="19">
        <v>10</v>
      </c>
      <c r="P89" s="19">
        <v>10</v>
      </c>
      <c r="Q89" s="19">
        <v>10</v>
      </c>
      <c r="R89" s="19">
        <v>10</v>
      </c>
      <c r="S89" s="19" t="s">
        <v>15</v>
      </c>
      <c r="T89" s="19">
        <v>10</v>
      </c>
      <c r="U89" s="19">
        <v>10</v>
      </c>
      <c r="V89" s="19">
        <v>10</v>
      </c>
      <c r="W89" s="19">
        <v>10</v>
      </c>
      <c r="X89" s="19">
        <v>10</v>
      </c>
      <c r="Y89" s="19">
        <v>10</v>
      </c>
      <c r="Z89" s="19" t="s">
        <v>15</v>
      </c>
      <c r="AA89" s="19">
        <v>10</v>
      </c>
      <c r="AB89" s="19">
        <v>10</v>
      </c>
      <c r="AC89" s="19">
        <v>10</v>
      </c>
      <c r="AD89" s="19">
        <v>10</v>
      </c>
      <c r="AE89" s="19">
        <v>10</v>
      </c>
      <c r="AF89" s="19">
        <v>10</v>
      </c>
      <c r="AG89" s="19" t="s">
        <v>15</v>
      </c>
      <c r="AH89" s="19">
        <v>10</v>
      </c>
      <c r="AI89" s="19">
        <v>10</v>
      </c>
      <c r="AJ89" s="19">
        <v>14</v>
      </c>
      <c r="AK89" s="19">
        <v>14</v>
      </c>
      <c r="AL89" s="19">
        <v>0</v>
      </c>
      <c r="AM89" s="19">
        <v>0</v>
      </c>
      <c r="AN89" s="19">
        <v>0</v>
      </c>
      <c r="AO89" s="19">
        <v>10</v>
      </c>
      <c r="AP89" s="19">
        <v>0</v>
      </c>
      <c r="AQ89" s="19">
        <v>0</v>
      </c>
      <c r="AR89" s="19">
        <v>0</v>
      </c>
      <c r="AS89" s="19">
        <v>0</v>
      </c>
      <c r="AT89" s="19">
        <f t="shared" ref="AT89" si="462">SUM(BT89+BV89+BX89+BZ89+CB89+CD89+CF89+CH89+CJ89+CL89+CN89+CP89+CR89+CT89+CV89+CX89+CZ89+DB89+DD89+DF89+DH89+DJ89+DL89+DN89+DP89+DR89+DT89+DV89+DX89+DZ89+EB89+ED89)</f>
        <v>50</v>
      </c>
      <c r="AU89" s="19">
        <f t="shared" ref="AU89" si="463">SUM(AJ89:AN89)</f>
        <v>28</v>
      </c>
      <c r="AV89" s="19">
        <f t="shared" ref="AV89" si="464">SUM(AO89:AS89)</f>
        <v>10</v>
      </c>
      <c r="AW89" s="16">
        <f>COUNTIF(F89:AI89,"8")+COUNTIF(F89:AI89,"8.5")+COUNTIF(F89:AI89,"9")+COUNTIF(F89:AI89,"9.5")+COUNTIF(F89:AI89,"10")+COUNTIF(F89:AI89,"10.5")+COUNTIF(F89:AI89,"11")+COUNTIF(F89:AI89,"11.5")+COUNTIF(F89:AI89,"12")+COUNTIF(F89:AI89,"12.5")+COUNTIF(F89:AI89,"13")+COUNTIF(F89:AI89,"13.5")+COUNTIF(F89:AI89,"14")+COUNTIF(F89:AI89,"14.5")+COUNTIF(F89:AI89,"15")+COUNTIF(F89:AI89,"15.5")+COUNTIF(F89:AI89,"16")+COUNTIF(F89:AI89,"16.5")+COUNTIF(F89:AI89,"17")+COUNTIF(F89:AI89,"17.5")+COUNTIF(F89:AI89,"18")+COUNTIF(F89:AI89,"18.5")+COUNTIF(F89:AI89,"19")+COUNTIF(F89:AI89,"19.5")+COUNTIF(F89:AI89,"20")+COUNTIF(F89:AI89,"20.5")+COUNTIF(F89:AI89,"21")+COUNTIF(F89:AI89,"21.5")+COUNTIF(F89:AI89,"22")+COUNTIF(F89:AI89,"22.5")+COUNTIF(F89:AI89,"23")+COUNTIF(F89:AI89,"23.5")+COUNTIF(F89:AI89,"24")+COUNTIF(F89:AI89,"S")+COUNTIF(F89:AI89,"PH")+COUNTIF(F89:AI89,"ML")+COUNTIF(F89:AI89,"OD")</f>
        <v>30</v>
      </c>
      <c r="AX89" s="16">
        <f>COUNTIF(F89:AI89,"A")</f>
        <v>0</v>
      </c>
      <c r="AY89" s="38">
        <f>COUNTIF(F89:AI89,"ID")</f>
        <v>0</v>
      </c>
      <c r="AZ89" s="36">
        <v>950</v>
      </c>
      <c r="BA89" s="20">
        <v>100</v>
      </c>
      <c r="BB89" s="21">
        <v>0</v>
      </c>
      <c r="BC89" s="19">
        <f>MROUND(AZ89/30*AW89, 1)</f>
        <v>950</v>
      </c>
      <c r="BD89" s="19">
        <f>MROUND(BA89/30*AW89, 1)</f>
        <v>100</v>
      </c>
      <c r="BE89" s="19">
        <f>MROUND((AZ89/30/8*1.25*AT89)+(AZ89/30/8*1.5*AU89)+(AZ89/30/8*1.5*AV89), 1)</f>
        <v>473</v>
      </c>
      <c r="BF89" s="19">
        <f>MROUND(BB89/30*AW89, 1)</f>
        <v>0</v>
      </c>
      <c r="BG89" s="19">
        <f>MROUND(AZ89/30*AY89, 1)</f>
        <v>0</v>
      </c>
      <c r="BH89" s="19">
        <f>MROUND(BA89/30*AY89, 1)</f>
        <v>0</v>
      </c>
      <c r="BI89" s="19">
        <v>0</v>
      </c>
      <c r="BJ89" s="19">
        <v>95</v>
      </c>
      <c r="BK89" s="19">
        <f t="shared" ref="BK89" si="465">SUM(BC89:BJ89)</f>
        <v>1618</v>
      </c>
      <c r="BL89" s="19">
        <v>100</v>
      </c>
      <c r="BM89" s="19">
        <v>0</v>
      </c>
      <c r="BN89" s="19">
        <f t="shared" ref="BN89" si="466">BL89+BM89</f>
        <v>100</v>
      </c>
      <c r="BO89" s="19">
        <f t="shared" ref="BO89" si="467">BK89-BN89</f>
        <v>1518</v>
      </c>
      <c r="BP89" s="19">
        <v>0</v>
      </c>
      <c r="BQ89" s="19">
        <v>0</v>
      </c>
      <c r="BR89" s="22">
        <f t="shared" ref="BR89" si="468">SUM(BO89:BP89)-BQ89</f>
        <v>1518</v>
      </c>
      <c r="BS89" s="23">
        <f>COUNTIF(F89:AI89, "8.5")</f>
        <v>0</v>
      </c>
      <c r="BT89" s="24">
        <f t="shared" ref="BT89" si="469">BS89*0.5</f>
        <v>0</v>
      </c>
      <c r="BU89" s="24">
        <f>COUNTIF(F89:AI89, "9")</f>
        <v>0</v>
      </c>
      <c r="BV89" s="24">
        <f t="shared" ref="BV89" si="470">BU89*1</f>
        <v>0</v>
      </c>
      <c r="BW89" s="24">
        <f>COUNTIF(F89:AI89, "9.5")</f>
        <v>0</v>
      </c>
      <c r="BX89" s="24">
        <f t="shared" ref="BX89" si="471">BW89*1.5</f>
        <v>0</v>
      </c>
      <c r="BY89" s="24">
        <f>COUNTIF(F89:AI89, "10")</f>
        <v>25</v>
      </c>
      <c r="BZ89" s="24">
        <f t="shared" ref="BZ89" si="472">BY89*2</f>
        <v>50</v>
      </c>
      <c r="CA89" s="24">
        <f>COUNTIF(F89:AI89, "10.5")</f>
        <v>0</v>
      </c>
      <c r="CB89" s="24">
        <f t="shared" ref="CB89" si="473">CA89*2.5</f>
        <v>0</v>
      </c>
      <c r="CC89" s="24">
        <f>COUNTIF(F89:AI89, "11")</f>
        <v>0</v>
      </c>
      <c r="CD89" s="24">
        <f t="shared" ref="CD89" si="474">CC89*3</f>
        <v>0</v>
      </c>
      <c r="CE89" s="24">
        <f>COUNTIF(F89:AI89, "11.5")</f>
        <v>0</v>
      </c>
      <c r="CF89" s="24">
        <f t="shared" ref="CF89" si="475">CE89*3.5</f>
        <v>0</v>
      </c>
      <c r="CG89" s="24">
        <f>COUNTIF(F89:AI89, "12")</f>
        <v>0</v>
      </c>
      <c r="CH89" s="24">
        <f t="shared" ref="CH89" si="476">CG89*4</f>
        <v>0</v>
      </c>
      <c r="CI89" s="24">
        <f>COUNTIF(F89:AI89, "12.5")</f>
        <v>0</v>
      </c>
      <c r="CJ89" s="24">
        <f t="shared" ref="CJ89" si="477">CI89*4.5</f>
        <v>0</v>
      </c>
      <c r="CK89" s="24">
        <f>COUNTIF(F89:AI89, "13")</f>
        <v>0</v>
      </c>
      <c r="CL89" s="24">
        <f t="shared" ref="CL89" si="478">CK89*5</f>
        <v>0</v>
      </c>
      <c r="CM89" s="24">
        <f>COUNTIF(F89:AI89, "13.5")</f>
        <v>0</v>
      </c>
      <c r="CN89" s="24">
        <f t="shared" ref="CN89" si="479">CM89*5.5</f>
        <v>0</v>
      </c>
      <c r="CO89" s="24">
        <f>COUNTIF(F89:AI89, "14")</f>
        <v>0</v>
      </c>
      <c r="CP89" s="24">
        <f t="shared" ref="CP89" si="480">CO89*6</f>
        <v>0</v>
      </c>
      <c r="CQ89" s="24">
        <f>COUNTIF(F89:AI89, "14.5")</f>
        <v>0</v>
      </c>
      <c r="CR89" s="24">
        <f t="shared" ref="CR89" si="481">CQ89*6.5</f>
        <v>0</v>
      </c>
      <c r="CS89" s="24">
        <f>COUNTIF(F89:AI89, "15")</f>
        <v>0</v>
      </c>
      <c r="CT89" s="24">
        <f t="shared" ref="CT89" si="482">CS89*7</f>
        <v>0</v>
      </c>
      <c r="CU89" s="24">
        <f>COUNTIF(F89:AI89, "15.5")</f>
        <v>0</v>
      </c>
      <c r="CV89" s="24">
        <f t="shared" ref="CV89" si="483">CU89*7.5</f>
        <v>0</v>
      </c>
      <c r="CW89" s="24">
        <f>COUNTIF(F89:AI89, "16")</f>
        <v>0</v>
      </c>
      <c r="CX89" s="24">
        <f t="shared" ref="CX89" si="484">CW89*8</f>
        <v>0</v>
      </c>
      <c r="CY89" s="24">
        <f>COUNTIF(F89:AI89, "16.5")</f>
        <v>0</v>
      </c>
      <c r="CZ89" s="24">
        <f t="shared" ref="CZ89" si="485">CY89*8.5</f>
        <v>0</v>
      </c>
      <c r="DA89" s="24">
        <f>COUNTIF(F89:AI89, "17")</f>
        <v>0</v>
      </c>
      <c r="DB89" s="24">
        <f t="shared" ref="DB89" si="486">DA89*9</f>
        <v>0</v>
      </c>
      <c r="DC89" s="24">
        <f>COUNTIF(F89:AI89, "17.5")</f>
        <v>0</v>
      </c>
      <c r="DD89" s="24">
        <f t="shared" ref="DD89" si="487">DC89*9.5</f>
        <v>0</v>
      </c>
      <c r="DE89" s="24">
        <f>COUNTIF(F89:AI89, "18")</f>
        <v>0</v>
      </c>
      <c r="DF89" s="24">
        <f t="shared" ref="DF89" si="488">DE89*10</f>
        <v>0</v>
      </c>
      <c r="DG89" s="24">
        <f>COUNTIF(F89:AI89, "18.5")</f>
        <v>0</v>
      </c>
      <c r="DH89" s="24">
        <f t="shared" ref="DH89" si="489">DG89*10.5</f>
        <v>0</v>
      </c>
      <c r="DI89" s="24">
        <f>COUNTIF(F89:AI89, "19")</f>
        <v>0</v>
      </c>
      <c r="DJ89" s="24">
        <f t="shared" ref="DJ89" si="490">DI89*11</f>
        <v>0</v>
      </c>
      <c r="DK89" s="24">
        <f>COUNTIF(F89:AI89, "19.5")</f>
        <v>0</v>
      </c>
      <c r="DL89" s="24">
        <f t="shared" ref="DL89" si="491">DK89*11.5</f>
        <v>0</v>
      </c>
      <c r="DM89" s="24">
        <f>COUNTIF(F89:AI89, "20")</f>
        <v>0</v>
      </c>
      <c r="DN89" s="24">
        <f t="shared" ref="DN89" si="492">DM89*12</f>
        <v>0</v>
      </c>
      <c r="DO89" s="24">
        <f>COUNTIF(F89:AI89, "20.5")</f>
        <v>0</v>
      </c>
      <c r="DP89" s="24">
        <f t="shared" ref="DP89" si="493">DO89*12.5</f>
        <v>0</v>
      </c>
      <c r="DQ89" s="24">
        <f>COUNTIF(F89:AI89, "21")</f>
        <v>0</v>
      </c>
      <c r="DR89" s="24">
        <f t="shared" ref="DR89" si="494">DQ89*13</f>
        <v>0</v>
      </c>
      <c r="DS89" s="24">
        <f>COUNTIF(F89:AI89, "21.5")</f>
        <v>0</v>
      </c>
      <c r="DT89" s="24">
        <f t="shared" ref="DT89" si="495">DS89*13.5</f>
        <v>0</v>
      </c>
      <c r="DU89" s="24">
        <f>COUNTIF(F89:AI89, "22")</f>
        <v>0</v>
      </c>
      <c r="DV89" s="24">
        <f t="shared" ref="DV89" si="496">DU89*14</f>
        <v>0</v>
      </c>
      <c r="DW89" s="24">
        <f>COUNTIF(F89:AI89, "22.5")</f>
        <v>0</v>
      </c>
      <c r="DX89" s="24">
        <f t="shared" ref="DX89" si="497">DW89*14.5</f>
        <v>0</v>
      </c>
      <c r="DY89" s="24">
        <f>COUNTIF(F89:AI89, "23")</f>
        <v>0</v>
      </c>
      <c r="DZ89" s="24">
        <f t="shared" ref="DZ89" si="498">DY89*15</f>
        <v>0</v>
      </c>
      <c r="EA89" s="24">
        <f>COUNTIF(F89:AI89, "23.5")</f>
        <v>0</v>
      </c>
      <c r="EB89" s="24">
        <f t="shared" ref="EB89" si="499">EA89*15.5</f>
        <v>0</v>
      </c>
      <c r="EC89" s="24">
        <f>COUNTIF(F89:AI89, "24")</f>
        <v>0</v>
      </c>
      <c r="ED89" s="24">
        <f t="shared" ref="ED89" si="500">EC89*16</f>
        <v>0</v>
      </c>
      <c r="EE89" s="97" t="s">
        <v>374</v>
      </c>
    </row>
    <row r="90" spans="1:135" s="2" customFormat="1" ht="18" customHeight="1" x14ac:dyDescent="0.25">
      <c r="A90" s="99">
        <v>87</v>
      </c>
      <c r="B90" s="110">
        <v>382</v>
      </c>
      <c r="C90" s="95" t="s">
        <v>596</v>
      </c>
      <c r="D90" s="102" t="s">
        <v>107</v>
      </c>
      <c r="E90" s="18">
        <v>45874</v>
      </c>
      <c r="F90" s="19">
        <v>10</v>
      </c>
      <c r="G90" s="19">
        <v>12</v>
      </c>
      <c r="H90" s="19">
        <v>10</v>
      </c>
      <c r="I90" s="19">
        <v>10</v>
      </c>
      <c r="J90" s="19" t="s">
        <v>603</v>
      </c>
      <c r="K90" s="19">
        <v>10</v>
      </c>
      <c r="L90" s="19" t="s">
        <v>15</v>
      </c>
      <c r="M90" s="19">
        <v>10</v>
      </c>
      <c r="N90" s="19">
        <v>10</v>
      </c>
      <c r="O90" s="19">
        <v>10</v>
      </c>
      <c r="P90" s="19">
        <v>10</v>
      </c>
      <c r="Q90" s="19">
        <v>10</v>
      </c>
      <c r="R90" s="19">
        <v>10</v>
      </c>
      <c r="S90" s="19" t="s">
        <v>15</v>
      </c>
      <c r="T90" s="19">
        <v>10</v>
      </c>
      <c r="U90" s="19">
        <v>10</v>
      </c>
      <c r="V90" s="19">
        <v>10</v>
      </c>
      <c r="W90" s="19">
        <v>10</v>
      </c>
      <c r="X90" s="19">
        <v>10</v>
      </c>
      <c r="Y90" s="19">
        <v>10</v>
      </c>
      <c r="Z90" s="19" t="s">
        <v>15</v>
      </c>
      <c r="AA90" s="19">
        <v>10</v>
      </c>
      <c r="AB90" s="19">
        <v>10</v>
      </c>
      <c r="AC90" s="19">
        <v>10</v>
      </c>
      <c r="AD90" s="19">
        <v>10</v>
      </c>
      <c r="AE90" s="19">
        <v>10</v>
      </c>
      <c r="AF90" s="19">
        <v>10</v>
      </c>
      <c r="AG90" s="19" t="s">
        <v>15</v>
      </c>
      <c r="AH90" s="19">
        <v>10</v>
      </c>
      <c r="AI90" s="19">
        <v>10</v>
      </c>
      <c r="AJ90" s="19">
        <v>0</v>
      </c>
      <c r="AK90" s="19">
        <v>11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f t="shared" si="423"/>
        <v>52</v>
      </c>
      <c r="AU90" s="19">
        <f t="shared" si="424"/>
        <v>11</v>
      </c>
      <c r="AV90" s="19">
        <f t="shared" si="425"/>
        <v>0</v>
      </c>
      <c r="AW90" s="16">
        <f t="shared" si="227"/>
        <v>30</v>
      </c>
      <c r="AX90" s="16">
        <f t="shared" si="228"/>
        <v>0</v>
      </c>
      <c r="AY90" s="38">
        <f t="shared" si="229"/>
        <v>0</v>
      </c>
      <c r="AZ90" s="36">
        <v>1000</v>
      </c>
      <c r="BA90" s="20">
        <v>100</v>
      </c>
      <c r="BB90" s="21">
        <v>0</v>
      </c>
      <c r="BC90" s="19">
        <f t="shared" si="300"/>
        <v>1000</v>
      </c>
      <c r="BD90" s="19">
        <f t="shared" si="301"/>
        <v>100</v>
      </c>
      <c r="BE90" s="19">
        <f t="shared" si="302"/>
        <v>340</v>
      </c>
      <c r="BF90" s="19">
        <f t="shared" si="303"/>
        <v>0</v>
      </c>
      <c r="BG90" s="19">
        <f t="shared" si="304"/>
        <v>0</v>
      </c>
      <c r="BH90" s="19">
        <f t="shared" si="305"/>
        <v>0</v>
      </c>
      <c r="BI90" s="19">
        <v>0</v>
      </c>
      <c r="BJ90" s="19">
        <v>95</v>
      </c>
      <c r="BK90" s="19">
        <f t="shared" si="426"/>
        <v>1535</v>
      </c>
      <c r="BL90" s="19">
        <v>100</v>
      </c>
      <c r="BM90" s="19">
        <v>0</v>
      </c>
      <c r="BN90" s="19">
        <f t="shared" si="427"/>
        <v>100</v>
      </c>
      <c r="BO90" s="19">
        <f t="shared" si="428"/>
        <v>1435</v>
      </c>
      <c r="BP90" s="19">
        <v>0</v>
      </c>
      <c r="BQ90" s="19">
        <v>0</v>
      </c>
      <c r="BR90" s="22">
        <f t="shared" si="429"/>
        <v>1435</v>
      </c>
      <c r="BS90" s="23">
        <f t="shared" si="230"/>
        <v>0</v>
      </c>
      <c r="BT90" s="24">
        <f t="shared" si="430"/>
        <v>0</v>
      </c>
      <c r="BU90" s="24">
        <f t="shared" si="232"/>
        <v>0</v>
      </c>
      <c r="BV90" s="24">
        <f t="shared" si="431"/>
        <v>0</v>
      </c>
      <c r="BW90" s="24">
        <f t="shared" si="234"/>
        <v>0</v>
      </c>
      <c r="BX90" s="24">
        <f t="shared" si="432"/>
        <v>0</v>
      </c>
      <c r="BY90" s="24">
        <f t="shared" si="236"/>
        <v>24</v>
      </c>
      <c r="BZ90" s="24">
        <f t="shared" si="433"/>
        <v>48</v>
      </c>
      <c r="CA90" s="24">
        <f t="shared" si="238"/>
        <v>0</v>
      </c>
      <c r="CB90" s="24">
        <f t="shared" si="434"/>
        <v>0</v>
      </c>
      <c r="CC90" s="24">
        <f t="shared" si="240"/>
        <v>0</v>
      </c>
      <c r="CD90" s="24">
        <f t="shared" si="435"/>
        <v>0</v>
      </c>
      <c r="CE90" s="24">
        <f t="shared" si="242"/>
        <v>0</v>
      </c>
      <c r="CF90" s="24">
        <f t="shared" si="436"/>
        <v>0</v>
      </c>
      <c r="CG90" s="24">
        <f t="shared" si="244"/>
        <v>1</v>
      </c>
      <c r="CH90" s="24">
        <f t="shared" si="437"/>
        <v>4</v>
      </c>
      <c r="CI90" s="24">
        <f t="shared" si="246"/>
        <v>0</v>
      </c>
      <c r="CJ90" s="24">
        <f t="shared" si="438"/>
        <v>0</v>
      </c>
      <c r="CK90" s="24">
        <f t="shared" si="248"/>
        <v>0</v>
      </c>
      <c r="CL90" s="24">
        <f t="shared" si="439"/>
        <v>0</v>
      </c>
      <c r="CM90" s="24">
        <f t="shared" si="250"/>
        <v>0</v>
      </c>
      <c r="CN90" s="24">
        <f t="shared" si="440"/>
        <v>0</v>
      </c>
      <c r="CO90" s="24">
        <f t="shared" si="252"/>
        <v>0</v>
      </c>
      <c r="CP90" s="24">
        <f t="shared" si="441"/>
        <v>0</v>
      </c>
      <c r="CQ90" s="24">
        <f t="shared" si="254"/>
        <v>0</v>
      </c>
      <c r="CR90" s="24">
        <f t="shared" si="442"/>
        <v>0</v>
      </c>
      <c r="CS90" s="24">
        <f t="shared" si="256"/>
        <v>0</v>
      </c>
      <c r="CT90" s="24">
        <f t="shared" si="443"/>
        <v>0</v>
      </c>
      <c r="CU90" s="24">
        <f t="shared" si="258"/>
        <v>0</v>
      </c>
      <c r="CV90" s="24">
        <f t="shared" si="444"/>
        <v>0</v>
      </c>
      <c r="CW90" s="24">
        <f t="shared" si="260"/>
        <v>0</v>
      </c>
      <c r="CX90" s="24">
        <f t="shared" si="445"/>
        <v>0</v>
      </c>
      <c r="CY90" s="24">
        <f t="shared" si="262"/>
        <v>0</v>
      </c>
      <c r="CZ90" s="24">
        <f t="shared" si="446"/>
        <v>0</v>
      </c>
      <c r="DA90" s="24">
        <f t="shared" si="264"/>
        <v>0</v>
      </c>
      <c r="DB90" s="24">
        <f t="shared" si="447"/>
        <v>0</v>
      </c>
      <c r="DC90" s="24">
        <f t="shared" si="266"/>
        <v>0</v>
      </c>
      <c r="DD90" s="24">
        <f t="shared" si="448"/>
        <v>0</v>
      </c>
      <c r="DE90" s="24">
        <f t="shared" si="268"/>
        <v>0</v>
      </c>
      <c r="DF90" s="24">
        <f t="shared" si="449"/>
        <v>0</v>
      </c>
      <c r="DG90" s="24">
        <f t="shared" si="270"/>
        <v>0</v>
      </c>
      <c r="DH90" s="24">
        <f t="shared" si="450"/>
        <v>0</v>
      </c>
      <c r="DI90" s="24">
        <f t="shared" si="272"/>
        <v>0</v>
      </c>
      <c r="DJ90" s="24">
        <f t="shared" si="451"/>
        <v>0</v>
      </c>
      <c r="DK90" s="24">
        <f t="shared" si="274"/>
        <v>0</v>
      </c>
      <c r="DL90" s="24">
        <f t="shared" si="452"/>
        <v>0</v>
      </c>
      <c r="DM90" s="24">
        <f t="shared" si="276"/>
        <v>0</v>
      </c>
      <c r="DN90" s="24">
        <f t="shared" si="453"/>
        <v>0</v>
      </c>
      <c r="DO90" s="24">
        <f t="shared" si="278"/>
        <v>0</v>
      </c>
      <c r="DP90" s="24">
        <f t="shared" si="454"/>
        <v>0</v>
      </c>
      <c r="DQ90" s="24">
        <f t="shared" si="280"/>
        <v>0</v>
      </c>
      <c r="DR90" s="24">
        <f t="shared" si="455"/>
        <v>0</v>
      </c>
      <c r="DS90" s="24">
        <f t="shared" si="282"/>
        <v>0</v>
      </c>
      <c r="DT90" s="24">
        <f t="shared" si="456"/>
        <v>0</v>
      </c>
      <c r="DU90" s="24">
        <f t="shared" si="284"/>
        <v>0</v>
      </c>
      <c r="DV90" s="24">
        <f t="shared" si="457"/>
        <v>0</v>
      </c>
      <c r="DW90" s="24">
        <f t="shared" si="286"/>
        <v>0</v>
      </c>
      <c r="DX90" s="24">
        <f t="shared" si="458"/>
        <v>0</v>
      </c>
      <c r="DY90" s="24">
        <f t="shared" si="288"/>
        <v>0</v>
      </c>
      <c r="DZ90" s="24">
        <f t="shared" si="459"/>
        <v>0</v>
      </c>
      <c r="EA90" s="24">
        <f t="shared" si="290"/>
        <v>0</v>
      </c>
      <c r="EB90" s="24">
        <f t="shared" si="460"/>
        <v>0</v>
      </c>
      <c r="EC90" s="24">
        <f t="shared" si="292"/>
        <v>0</v>
      </c>
      <c r="ED90" s="24">
        <f t="shared" si="461"/>
        <v>0</v>
      </c>
      <c r="EE90" s="97" t="s">
        <v>374</v>
      </c>
    </row>
    <row r="91" spans="1:135" s="2" customFormat="1" ht="18" customHeight="1" x14ac:dyDescent="0.25">
      <c r="A91" s="99">
        <v>88</v>
      </c>
      <c r="B91" s="110">
        <v>383</v>
      </c>
      <c r="C91" s="95" t="s">
        <v>597</v>
      </c>
      <c r="D91" s="102" t="s">
        <v>107</v>
      </c>
      <c r="E91" s="18">
        <v>45880</v>
      </c>
      <c r="F91" s="19">
        <v>10</v>
      </c>
      <c r="G91" s="19">
        <v>10</v>
      </c>
      <c r="H91" s="19">
        <v>10</v>
      </c>
      <c r="I91" s="19" t="s">
        <v>316</v>
      </c>
      <c r="J91" s="19" t="s">
        <v>603</v>
      </c>
      <c r="K91" s="19">
        <v>10</v>
      </c>
      <c r="L91" s="19" t="s">
        <v>316</v>
      </c>
      <c r="M91" s="19">
        <v>10</v>
      </c>
      <c r="N91" s="19">
        <v>10</v>
      </c>
      <c r="O91" s="19">
        <v>10</v>
      </c>
      <c r="P91" s="19">
        <v>10</v>
      </c>
      <c r="Q91" s="19">
        <v>10</v>
      </c>
      <c r="R91" s="19">
        <v>10</v>
      </c>
      <c r="S91" s="19" t="s">
        <v>15</v>
      </c>
      <c r="T91" s="19">
        <v>10</v>
      </c>
      <c r="U91" s="19">
        <v>10</v>
      </c>
      <c r="V91" s="19">
        <v>10</v>
      </c>
      <c r="W91" s="19">
        <v>10</v>
      </c>
      <c r="X91" s="19">
        <v>10</v>
      </c>
      <c r="Y91" s="19">
        <v>10</v>
      </c>
      <c r="Z91" s="19" t="s">
        <v>15</v>
      </c>
      <c r="AA91" s="19">
        <v>10</v>
      </c>
      <c r="AB91" s="19">
        <v>10</v>
      </c>
      <c r="AC91" s="19">
        <v>10</v>
      </c>
      <c r="AD91" s="19">
        <v>10</v>
      </c>
      <c r="AE91" s="19">
        <v>10</v>
      </c>
      <c r="AF91" s="19">
        <v>10</v>
      </c>
      <c r="AG91" s="19" t="s">
        <v>15</v>
      </c>
      <c r="AH91" s="19">
        <v>10</v>
      </c>
      <c r="AI91" s="19">
        <v>10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f t="shared" si="423"/>
        <v>48</v>
      </c>
      <c r="AU91" s="19">
        <f t="shared" si="424"/>
        <v>0</v>
      </c>
      <c r="AV91" s="19">
        <f t="shared" si="425"/>
        <v>0</v>
      </c>
      <c r="AW91" s="16">
        <f t="shared" si="227"/>
        <v>28</v>
      </c>
      <c r="AX91" s="16">
        <f t="shared" si="228"/>
        <v>2</v>
      </c>
      <c r="AY91" s="38">
        <f t="shared" si="229"/>
        <v>0</v>
      </c>
      <c r="AZ91" s="36">
        <v>900</v>
      </c>
      <c r="BA91" s="20">
        <v>100</v>
      </c>
      <c r="BB91" s="21">
        <v>0</v>
      </c>
      <c r="BC91" s="19">
        <f t="shared" si="300"/>
        <v>840</v>
      </c>
      <c r="BD91" s="19">
        <f t="shared" si="301"/>
        <v>93</v>
      </c>
      <c r="BE91" s="19">
        <f t="shared" si="302"/>
        <v>225</v>
      </c>
      <c r="BF91" s="19">
        <f t="shared" si="303"/>
        <v>0</v>
      </c>
      <c r="BG91" s="19">
        <f t="shared" si="304"/>
        <v>0</v>
      </c>
      <c r="BH91" s="19">
        <f t="shared" si="305"/>
        <v>0</v>
      </c>
      <c r="BI91" s="19">
        <v>0</v>
      </c>
      <c r="BJ91" s="19">
        <v>0</v>
      </c>
      <c r="BK91" s="19">
        <f t="shared" si="426"/>
        <v>1158</v>
      </c>
      <c r="BL91" s="19">
        <v>100</v>
      </c>
      <c r="BM91" s="19">
        <v>0</v>
      </c>
      <c r="BN91" s="19">
        <f t="shared" si="427"/>
        <v>100</v>
      </c>
      <c r="BO91" s="19">
        <f t="shared" si="428"/>
        <v>1058</v>
      </c>
      <c r="BP91" s="19">
        <v>0</v>
      </c>
      <c r="BQ91" s="19">
        <v>0</v>
      </c>
      <c r="BR91" s="22">
        <f t="shared" si="429"/>
        <v>1058</v>
      </c>
      <c r="BS91" s="23">
        <f t="shared" si="230"/>
        <v>0</v>
      </c>
      <c r="BT91" s="24">
        <f t="shared" si="430"/>
        <v>0</v>
      </c>
      <c r="BU91" s="24">
        <f t="shared" si="232"/>
        <v>0</v>
      </c>
      <c r="BV91" s="24">
        <f t="shared" si="431"/>
        <v>0</v>
      </c>
      <c r="BW91" s="24">
        <f t="shared" si="234"/>
        <v>0</v>
      </c>
      <c r="BX91" s="24">
        <f t="shared" si="432"/>
        <v>0</v>
      </c>
      <c r="BY91" s="24">
        <f t="shared" si="236"/>
        <v>24</v>
      </c>
      <c r="BZ91" s="24">
        <f t="shared" si="433"/>
        <v>48</v>
      </c>
      <c r="CA91" s="24">
        <f t="shared" si="238"/>
        <v>0</v>
      </c>
      <c r="CB91" s="24">
        <f t="shared" si="434"/>
        <v>0</v>
      </c>
      <c r="CC91" s="24">
        <f t="shared" si="240"/>
        <v>0</v>
      </c>
      <c r="CD91" s="24">
        <f t="shared" si="435"/>
        <v>0</v>
      </c>
      <c r="CE91" s="24">
        <f t="shared" si="242"/>
        <v>0</v>
      </c>
      <c r="CF91" s="24">
        <f t="shared" si="436"/>
        <v>0</v>
      </c>
      <c r="CG91" s="24">
        <f t="shared" si="244"/>
        <v>0</v>
      </c>
      <c r="CH91" s="24">
        <f t="shared" si="437"/>
        <v>0</v>
      </c>
      <c r="CI91" s="24">
        <f t="shared" si="246"/>
        <v>0</v>
      </c>
      <c r="CJ91" s="24">
        <f t="shared" si="438"/>
        <v>0</v>
      </c>
      <c r="CK91" s="24">
        <f t="shared" si="248"/>
        <v>0</v>
      </c>
      <c r="CL91" s="24">
        <f t="shared" si="439"/>
        <v>0</v>
      </c>
      <c r="CM91" s="24">
        <f t="shared" si="250"/>
        <v>0</v>
      </c>
      <c r="CN91" s="24">
        <f t="shared" si="440"/>
        <v>0</v>
      </c>
      <c r="CO91" s="24">
        <f t="shared" si="252"/>
        <v>0</v>
      </c>
      <c r="CP91" s="24">
        <f t="shared" si="441"/>
        <v>0</v>
      </c>
      <c r="CQ91" s="24">
        <f t="shared" si="254"/>
        <v>0</v>
      </c>
      <c r="CR91" s="24">
        <f t="shared" si="442"/>
        <v>0</v>
      </c>
      <c r="CS91" s="24">
        <f t="shared" si="256"/>
        <v>0</v>
      </c>
      <c r="CT91" s="24">
        <f t="shared" si="443"/>
        <v>0</v>
      </c>
      <c r="CU91" s="24">
        <f t="shared" si="258"/>
        <v>0</v>
      </c>
      <c r="CV91" s="24">
        <f t="shared" si="444"/>
        <v>0</v>
      </c>
      <c r="CW91" s="24">
        <f t="shared" si="260"/>
        <v>0</v>
      </c>
      <c r="CX91" s="24">
        <f t="shared" si="445"/>
        <v>0</v>
      </c>
      <c r="CY91" s="24">
        <f t="shared" si="262"/>
        <v>0</v>
      </c>
      <c r="CZ91" s="24">
        <f t="shared" si="446"/>
        <v>0</v>
      </c>
      <c r="DA91" s="24">
        <f t="shared" si="264"/>
        <v>0</v>
      </c>
      <c r="DB91" s="24">
        <f t="shared" si="447"/>
        <v>0</v>
      </c>
      <c r="DC91" s="24">
        <f t="shared" si="266"/>
        <v>0</v>
      </c>
      <c r="DD91" s="24">
        <f t="shared" si="448"/>
        <v>0</v>
      </c>
      <c r="DE91" s="24">
        <f t="shared" si="268"/>
        <v>0</v>
      </c>
      <c r="DF91" s="24">
        <f t="shared" si="449"/>
        <v>0</v>
      </c>
      <c r="DG91" s="24">
        <f t="shared" si="270"/>
        <v>0</v>
      </c>
      <c r="DH91" s="24">
        <f t="shared" si="450"/>
        <v>0</v>
      </c>
      <c r="DI91" s="24">
        <f t="shared" si="272"/>
        <v>0</v>
      </c>
      <c r="DJ91" s="24">
        <f t="shared" si="451"/>
        <v>0</v>
      </c>
      <c r="DK91" s="24">
        <f t="shared" si="274"/>
        <v>0</v>
      </c>
      <c r="DL91" s="24">
        <f t="shared" si="452"/>
        <v>0</v>
      </c>
      <c r="DM91" s="24">
        <f t="shared" si="276"/>
        <v>0</v>
      </c>
      <c r="DN91" s="24">
        <f t="shared" si="453"/>
        <v>0</v>
      </c>
      <c r="DO91" s="24">
        <f t="shared" si="278"/>
        <v>0</v>
      </c>
      <c r="DP91" s="24">
        <f t="shared" si="454"/>
        <v>0</v>
      </c>
      <c r="DQ91" s="24">
        <f t="shared" si="280"/>
        <v>0</v>
      </c>
      <c r="DR91" s="24">
        <f t="shared" si="455"/>
        <v>0</v>
      </c>
      <c r="DS91" s="24">
        <f t="shared" si="282"/>
        <v>0</v>
      </c>
      <c r="DT91" s="24">
        <f t="shared" si="456"/>
        <v>0</v>
      </c>
      <c r="DU91" s="24">
        <f t="shared" si="284"/>
        <v>0</v>
      </c>
      <c r="DV91" s="24">
        <f t="shared" si="457"/>
        <v>0</v>
      </c>
      <c r="DW91" s="24">
        <f t="shared" si="286"/>
        <v>0</v>
      </c>
      <c r="DX91" s="24">
        <f t="shared" si="458"/>
        <v>0</v>
      </c>
      <c r="DY91" s="24">
        <f t="shared" si="288"/>
        <v>0</v>
      </c>
      <c r="DZ91" s="24">
        <f t="shared" si="459"/>
        <v>0</v>
      </c>
      <c r="EA91" s="24">
        <f t="shared" si="290"/>
        <v>0</v>
      </c>
      <c r="EB91" s="24">
        <f t="shared" si="460"/>
        <v>0</v>
      </c>
      <c r="EC91" s="24">
        <f t="shared" si="292"/>
        <v>0</v>
      </c>
      <c r="ED91" s="24">
        <f t="shared" si="461"/>
        <v>0</v>
      </c>
      <c r="EE91" s="97" t="s">
        <v>374</v>
      </c>
    </row>
    <row r="92" spans="1:135" s="2" customFormat="1" ht="18" customHeight="1" x14ac:dyDescent="0.25">
      <c r="A92" s="99">
        <v>89</v>
      </c>
      <c r="B92" s="110" t="s">
        <v>600</v>
      </c>
      <c r="C92" s="95" t="s">
        <v>601</v>
      </c>
      <c r="D92" s="102" t="s">
        <v>107</v>
      </c>
      <c r="E92" s="18">
        <v>45897</v>
      </c>
      <c r="F92" s="19" t="s">
        <v>148</v>
      </c>
      <c r="G92" s="19" t="s">
        <v>148</v>
      </c>
      <c r="H92" s="19" t="s">
        <v>148</v>
      </c>
      <c r="I92" s="19" t="s">
        <v>148</v>
      </c>
      <c r="J92" s="19" t="s">
        <v>148</v>
      </c>
      <c r="K92" s="19" t="s">
        <v>148</v>
      </c>
      <c r="L92" s="19" t="s">
        <v>148</v>
      </c>
      <c r="M92" s="19" t="s">
        <v>148</v>
      </c>
      <c r="N92" s="19" t="s">
        <v>148</v>
      </c>
      <c r="O92" s="19" t="s">
        <v>148</v>
      </c>
      <c r="P92" s="19">
        <v>10</v>
      </c>
      <c r="Q92" s="19">
        <v>10</v>
      </c>
      <c r="R92" s="19">
        <v>10</v>
      </c>
      <c r="S92" s="19" t="s">
        <v>15</v>
      </c>
      <c r="T92" s="19" t="s">
        <v>148</v>
      </c>
      <c r="U92" s="19">
        <v>10</v>
      </c>
      <c r="V92" s="19">
        <v>10</v>
      </c>
      <c r="W92" s="19">
        <v>10</v>
      </c>
      <c r="X92" s="19">
        <v>10</v>
      </c>
      <c r="Y92" s="19">
        <v>10</v>
      </c>
      <c r="Z92" s="19" t="s">
        <v>15</v>
      </c>
      <c r="AA92" s="19">
        <v>11</v>
      </c>
      <c r="AB92" s="19">
        <v>11</v>
      </c>
      <c r="AC92" s="19">
        <v>11</v>
      </c>
      <c r="AD92" s="19">
        <v>11</v>
      </c>
      <c r="AE92" s="19">
        <v>11</v>
      </c>
      <c r="AF92" s="19">
        <v>11</v>
      </c>
      <c r="AG92" s="19" t="s">
        <v>15</v>
      </c>
      <c r="AH92" s="19">
        <v>11</v>
      </c>
      <c r="AI92" s="19">
        <v>11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f t="shared" ref="AT92:AT93" si="501">SUM(BT92+BV92+BX92+BZ92+CB92+CD92+CF92+CH92+CJ92+CL92+CN92+CP92+CR92+CT92+CV92+CX92+CZ92+DB92+DD92+DF92+DH92+DJ92+DL92+DN92+DP92+DR92+DT92+DV92+DX92+DZ92+EB92+ED92)</f>
        <v>40</v>
      </c>
      <c r="AU92" s="19">
        <f t="shared" ref="AU92:AU93" si="502">SUM(AJ92:AN92)</f>
        <v>0</v>
      </c>
      <c r="AV92" s="19">
        <f t="shared" ref="AV92:AV93" si="503">SUM(AO92:AS92)</f>
        <v>0</v>
      </c>
      <c r="AW92" s="16">
        <f t="shared" si="227"/>
        <v>19</v>
      </c>
      <c r="AX92" s="16">
        <f t="shared" si="228"/>
        <v>0</v>
      </c>
      <c r="AY92" s="38">
        <f t="shared" si="229"/>
        <v>11</v>
      </c>
      <c r="AZ92" s="36">
        <v>900</v>
      </c>
      <c r="BA92" s="20">
        <v>100</v>
      </c>
      <c r="BB92" s="21">
        <v>0</v>
      </c>
      <c r="BC92" s="19">
        <f t="shared" si="300"/>
        <v>570</v>
      </c>
      <c r="BD92" s="19">
        <f t="shared" si="301"/>
        <v>63</v>
      </c>
      <c r="BE92" s="19">
        <f t="shared" si="302"/>
        <v>188</v>
      </c>
      <c r="BF92" s="19">
        <f t="shared" si="303"/>
        <v>0</v>
      </c>
      <c r="BG92" s="19">
        <f t="shared" si="304"/>
        <v>330</v>
      </c>
      <c r="BH92" s="19">
        <f t="shared" si="305"/>
        <v>37</v>
      </c>
      <c r="BI92" s="19">
        <v>0</v>
      </c>
      <c r="BJ92" s="19">
        <v>0</v>
      </c>
      <c r="BK92" s="19">
        <f t="shared" ref="BK92:BK93" si="504">SUM(BC92:BJ92)</f>
        <v>1188</v>
      </c>
      <c r="BL92" s="19">
        <v>100</v>
      </c>
      <c r="BM92" s="19">
        <v>0</v>
      </c>
      <c r="BN92" s="19">
        <f t="shared" ref="BN92:BN93" si="505">BL92+BM92</f>
        <v>100</v>
      </c>
      <c r="BO92" s="19">
        <f t="shared" ref="BO92:BO93" si="506">BK92-BN92</f>
        <v>1088</v>
      </c>
      <c r="BP92" s="19">
        <v>0</v>
      </c>
      <c r="BQ92" s="19">
        <v>0</v>
      </c>
      <c r="BR92" s="22">
        <f t="shared" ref="BR92:BR93" si="507">SUM(BO92:BP92)-BQ92</f>
        <v>1088</v>
      </c>
      <c r="BS92" s="23">
        <f t="shared" si="230"/>
        <v>0</v>
      </c>
      <c r="BT92" s="24">
        <f t="shared" ref="BT92:BT93" si="508">BS92*0.5</f>
        <v>0</v>
      </c>
      <c r="BU92" s="24">
        <f t="shared" si="232"/>
        <v>0</v>
      </c>
      <c r="BV92" s="24">
        <f t="shared" ref="BV92:BV93" si="509">BU92*1</f>
        <v>0</v>
      </c>
      <c r="BW92" s="24">
        <f t="shared" si="234"/>
        <v>0</v>
      </c>
      <c r="BX92" s="24">
        <f t="shared" ref="BX92:BX93" si="510">BW92*1.5</f>
        <v>0</v>
      </c>
      <c r="BY92" s="24">
        <f t="shared" si="236"/>
        <v>8</v>
      </c>
      <c r="BZ92" s="24">
        <f t="shared" ref="BZ92:BZ93" si="511">BY92*2</f>
        <v>16</v>
      </c>
      <c r="CA92" s="24">
        <f t="shared" si="238"/>
        <v>0</v>
      </c>
      <c r="CB92" s="24">
        <f t="shared" ref="CB92:CB93" si="512">CA92*2.5</f>
        <v>0</v>
      </c>
      <c r="CC92" s="24">
        <f t="shared" si="240"/>
        <v>8</v>
      </c>
      <c r="CD92" s="24">
        <f t="shared" ref="CD92:CD93" si="513">CC92*3</f>
        <v>24</v>
      </c>
      <c r="CE92" s="24">
        <f t="shared" si="242"/>
        <v>0</v>
      </c>
      <c r="CF92" s="24">
        <f t="shared" ref="CF92:CF93" si="514">CE92*3.5</f>
        <v>0</v>
      </c>
      <c r="CG92" s="24">
        <f t="shared" si="244"/>
        <v>0</v>
      </c>
      <c r="CH92" s="24">
        <f t="shared" ref="CH92:CH93" si="515">CG92*4</f>
        <v>0</v>
      </c>
      <c r="CI92" s="24">
        <f t="shared" si="246"/>
        <v>0</v>
      </c>
      <c r="CJ92" s="24">
        <f t="shared" ref="CJ92:CJ93" si="516">CI92*4.5</f>
        <v>0</v>
      </c>
      <c r="CK92" s="24">
        <f t="shared" si="248"/>
        <v>0</v>
      </c>
      <c r="CL92" s="24">
        <f t="shared" ref="CL92:CL93" si="517">CK92*5</f>
        <v>0</v>
      </c>
      <c r="CM92" s="24">
        <f t="shared" si="250"/>
        <v>0</v>
      </c>
      <c r="CN92" s="24">
        <f t="shared" ref="CN92:CN93" si="518">CM92*5.5</f>
        <v>0</v>
      </c>
      <c r="CO92" s="24">
        <f t="shared" si="252"/>
        <v>0</v>
      </c>
      <c r="CP92" s="24">
        <f t="shared" ref="CP92:CP93" si="519">CO92*6</f>
        <v>0</v>
      </c>
      <c r="CQ92" s="24">
        <f t="shared" si="254"/>
        <v>0</v>
      </c>
      <c r="CR92" s="24">
        <f t="shared" ref="CR92:CR93" si="520">CQ92*6.5</f>
        <v>0</v>
      </c>
      <c r="CS92" s="24">
        <f t="shared" si="256"/>
        <v>0</v>
      </c>
      <c r="CT92" s="24">
        <f t="shared" ref="CT92:CT93" si="521">CS92*7</f>
        <v>0</v>
      </c>
      <c r="CU92" s="24">
        <f t="shared" si="258"/>
        <v>0</v>
      </c>
      <c r="CV92" s="24">
        <f t="shared" ref="CV92:CV93" si="522">CU92*7.5</f>
        <v>0</v>
      </c>
      <c r="CW92" s="24">
        <f t="shared" si="260"/>
        <v>0</v>
      </c>
      <c r="CX92" s="24">
        <f t="shared" ref="CX92:CX93" si="523">CW92*8</f>
        <v>0</v>
      </c>
      <c r="CY92" s="24">
        <f t="shared" si="262"/>
        <v>0</v>
      </c>
      <c r="CZ92" s="24">
        <f t="shared" ref="CZ92:CZ93" si="524">CY92*8.5</f>
        <v>0</v>
      </c>
      <c r="DA92" s="24">
        <f t="shared" si="264"/>
        <v>0</v>
      </c>
      <c r="DB92" s="24">
        <f t="shared" ref="DB92:DB93" si="525">DA92*9</f>
        <v>0</v>
      </c>
      <c r="DC92" s="24">
        <f t="shared" si="266"/>
        <v>0</v>
      </c>
      <c r="DD92" s="24">
        <f t="shared" ref="DD92:DD93" si="526">DC92*9.5</f>
        <v>0</v>
      </c>
      <c r="DE92" s="24">
        <f t="shared" si="268"/>
        <v>0</v>
      </c>
      <c r="DF92" s="24">
        <f t="shared" ref="DF92:DF93" si="527">DE92*10</f>
        <v>0</v>
      </c>
      <c r="DG92" s="24">
        <f t="shared" si="270"/>
        <v>0</v>
      </c>
      <c r="DH92" s="24">
        <f t="shared" ref="DH92:DH93" si="528">DG92*10.5</f>
        <v>0</v>
      </c>
      <c r="DI92" s="24">
        <f t="shared" si="272"/>
        <v>0</v>
      </c>
      <c r="DJ92" s="24">
        <f t="shared" ref="DJ92:DJ93" si="529">DI92*11</f>
        <v>0</v>
      </c>
      <c r="DK92" s="24">
        <f t="shared" si="274"/>
        <v>0</v>
      </c>
      <c r="DL92" s="24">
        <f t="shared" ref="DL92:DL93" si="530">DK92*11.5</f>
        <v>0</v>
      </c>
      <c r="DM92" s="24">
        <f t="shared" si="276"/>
        <v>0</v>
      </c>
      <c r="DN92" s="24">
        <f t="shared" ref="DN92:DN93" si="531">DM92*12</f>
        <v>0</v>
      </c>
      <c r="DO92" s="24">
        <f t="shared" si="278"/>
        <v>0</v>
      </c>
      <c r="DP92" s="24">
        <f t="shared" ref="DP92:DP93" si="532">DO92*12.5</f>
        <v>0</v>
      </c>
      <c r="DQ92" s="24">
        <f t="shared" si="280"/>
        <v>0</v>
      </c>
      <c r="DR92" s="24">
        <f t="shared" ref="DR92:DR93" si="533">DQ92*13</f>
        <v>0</v>
      </c>
      <c r="DS92" s="24">
        <f t="shared" si="282"/>
        <v>0</v>
      </c>
      <c r="DT92" s="24">
        <f t="shared" ref="DT92:DT93" si="534">DS92*13.5</f>
        <v>0</v>
      </c>
      <c r="DU92" s="24">
        <f t="shared" si="284"/>
        <v>0</v>
      </c>
      <c r="DV92" s="24">
        <f t="shared" ref="DV92:DV93" si="535">DU92*14</f>
        <v>0</v>
      </c>
      <c r="DW92" s="24">
        <f t="shared" si="286"/>
        <v>0</v>
      </c>
      <c r="DX92" s="24">
        <f t="shared" ref="DX92:DX93" si="536">DW92*14.5</f>
        <v>0</v>
      </c>
      <c r="DY92" s="24">
        <f t="shared" si="288"/>
        <v>0</v>
      </c>
      <c r="DZ92" s="24">
        <f t="shared" ref="DZ92:DZ93" si="537">DY92*15</f>
        <v>0</v>
      </c>
      <c r="EA92" s="24">
        <f t="shared" si="290"/>
        <v>0</v>
      </c>
      <c r="EB92" s="24">
        <f t="shared" ref="EB92:EB93" si="538">EA92*15.5</f>
        <v>0</v>
      </c>
      <c r="EC92" s="24">
        <f t="shared" si="292"/>
        <v>0</v>
      </c>
      <c r="ED92" s="24">
        <f t="shared" ref="ED92:ED93" si="539">EC92*16</f>
        <v>0</v>
      </c>
      <c r="EE92" s="97" t="s">
        <v>374</v>
      </c>
    </row>
    <row r="93" spans="1:135" s="2" customFormat="1" ht="18" customHeight="1" x14ac:dyDescent="0.25">
      <c r="A93" s="99">
        <v>90</v>
      </c>
      <c r="B93" s="110" t="s">
        <v>604</v>
      </c>
      <c r="C93" s="95" t="s">
        <v>607</v>
      </c>
      <c r="D93" s="102" t="s">
        <v>107</v>
      </c>
      <c r="E93" s="18">
        <v>45921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 t="s">
        <v>148</v>
      </c>
      <c r="AA93" s="19" t="s">
        <v>148</v>
      </c>
      <c r="AB93" s="19" t="s">
        <v>148</v>
      </c>
      <c r="AC93" s="19" t="s">
        <v>148</v>
      </c>
      <c r="AD93" s="19" t="s">
        <v>148</v>
      </c>
      <c r="AE93" s="19" t="s">
        <v>148</v>
      </c>
      <c r="AF93" s="19">
        <v>11</v>
      </c>
      <c r="AG93" s="19" t="s">
        <v>15</v>
      </c>
      <c r="AH93" s="19">
        <v>11</v>
      </c>
      <c r="AI93" s="19">
        <v>11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f t="shared" si="501"/>
        <v>9</v>
      </c>
      <c r="AU93" s="19">
        <f t="shared" si="502"/>
        <v>0</v>
      </c>
      <c r="AV93" s="19">
        <f t="shared" si="503"/>
        <v>0</v>
      </c>
      <c r="AW93" s="16">
        <f t="shared" si="227"/>
        <v>4</v>
      </c>
      <c r="AX93" s="16">
        <f t="shared" si="228"/>
        <v>0</v>
      </c>
      <c r="AY93" s="38">
        <f t="shared" si="229"/>
        <v>6</v>
      </c>
      <c r="AZ93" s="36">
        <v>1100</v>
      </c>
      <c r="BA93" s="20">
        <v>100</v>
      </c>
      <c r="BB93" s="21">
        <v>0</v>
      </c>
      <c r="BC93" s="19">
        <f t="shared" si="300"/>
        <v>147</v>
      </c>
      <c r="BD93" s="19">
        <f t="shared" si="301"/>
        <v>13</v>
      </c>
      <c r="BE93" s="19">
        <f t="shared" si="302"/>
        <v>52</v>
      </c>
      <c r="BF93" s="19">
        <f t="shared" si="303"/>
        <v>0</v>
      </c>
      <c r="BG93" s="19">
        <f t="shared" si="304"/>
        <v>220</v>
      </c>
      <c r="BH93" s="19">
        <f t="shared" si="305"/>
        <v>20</v>
      </c>
      <c r="BI93" s="19">
        <v>0</v>
      </c>
      <c r="BJ93" s="19">
        <v>0</v>
      </c>
      <c r="BK93" s="19">
        <f t="shared" si="504"/>
        <v>452</v>
      </c>
      <c r="BL93" s="19">
        <v>0</v>
      </c>
      <c r="BM93" s="19">
        <v>0</v>
      </c>
      <c r="BN93" s="19">
        <f t="shared" si="505"/>
        <v>0</v>
      </c>
      <c r="BO93" s="19">
        <f t="shared" si="506"/>
        <v>452</v>
      </c>
      <c r="BP93" s="19">
        <v>0</v>
      </c>
      <c r="BQ93" s="19">
        <v>0</v>
      </c>
      <c r="BR93" s="22">
        <f t="shared" si="507"/>
        <v>452</v>
      </c>
      <c r="BS93" s="23">
        <f t="shared" si="230"/>
        <v>0</v>
      </c>
      <c r="BT93" s="24">
        <f t="shared" si="508"/>
        <v>0</v>
      </c>
      <c r="BU93" s="24">
        <f t="shared" si="232"/>
        <v>0</v>
      </c>
      <c r="BV93" s="24">
        <f t="shared" si="509"/>
        <v>0</v>
      </c>
      <c r="BW93" s="24">
        <f t="shared" si="234"/>
        <v>0</v>
      </c>
      <c r="BX93" s="24">
        <f t="shared" si="510"/>
        <v>0</v>
      </c>
      <c r="BY93" s="24">
        <f t="shared" si="236"/>
        <v>0</v>
      </c>
      <c r="BZ93" s="24">
        <f t="shared" si="511"/>
        <v>0</v>
      </c>
      <c r="CA93" s="24">
        <f t="shared" si="238"/>
        <v>0</v>
      </c>
      <c r="CB93" s="24">
        <f t="shared" si="512"/>
        <v>0</v>
      </c>
      <c r="CC93" s="24">
        <f t="shared" si="240"/>
        <v>3</v>
      </c>
      <c r="CD93" s="24">
        <f t="shared" si="513"/>
        <v>9</v>
      </c>
      <c r="CE93" s="24">
        <f t="shared" si="242"/>
        <v>0</v>
      </c>
      <c r="CF93" s="24">
        <f t="shared" si="514"/>
        <v>0</v>
      </c>
      <c r="CG93" s="24">
        <f t="shared" si="244"/>
        <v>0</v>
      </c>
      <c r="CH93" s="24">
        <f t="shared" si="515"/>
        <v>0</v>
      </c>
      <c r="CI93" s="24">
        <f t="shared" si="246"/>
        <v>0</v>
      </c>
      <c r="CJ93" s="24">
        <f t="shared" si="516"/>
        <v>0</v>
      </c>
      <c r="CK93" s="24">
        <f t="shared" si="248"/>
        <v>0</v>
      </c>
      <c r="CL93" s="24">
        <f t="shared" si="517"/>
        <v>0</v>
      </c>
      <c r="CM93" s="24">
        <f t="shared" si="250"/>
        <v>0</v>
      </c>
      <c r="CN93" s="24">
        <f t="shared" si="518"/>
        <v>0</v>
      </c>
      <c r="CO93" s="24">
        <f t="shared" si="252"/>
        <v>0</v>
      </c>
      <c r="CP93" s="24">
        <f t="shared" si="519"/>
        <v>0</v>
      </c>
      <c r="CQ93" s="24">
        <f t="shared" si="254"/>
        <v>0</v>
      </c>
      <c r="CR93" s="24">
        <f t="shared" si="520"/>
        <v>0</v>
      </c>
      <c r="CS93" s="24">
        <f t="shared" si="256"/>
        <v>0</v>
      </c>
      <c r="CT93" s="24">
        <f t="shared" si="521"/>
        <v>0</v>
      </c>
      <c r="CU93" s="24">
        <f t="shared" si="258"/>
        <v>0</v>
      </c>
      <c r="CV93" s="24">
        <f t="shared" si="522"/>
        <v>0</v>
      </c>
      <c r="CW93" s="24">
        <f t="shared" si="260"/>
        <v>0</v>
      </c>
      <c r="CX93" s="24">
        <f t="shared" si="523"/>
        <v>0</v>
      </c>
      <c r="CY93" s="24">
        <f t="shared" si="262"/>
        <v>0</v>
      </c>
      <c r="CZ93" s="24">
        <f t="shared" si="524"/>
        <v>0</v>
      </c>
      <c r="DA93" s="24">
        <f t="shared" si="264"/>
        <v>0</v>
      </c>
      <c r="DB93" s="24">
        <f t="shared" si="525"/>
        <v>0</v>
      </c>
      <c r="DC93" s="24">
        <f t="shared" si="266"/>
        <v>0</v>
      </c>
      <c r="DD93" s="24">
        <f t="shared" si="526"/>
        <v>0</v>
      </c>
      <c r="DE93" s="24">
        <f t="shared" si="268"/>
        <v>0</v>
      </c>
      <c r="DF93" s="24">
        <f t="shared" si="527"/>
        <v>0</v>
      </c>
      <c r="DG93" s="24">
        <f t="shared" si="270"/>
        <v>0</v>
      </c>
      <c r="DH93" s="24">
        <f t="shared" si="528"/>
        <v>0</v>
      </c>
      <c r="DI93" s="24">
        <f t="shared" si="272"/>
        <v>0</v>
      </c>
      <c r="DJ93" s="24">
        <f t="shared" si="529"/>
        <v>0</v>
      </c>
      <c r="DK93" s="24">
        <f t="shared" si="274"/>
        <v>0</v>
      </c>
      <c r="DL93" s="24">
        <f t="shared" si="530"/>
        <v>0</v>
      </c>
      <c r="DM93" s="24">
        <f t="shared" si="276"/>
        <v>0</v>
      </c>
      <c r="DN93" s="24">
        <f t="shared" si="531"/>
        <v>0</v>
      </c>
      <c r="DO93" s="24">
        <f t="shared" si="278"/>
        <v>0</v>
      </c>
      <c r="DP93" s="24">
        <f t="shared" si="532"/>
        <v>0</v>
      </c>
      <c r="DQ93" s="24">
        <f t="shared" si="280"/>
        <v>0</v>
      </c>
      <c r="DR93" s="24">
        <f t="shared" si="533"/>
        <v>0</v>
      </c>
      <c r="DS93" s="24">
        <f t="shared" si="282"/>
        <v>0</v>
      </c>
      <c r="DT93" s="24">
        <f t="shared" si="534"/>
        <v>0</v>
      </c>
      <c r="DU93" s="24">
        <f t="shared" si="284"/>
        <v>0</v>
      </c>
      <c r="DV93" s="24">
        <f t="shared" si="535"/>
        <v>0</v>
      </c>
      <c r="DW93" s="24">
        <f t="shared" si="286"/>
        <v>0</v>
      </c>
      <c r="DX93" s="24">
        <f t="shared" si="536"/>
        <v>0</v>
      </c>
      <c r="DY93" s="24">
        <f t="shared" si="288"/>
        <v>0</v>
      </c>
      <c r="DZ93" s="24">
        <f t="shared" si="537"/>
        <v>0</v>
      </c>
      <c r="EA93" s="24">
        <f t="shared" si="290"/>
        <v>0</v>
      </c>
      <c r="EB93" s="24">
        <f t="shared" si="538"/>
        <v>0</v>
      </c>
      <c r="EC93" s="24">
        <f t="shared" si="292"/>
        <v>0</v>
      </c>
      <c r="ED93" s="24">
        <f t="shared" si="539"/>
        <v>0</v>
      </c>
      <c r="EE93" s="97" t="s">
        <v>374</v>
      </c>
    </row>
    <row r="94" spans="1:135" s="2" customFormat="1" ht="18" customHeight="1" x14ac:dyDescent="0.25">
      <c r="A94" s="99">
        <v>91</v>
      </c>
      <c r="B94" s="110" t="s">
        <v>605</v>
      </c>
      <c r="C94" s="95" t="s">
        <v>606</v>
      </c>
      <c r="D94" s="102" t="s">
        <v>107</v>
      </c>
      <c r="E94" s="18">
        <v>45921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 t="s">
        <v>148</v>
      </c>
      <c r="AA94" s="19" t="s">
        <v>148</v>
      </c>
      <c r="AB94" s="19" t="s">
        <v>148</v>
      </c>
      <c r="AC94" s="19" t="s">
        <v>148</v>
      </c>
      <c r="AD94" s="19">
        <v>10</v>
      </c>
      <c r="AE94" s="19">
        <v>12</v>
      </c>
      <c r="AF94" s="19">
        <v>11</v>
      </c>
      <c r="AG94" s="19" t="s">
        <v>15</v>
      </c>
      <c r="AH94" s="19">
        <v>11</v>
      </c>
      <c r="AI94" s="19">
        <v>11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f t="shared" ref="AT94" si="540">SUM(BT94+BV94+BX94+BZ94+CB94+CD94+CF94+CH94+CJ94+CL94+CN94+CP94+CR94+CT94+CV94+CX94+CZ94+DB94+DD94+DF94+DH94+DJ94+DL94+DN94+DP94+DR94+DT94+DV94+DX94+DZ94+EB94+ED94)</f>
        <v>15</v>
      </c>
      <c r="AU94" s="19">
        <f t="shared" ref="AU94" si="541">SUM(AJ94:AN94)</f>
        <v>0</v>
      </c>
      <c r="AV94" s="19">
        <f t="shared" ref="AV94" si="542">SUM(AO94:AS94)</f>
        <v>0</v>
      </c>
      <c r="AW94" s="16">
        <f t="shared" si="227"/>
        <v>6</v>
      </c>
      <c r="AX94" s="16">
        <f t="shared" si="228"/>
        <v>0</v>
      </c>
      <c r="AY94" s="38">
        <f t="shared" si="229"/>
        <v>4</v>
      </c>
      <c r="AZ94" s="36">
        <v>900</v>
      </c>
      <c r="BA94" s="20">
        <v>100</v>
      </c>
      <c r="BB94" s="21">
        <v>0</v>
      </c>
      <c r="BC94" s="19">
        <f t="shared" si="300"/>
        <v>180</v>
      </c>
      <c r="BD94" s="19">
        <f t="shared" si="301"/>
        <v>20</v>
      </c>
      <c r="BE94" s="19">
        <f t="shared" si="302"/>
        <v>70</v>
      </c>
      <c r="BF94" s="19">
        <f t="shared" si="303"/>
        <v>0</v>
      </c>
      <c r="BG94" s="19">
        <f t="shared" si="304"/>
        <v>120</v>
      </c>
      <c r="BH94" s="19">
        <f t="shared" si="305"/>
        <v>13</v>
      </c>
      <c r="BI94" s="19">
        <v>0</v>
      </c>
      <c r="BJ94" s="19">
        <v>0</v>
      </c>
      <c r="BK94" s="19">
        <f t="shared" ref="BK94" si="543">SUM(BC94:BJ94)</f>
        <v>403</v>
      </c>
      <c r="BL94" s="19">
        <v>0</v>
      </c>
      <c r="BM94" s="19">
        <v>0</v>
      </c>
      <c r="BN94" s="19">
        <f t="shared" ref="BN94" si="544">BL94+BM94</f>
        <v>0</v>
      </c>
      <c r="BO94" s="19">
        <f t="shared" ref="BO94" si="545">BK94-BN94</f>
        <v>403</v>
      </c>
      <c r="BP94" s="19">
        <v>0</v>
      </c>
      <c r="BQ94" s="19">
        <v>0</v>
      </c>
      <c r="BR94" s="22">
        <f t="shared" ref="BR94" si="546">SUM(BO94:BP94)-BQ94</f>
        <v>403</v>
      </c>
      <c r="BS94" s="23">
        <f t="shared" si="230"/>
        <v>0</v>
      </c>
      <c r="BT94" s="24">
        <f t="shared" ref="BT94" si="547">BS94*0.5</f>
        <v>0</v>
      </c>
      <c r="BU94" s="24">
        <f t="shared" si="232"/>
        <v>0</v>
      </c>
      <c r="BV94" s="24">
        <f t="shared" ref="BV94" si="548">BU94*1</f>
        <v>0</v>
      </c>
      <c r="BW94" s="24">
        <f t="shared" si="234"/>
        <v>0</v>
      </c>
      <c r="BX94" s="24">
        <f t="shared" ref="BX94" si="549">BW94*1.5</f>
        <v>0</v>
      </c>
      <c r="BY94" s="24">
        <f t="shared" si="236"/>
        <v>1</v>
      </c>
      <c r="BZ94" s="24">
        <f t="shared" ref="BZ94" si="550">BY94*2</f>
        <v>2</v>
      </c>
      <c r="CA94" s="24">
        <f t="shared" si="238"/>
        <v>0</v>
      </c>
      <c r="CB94" s="24">
        <f t="shared" ref="CB94" si="551">CA94*2.5</f>
        <v>0</v>
      </c>
      <c r="CC94" s="24">
        <f t="shared" si="240"/>
        <v>3</v>
      </c>
      <c r="CD94" s="24">
        <f t="shared" ref="CD94" si="552">CC94*3</f>
        <v>9</v>
      </c>
      <c r="CE94" s="24">
        <f t="shared" si="242"/>
        <v>0</v>
      </c>
      <c r="CF94" s="24">
        <f t="shared" ref="CF94" si="553">CE94*3.5</f>
        <v>0</v>
      </c>
      <c r="CG94" s="24">
        <f t="shared" si="244"/>
        <v>1</v>
      </c>
      <c r="CH94" s="24">
        <f t="shared" ref="CH94" si="554">CG94*4</f>
        <v>4</v>
      </c>
      <c r="CI94" s="24">
        <f t="shared" si="246"/>
        <v>0</v>
      </c>
      <c r="CJ94" s="24">
        <f t="shared" ref="CJ94" si="555">CI94*4.5</f>
        <v>0</v>
      </c>
      <c r="CK94" s="24">
        <f t="shared" si="248"/>
        <v>0</v>
      </c>
      <c r="CL94" s="24">
        <f t="shared" ref="CL94" si="556">CK94*5</f>
        <v>0</v>
      </c>
      <c r="CM94" s="24">
        <f t="shared" si="250"/>
        <v>0</v>
      </c>
      <c r="CN94" s="24">
        <f t="shared" ref="CN94" si="557">CM94*5.5</f>
        <v>0</v>
      </c>
      <c r="CO94" s="24">
        <f t="shared" si="252"/>
        <v>0</v>
      </c>
      <c r="CP94" s="24">
        <f t="shared" ref="CP94" si="558">CO94*6</f>
        <v>0</v>
      </c>
      <c r="CQ94" s="24">
        <f t="shared" si="254"/>
        <v>0</v>
      </c>
      <c r="CR94" s="24">
        <f t="shared" ref="CR94" si="559">CQ94*6.5</f>
        <v>0</v>
      </c>
      <c r="CS94" s="24">
        <f t="shared" si="256"/>
        <v>0</v>
      </c>
      <c r="CT94" s="24">
        <f t="shared" ref="CT94" si="560">CS94*7</f>
        <v>0</v>
      </c>
      <c r="CU94" s="24">
        <f t="shared" si="258"/>
        <v>0</v>
      </c>
      <c r="CV94" s="24">
        <f t="shared" ref="CV94" si="561">CU94*7.5</f>
        <v>0</v>
      </c>
      <c r="CW94" s="24">
        <f t="shared" si="260"/>
        <v>0</v>
      </c>
      <c r="CX94" s="24">
        <f t="shared" ref="CX94" si="562">CW94*8</f>
        <v>0</v>
      </c>
      <c r="CY94" s="24">
        <f t="shared" si="262"/>
        <v>0</v>
      </c>
      <c r="CZ94" s="24">
        <f t="shared" ref="CZ94" si="563">CY94*8.5</f>
        <v>0</v>
      </c>
      <c r="DA94" s="24">
        <f t="shared" si="264"/>
        <v>0</v>
      </c>
      <c r="DB94" s="24">
        <f t="shared" ref="DB94" si="564">DA94*9</f>
        <v>0</v>
      </c>
      <c r="DC94" s="24">
        <f t="shared" si="266"/>
        <v>0</v>
      </c>
      <c r="DD94" s="24">
        <f t="shared" ref="DD94" si="565">DC94*9.5</f>
        <v>0</v>
      </c>
      <c r="DE94" s="24">
        <f t="shared" si="268"/>
        <v>0</v>
      </c>
      <c r="DF94" s="24">
        <f t="shared" ref="DF94" si="566">DE94*10</f>
        <v>0</v>
      </c>
      <c r="DG94" s="24">
        <f t="shared" si="270"/>
        <v>0</v>
      </c>
      <c r="DH94" s="24">
        <f t="shared" ref="DH94" si="567">DG94*10.5</f>
        <v>0</v>
      </c>
      <c r="DI94" s="24">
        <f t="shared" si="272"/>
        <v>0</v>
      </c>
      <c r="DJ94" s="24">
        <f t="shared" ref="DJ94" si="568">DI94*11</f>
        <v>0</v>
      </c>
      <c r="DK94" s="24">
        <f t="shared" si="274"/>
        <v>0</v>
      </c>
      <c r="DL94" s="24">
        <f t="shared" ref="DL94" si="569">DK94*11.5</f>
        <v>0</v>
      </c>
      <c r="DM94" s="24">
        <f t="shared" si="276"/>
        <v>0</v>
      </c>
      <c r="DN94" s="24">
        <f t="shared" ref="DN94" si="570">DM94*12</f>
        <v>0</v>
      </c>
      <c r="DO94" s="24">
        <f t="shared" si="278"/>
        <v>0</v>
      </c>
      <c r="DP94" s="24">
        <f t="shared" ref="DP94" si="571">DO94*12.5</f>
        <v>0</v>
      </c>
      <c r="DQ94" s="24">
        <f t="shared" si="280"/>
        <v>0</v>
      </c>
      <c r="DR94" s="24">
        <f t="shared" ref="DR94" si="572">DQ94*13</f>
        <v>0</v>
      </c>
      <c r="DS94" s="24">
        <f t="shared" si="282"/>
        <v>0</v>
      </c>
      <c r="DT94" s="24">
        <f t="shared" ref="DT94" si="573">DS94*13.5</f>
        <v>0</v>
      </c>
      <c r="DU94" s="24">
        <f t="shared" si="284"/>
        <v>0</v>
      </c>
      <c r="DV94" s="24">
        <f t="shared" ref="DV94" si="574">DU94*14</f>
        <v>0</v>
      </c>
      <c r="DW94" s="24">
        <f t="shared" si="286"/>
        <v>0</v>
      </c>
      <c r="DX94" s="24">
        <f t="shared" ref="DX94" si="575">DW94*14.5</f>
        <v>0</v>
      </c>
      <c r="DY94" s="24">
        <f t="shared" si="288"/>
        <v>0</v>
      </c>
      <c r="DZ94" s="24">
        <f t="shared" ref="DZ94" si="576">DY94*15</f>
        <v>0</v>
      </c>
      <c r="EA94" s="24">
        <f t="shared" si="290"/>
        <v>0</v>
      </c>
      <c r="EB94" s="24">
        <f t="shared" ref="EB94" si="577">EA94*15.5</f>
        <v>0</v>
      </c>
      <c r="EC94" s="24">
        <f t="shared" si="292"/>
        <v>0</v>
      </c>
      <c r="ED94" s="24">
        <f t="shared" ref="ED94" si="578">EC94*16</f>
        <v>0</v>
      </c>
      <c r="EE94" s="97" t="s">
        <v>374</v>
      </c>
    </row>
    <row r="95" spans="1:135" s="2" customFormat="1" ht="18" customHeight="1" x14ac:dyDescent="0.25">
      <c r="A95" s="27">
        <v>92</v>
      </c>
      <c r="B95" s="128" t="s">
        <v>394</v>
      </c>
      <c r="C95" s="149" t="s">
        <v>347</v>
      </c>
      <c r="D95" s="52" t="s">
        <v>107</v>
      </c>
      <c r="E95" s="18">
        <v>45481</v>
      </c>
      <c r="F95" s="19">
        <v>11</v>
      </c>
      <c r="G95" s="19">
        <v>11</v>
      </c>
      <c r="H95" s="19">
        <v>11</v>
      </c>
      <c r="I95" s="19">
        <v>11</v>
      </c>
      <c r="J95" s="19" t="s">
        <v>603</v>
      </c>
      <c r="K95" s="19">
        <v>11</v>
      </c>
      <c r="L95" s="19" t="s">
        <v>15</v>
      </c>
      <c r="M95" s="19">
        <v>11</v>
      </c>
      <c r="N95" s="19">
        <v>11</v>
      </c>
      <c r="O95" s="19" t="s">
        <v>316</v>
      </c>
      <c r="P95" s="19" t="s">
        <v>316</v>
      </c>
      <c r="Q95" s="19">
        <v>11</v>
      </c>
      <c r="R95" s="19">
        <v>11</v>
      </c>
      <c r="S95" s="19" t="s">
        <v>316</v>
      </c>
      <c r="T95" s="19" t="s">
        <v>316</v>
      </c>
      <c r="U95" s="19" t="s">
        <v>316</v>
      </c>
      <c r="V95" s="19">
        <v>11</v>
      </c>
      <c r="W95" s="19">
        <v>11</v>
      </c>
      <c r="X95" s="19">
        <v>11</v>
      </c>
      <c r="Y95" s="19">
        <v>11</v>
      </c>
      <c r="Z95" s="19" t="s">
        <v>316</v>
      </c>
      <c r="AA95" s="19">
        <v>11</v>
      </c>
      <c r="AB95" s="19">
        <v>11</v>
      </c>
      <c r="AC95" s="19">
        <v>11</v>
      </c>
      <c r="AD95" s="19">
        <v>11</v>
      </c>
      <c r="AE95" s="19">
        <v>11</v>
      </c>
      <c r="AF95" s="19" t="s">
        <v>316</v>
      </c>
      <c r="AG95" s="19" t="s">
        <v>316</v>
      </c>
      <c r="AH95" s="19" t="s">
        <v>316</v>
      </c>
      <c r="AI95" s="19">
        <v>11</v>
      </c>
      <c r="AJ95" s="19">
        <v>11</v>
      </c>
      <c r="AK95" s="19">
        <v>0</v>
      </c>
      <c r="AL95" s="19">
        <v>0</v>
      </c>
      <c r="AM95" s="19">
        <v>0</v>
      </c>
      <c r="AN95" s="19">
        <v>0</v>
      </c>
      <c r="AO95" s="19">
        <v>11</v>
      </c>
      <c r="AP95" s="19">
        <v>0</v>
      </c>
      <c r="AQ95" s="19">
        <v>0</v>
      </c>
      <c r="AR95" s="19">
        <v>0</v>
      </c>
      <c r="AS95" s="19">
        <v>0</v>
      </c>
      <c r="AT95" s="19">
        <f>SUM(BT95+BV95+BX95+BZ95+CB95+CD95+CF95+CH95+CJ95+CL95+CN95+CP95+CR95+CT95+CV95+CX95+CZ95+DB95+DD95+DF95+DH95+DJ95+DL95+DN95+DP95+DR95+DT95+DV95+DX95+DZ95+EB95+ED95)</f>
        <v>57</v>
      </c>
      <c r="AU95" s="19">
        <f>SUM(AJ95:AN95)</f>
        <v>11</v>
      </c>
      <c r="AV95" s="19">
        <f>SUM(AO95:AS95)</f>
        <v>11</v>
      </c>
      <c r="AW95" s="16">
        <f>COUNTIF(F95:AI95,"8")+COUNTIF(F95:AI95,"8.5")+COUNTIF(F95:AI95,"9")+COUNTIF(F95:AI95,"9.5")+COUNTIF(F95:AI95,"10")+COUNTIF(F95:AI95,"10.5")+COUNTIF(F95:AI95,"11")+COUNTIF(F95:AI95,"11.5")+COUNTIF(F95:AI95,"12")+COUNTIF(F95:AI95,"12.5")+COUNTIF(F95:AI95,"13")+COUNTIF(F95:AI95,"13.5")+COUNTIF(F95:AI95,"14")+COUNTIF(F95:AI95,"14.5")+COUNTIF(F95:AI95,"15")+COUNTIF(F95:AI95,"15.5")+COUNTIF(F95:AI95,"16")+COUNTIF(F95:AI95,"16.5")+COUNTIF(F95:AI95,"17")+COUNTIF(F95:AI95,"17.5")+COUNTIF(F95:AI95,"18")+COUNTIF(F95:AI95,"18.5")+COUNTIF(F95:AI95,"19")+COUNTIF(F95:AI95,"19.5")+COUNTIF(F95:AI95,"20")+COUNTIF(F95:AI95,"20.5")+COUNTIF(F95:AI95,"21")+COUNTIF(F95:AI95,"21.5")+COUNTIF(F95:AI95,"22")+COUNTIF(F95:AI95,"22.5")+COUNTIF(F95:AI95,"23")+COUNTIF(F95:AI95,"23.5")+COUNTIF(F95:AI95,"24")+COUNTIF(F95:AI95,"S")+COUNTIF(F95:AI95,"PH")+COUNTIF(F95:AI95,"ML")+COUNTIF(F95:AI95,"OD")</f>
        <v>21</v>
      </c>
      <c r="AX95" s="16">
        <f>COUNTIF(F95:AI95,"A")</f>
        <v>9</v>
      </c>
      <c r="AY95" s="38">
        <f>COUNTIF(F95:AI95,"ID")</f>
        <v>0</v>
      </c>
      <c r="AZ95" s="36">
        <v>950</v>
      </c>
      <c r="BA95" s="20">
        <v>100</v>
      </c>
      <c r="BB95" s="21">
        <v>0</v>
      </c>
      <c r="BC95" s="19">
        <f>MROUND(AZ95/30*AW95, 1)</f>
        <v>665</v>
      </c>
      <c r="BD95" s="19">
        <f>MROUND(BA95/30*AW95, 1)</f>
        <v>70</v>
      </c>
      <c r="BE95" s="19">
        <f>MROUND((AZ95/30/8*1.25*AT95)+(AZ95/30/8*1.5*AU95)+(AZ95/30/8*1.5*AV95), 1)</f>
        <v>413</v>
      </c>
      <c r="BF95" s="19">
        <f>MROUND(BB95/30*AW95, 1)</f>
        <v>0</v>
      </c>
      <c r="BG95" s="19">
        <f>MROUND(AZ95/30*AY95, 1)</f>
        <v>0</v>
      </c>
      <c r="BH95" s="19">
        <f>MROUND(BA95/30*AY95, 1)</f>
        <v>0</v>
      </c>
      <c r="BI95" s="19">
        <v>0</v>
      </c>
      <c r="BJ95" s="19">
        <v>0</v>
      </c>
      <c r="BK95" s="19">
        <f>SUM(BC95:BJ95)</f>
        <v>1148</v>
      </c>
      <c r="BL95" s="19">
        <v>0</v>
      </c>
      <c r="BM95" s="19">
        <v>0</v>
      </c>
      <c r="BN95" s="19">
        <f>BL95+BM95</f>
        <v>0</v>
      </c>
      <c r="BO95" s="19">
        <f>BK95-BN95</f>
        <v>1148</v>
      </c>
      <c r="BP95" s="19">
        <v>0</v>
      </c>
      <c r="BQ95" s="19">
        <v>0</v>
      </c>
      <c r="BR95" s="22">
        <f>SUM(BO95:BP95)-BQ95</f>
        <v>1148</v>
      </c>
      <c r="BS95" s="23">
        <f>COUNTIF(F95:AI95, "8.5")</f>
        <v>0</v>
      </c>
      <c r="BT95" s="24">
        <f>BS95*0.5</f>
        <v>0</v>
      </c>
      <c r="BU95" s="24">
        <f>COUNTIF(F95:AI95, "9")</f>
        <v>0</v>
      </c>
      <c r="BV95" s="24">
        <f>BU95*1</f>
        <v>0</v>
      </c>
      <c r="BW95" s="24">
        <f>COUNTIF(F95:AI95, "9.5")</f>
        <v>0</v>
      </c>
      <c r="BX95" s="24">
        <f>BW95*1.5</f>
        <v>0</v>
      </c>
      <c r="BY95" s="24">
        <f>COUNTIF(F95:AI95, "10")</f>
        <v>0</v>
      </c>
      <c r="BZ95" s="24">
        <f>BY95*2</f>
        <v>0</v>
      </c>
      <c r="CA95" s="24">
        <f>COUNTIF(F95:AI95, "10.5")</f>
        <v>0</v>
      </c>
      <c r="CB95" s="24">
        <f>CA95*2.5</f>
        <v>0</v>
      </c>
      <c r="CC95" s="24">
        <f>COUNTIF(F95:AI95, "11")</f>
        <v>19</v>
      </c>
      <c r="CD95" s="24">
        <f>CC95*3</f>
        <v>57</v>
      </c>
      <c r="CE95" s="24">
        <f>COUNTIF(F95:AI95, "11.5")</f>
        <v>0</v>
      </c>
      <c r="CF95" s="24">
        <f>CE95*3.5</f>
        <v>0</v>
      </c>
      <c r="CG95" s="24">
        <f>COUNTIF(F95:AI95, "12")</f>
        <v>0</v>
      </c>
      <c r="CH95" s="24">
        <f>CG95*4</f>
        <v>0</v>
      </c>
      <c r="CI95" s="24">
        <f>COUNTIF(F95:AI95, "12.5")</f>
        <v>0</v>
      </c>
      <c r="CJ95" s="24">
        <f>CI95*4.5</f>
        <v>0</v>
      </c>
      <c r="CK95" s="24">
        <f>COUNTIF(F95:AI95, "13")</f>
        <v>0</v>
      </c>
      <c r="CL95" s="24">
        <f>CK95*5</f>
        <v>0</v>
      </c>
      <c r="CM95" s="24">
        <f>COUNTIF(F95:AI95, "13.5")</f>
        <v>0</v>
      </c>
      <c r="CN95" s="24">
        <f>CM95*5.5</f>
        <v>0</v>
      </c>
      <c r="CO95" s="24">
        <f>COUNTIF(F95:AI95, "14")</f>
        <v>0</v>
      </c>
      <c r="CP95" s="24">
        <f>CO95*6</f>
        <v>0</v>
      </c>
      <c r="CQ95" s="24">
        <f>COUNTIF(F95:AI95, "14.5")</f>
        <v>0</v>
      </c>
      <c r="CR95" s="24">
        <f>CQ95*6.5</f>
        <v>0</v>
      </c>
      <c r="CS95" s="24">
        <f>COUNTIF(F95:AI95, "15")</f>
        <v>0</v>
      </c>
      <c r="CT95" s="24">
        <f>CS95*7</f>
        <v>0</v>
      </c>
      <c r="CU95" s="24">
        <f>COUNTIF(F95:AI95, "15.5")</f>
        <v>0</v>
      </c>
      <c r="CV95" s="24">
        <f>CU95*7.5</f>
        <v>0</v>
      </c>
      <c r="CW95" s="24">
        <f>COUNTIF(F95:AI95, "16")</f>
        <v>0</v>
      </c>
      <c r="CX95" s="24">
        <f>CW95*8</f>
        <v>0</v>
      </c>
      <c r="CY95" s="24">
        <f>COUNTIF(F95:AI95, "16.5")</f>
        <v>0</v>
      </c>
      <c r="CZ95" s="24">
        <f>CY95*8.5</f>
        <v>0</v>
      </c>
      <c r="DA95" s="24">
        <f>COUNTIF(F95:AI95, "17")</f>
        <v>0</v>
      </c>
      <c r="DB95" s="24">
        <f>DA95*9</f>
        <v>0</v>
      </c>
      <c r="DC95" s="24">
        <f>COUNTIF(F95:AI95, "17.5")</f>
        <v>0</v>
      </c>
      <c r="DD95" s="24">
        <f>DC95*9.5</f>
        <v>0</v>
      </c>
      <c r="DE95" s="24">
        <f>COUNTIF(F95:AI95, "18")</f>
        <v>0</v>
      </c>
      <c r="DF95" s="24">
        <f>DE95*10</f>
        <v>0</v>
      </c>
      <c r="DG95" s="24">
        <f>COUNTIF(F95:AI95, "18.5")</f>
        <v>0</v>
      </c>
      <c r="DH95" s="24">
        <f>DG95*10.5</f>
        <v>0</v>
      </c>
      <c r="DI95" s="24">
        <f>COUNTIF(F95:AI95, "19")</f>
        <v>0</v>
      </c>
      <c r="DJ95" s="24">
        <f>DI95*11</f>
        <v>0</v>
      </c>
      <c r="DK95" s="24">
        <f>COUNTIF(F95:AI95, "19.5")</f>
        <v>0</v>
      </c>
      <c r="DL95" s="24">
        <f>DK95*11.5</f>
        <v>0</v>
      </c>
      <c r="DM95" s="24">
        <f>COUNTIF(F95:AI95, "20")</f>
        <v>0</v>
      </c>
      <c r="DN95" s="24">
        <f>DM95*12</f>
        <v>0</v>
      </c>
      <c r="DO95" s="24">
        <f>COUNTIF(F95:AI95, "20.5")</f>
        <v>0</v>
      </c>
      <c r="DP95" s="24">
        <f>DO95*12.5</f>
        <v>0</v>
      </c>
      <c r="DQ95" s="24">
        <f>COUNTIF(F95:AI95, "21")</f>
        <v>0</v>
      </c>
      <c r="DR95" s="24">
        <f>DQ95*13</f>
        <v>0</v>
      </c>
      <c r="DS95" s="24">
        <f>COUNTIF(F95:AI95, "21.5")</f>
        <v>0</v>
      </c>
      <c r="DT95" s="24">
        <f>DS95*13.5</f>
        <v>0</v>
      </c>
      <c r="DU95" s="24">
        <f>COUNTIF(F95:AI95, "22")</f>
        <v>0</v>
      </c>
      <c r="DV95" s="24">
        <f>DU95*14</f>
        <v>0</v>
      </c>
      <c r="DW95" s="24">
        <f>COUNTIF(F95:AI95, "22.5")</f>
        <v>0</v>
      </c>
      <c r="DX95" s="24">
        <f>DW95*14.5</f>
        <v>0</v>
      </c>
      <c r="DY95" s="24">
        <f>COUNTIF(F95:AI95, "23")</f>
        <v>0</v>
      </c>
      <c r="DZ95" s="24">
        <f>DY95*15</f>
        <v>0</v>
      </c>
      <c r="EA95" s="24">
        <f>COUNTIF(F95:AI95, "23.5")</f>
        <v>0</v>
      </c>
      <c r="EB95" s="24">
        <f>EA95*15.5</f>
        <v>0</v>
      </c>
      <c r="EC95" s="24">
        <f>COUNTIF(F95:AI95, "24")</f>
        <v>0</v>
      </c>
      <c r="ED95" s="24">
        <f>EC95*16</f>
        <v>0</v>
      </c>
      <c r="EE95" s="152" t="s">
        <v>553</v>
      </c>
    </row>
    <row r="96" spans="1:135" s="2" customFormat="1" ht="18" customHeight="1" x14ac:dyDescent="0.25">
      <c r="A96" s="27">
        <v>93</v>
      </c>
      <c r="B96" s="119" t="s">
        <v>110</v>
      </c>
      <c r="C96" s="120" t="s">
        <v>111</v>
      </c>
      <c r="D96" s="103" t="s">
        <v>107</v>
      </c>
      <c r="E96" s="18">
        <v>44984</v>
      </c>
      <c r="F96" s="19" t="s">
        <v>473</v>
      </c>
      <c r="G96" s="19" t="s">
        <v>473</v>
      </c>
      <c r="H96" s="19" t="s">
        <v>473</v>
      </c>
      <c r="I96" s="19" t="s">
        <v>473</v>
      </c>
      <c r="J96" s="19" t="s">
        <v>473</v>
      </c>
      <c r="K96" s="19" t="s">
        <v>473</v>
      </c>
      <c r="L96" s="19" t="s">
        <v>473</v>
      </c>
      <c r="M96" s="19" t="s">
        <v>473</v>
      </c>
      <c r="N96" s="19" t="s">
        <v>473</v>
      </c>
      <c r="O96" s="19" t="s">
        <v>473</v>
      </c>
      <c r="P96" s="19" t="s">
        <v>473</v>
      </c>
      <c r="Q96" s="19" t="s">
        <v>473</v>
      </c>
      <c r="R96" s="19" t="s">
        <v>473</v>
      </c>
      <c r="S96" s="19" t="s">
        <v>473</v>
      </c>
      <c r="T96" s="19" t="s">
        <v>473</v>
      </c>
      <c r="U96" s="19" t="s">
        <v>473</v>
      </c>
      <c r="V96" s="19" t="s">
        <v>473</v>
      </c>
      <c r="W96" s="19" t="s">
        <v>473</v>
      </c>
      <c r="X96" s="19" t="s">
        <v>473</v>
      </c>
      <c r="Y96" s="19" t="s">
        <v>473</v>
      </c>
      <c r="Z96" s="19" t="s">
        <v>473</v>
      </c>
      <c r="AA96" s="19" t="s">
        <v>473</v>
      </c>
      <c r="AB96" s="19" t="s">
        <v>473</v>
      </c>
      <c r="AC96" s="19" t="s">
        <v>473</v>
      </c>
      <c r="AD96" s="19" t="s">
        <v>473</v>
      </c>
      <c r="AE96" s="19" t="s">
        <v>473</v>
      </c>
      <c r="AF96" s="19" t="s">
        <v>473</v>
      </c>
      <c r="AG96" s="19" t="s">
        <v>473</v>
      </c>
      <c r="AH96" s="19" t="s">
        <v>473</v>
      </c>
      <c r="AI96" s="19" t="s">
        <v>473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f t="shared" ref="AT96" si="579">SUM(BT96+BV96+BX96+BZ96+CB96+CD96+CF96+CH96+CJ96+CL96+CN96+CP96+CR96+CT96+CV96+CX96+CZ96+DB96+DD96+DF96+DH96+DJ96+DL96+DN96+DP96+DR96+DT96+DV96+DX96+DZ96+EB96+ED96)</f>
        <v>0</v>
      </c>
      <c r="AU96" s="19">
        <f t="shared" ref="AU96" si="580">SUM(AJ96:AN96)</f>
        <v>0</v>
      </c>
      <c r="AV96" s="19">
        <f t="shared" ref="AV96:AV106" si="581">SUM(AO96:AS96)</f>
        <v>0</v>
      </c>
      <c r="AW96" s="16">
        <f t="shared" ref="AW96:AW108" si="582">COUNTIF(F96:AI96,"8")+COUNTIF(F96:AI96,"8.5")+COUNTIF(F96:AI96,"9")+COUNTIF(F96:AI96,"9.5")+COUNTIF(F96:AI96,"10")+COUNTIF(F96:AI96,"10.5")+COUNTIF(F96:AI96,"11")+COUNTIF(F96:AI96,"11.5")+COUNTIF(F96:AI96,"12")+COUNTIF(F96:AI96,"12.5")+COUNTIF(F96:AI96,"13")+COUNTIF(F96:AI96,"13.5")+COUNTIF(F96:AI96,"14")+COUNTIF(F96:AI96,"14.5")+COUNTIF(F96:AI96,"15")+COUNTIF(F96:AI96,"15.5")+COUNTIF(F96:AI96,"16")+COUNTIF(F96:AI96,"16.5")+COUNTIF(F96:AI96,"17")+COUNTIF(F96:AI96,"17.5")+COUNTIF(F96:AI96,"18")+COUNTIF(F96:AI96,"18.5")+COUNTIF(F96:AI96,"19")+COUNTIF(F96:AI96,"19.5")+COUNTIF(F96:AI96,"20")+COUNTIF(F96:AI96,"20.5")+COUNTIF(F96:AI96,"21")+COUNTIF(F96:AI96,"21.5")+COUNTIF(F96:AI96,"22")+COUNTIF(F96:AI96,"22.5")+COUNTIF(F96:AI96,"23")+COUNTIF(F96:AI96,"23.5")+COUNTIF(F96:AI96,"24")+COUNTIF(F96:AI96,"S")+COUNTIF(F96:AI96,"PH")+COUNTIF(F96:AI96,"ML")+COUNTIF(F96:AI96,"OD")</f>
        <v>0</v>
      </c>
      <c r="AX96" s="16">
        <f t="shared" ref="AX96:AX108" si="583">COUNTIF(F96:AI96,"A")</f>
        <v>0</v>
      </c>
      <c r="AY96" s="38">
        <f t="shared" ref="AY96:AY108" si="584">COUNTIF(F96:AI96,"ID")</f>
        <v>0</v>
      </c>
      <c r="AZ96" s="126">
        <v>1100</v>
      </c>
      <c r="BA96" s="20">
        <v>200</v>
      </c>
      <c r="BB96" s="21">
        <v>0</v>
      </c>
      <c r="BC96" s="19">
        <f t="shared" si="300"/>
        <v>0</v>
      </c>
      <c r="BD96" s="19">
        <f t="shared" si="301"/>
        <v>0</v>
      </c>
      <c r="BE96" s="19">
        <f t="shared" si="302"/>
        <v>0</v>
      </c>
      <c r="BF96" s="19">
        <f t="shared" si="303"/>
        <v>0</v>
      </c>
      <c r="BG96" s="19">
        <f t="shared" si="304"/>
        <v>0</v>
      </c>
      <c r="BH96" s="19">
        <f t="shared" si="305"/>
        <v>0</v>
      </c>
      <c r="BI96" s="19">
        <v>0</v>
      </c>
      <c r="BJ96" s="19">
        <v>0</v>
      </c>
      <c r="BK96" s="19">
        <f t="shared" ref="BK96" si="585">SUM(BC96:BJ96)</f>
        <v>0</v>
      </c>
      <c r="BL96" s="19">
        <v>0</v>
      </c>
      <c r="BM96" s="19">
        <v>0</v>
      </c>
      <c r="BN96" s="19">
        <f t="shared" ref="BN96" si="586">BL96+BM96</f>
        <v>0</v>
      </c>
      <c r="BO96" s="19">
        <f t="shared" ref="BO96" si="587">BK96-BN96</f>
        <v>0</v>
      </c>
      <c r="BP96" s="19">
        <v>0</v>
      </c>
      <c r="BQ96" s="19">
        <v>0</v>
      </c>
      <c r="BR96" s="22">
        <f t="shared" ref="BR96" si="588">SUM(BO96:BP96)-BQ96</f>
        <v>0</v>
      </c>
      <c r="BS96" s="23">
        <f t="shared" ref="BS96:BS108" si="589">COUNTIF(F96:AI96, "8.5")</f>
        <v>0</v>
      </c>
      <c r="BT96" s="24">
        <f t="shared" ref="BT96:BT106" si="590">BS96*0.5</f>
        <v>0</v>
      </c>
      <c r="BU96" s="24">
        <f t="shared" ref="BU96:BU108" si="591">COUNTIF(F96:AI96, "9")</f>
        <v>0</v>
      </c>
      <c r="BV96" s="24">
        <f t="shared" ref="BV96:BV106" si="592">BU96*1</f>
        <v>0</v>
      </c>
      <c r="BW96" s="24">
        <f t="shared" ref="BW96:BW108" si="593">COUNTIF(F96:AI96, "9.5")</f>
        <v>0</v>
      </c>
      <c r="BX96" s="24">
        <f t="shared" ref="BX96:BX106" si="594">BW96*1.5</f>
        <v>0</v>
      </c>
      <c r="BY96" s="24">
        <f t="shared" ref="BY96:BY108" si="595">COUNTIF(F96:AI96, "10")</f>
        <v>0</v>
      </c>
      <c r="BZ96" s="24">
        <f t="shared" ref="BZ96:BZ106" si="596">BY96*2</f>
        <v>0</v>
      </c>
      <c r="CA96" s="24">
        <f t="shared" ref="CA96:CA108" si="597">COUNTIF(F96:AI96, "10.5")</f>
        <v>0</v>
      </c>
      <c r="CB96" s="24">
        <f t="shared" ref="CB96:CB106" si="598">CA96*2.5</f>
        <v>0</v>
      </c>
      <c r="CC96" s="24">
        <f t="shared" ref="CC96:CC108" si="599">COUNTIF(F96:AI96, "11")</f>
        <v>0</v>
      </c>
      <c r="CD96" s="24">
        <f t="shared" ref="CD96:CD106" si="600">CC96*3</f>
        <v>0</v>
      </c>
      <c r="CE96" s="24">
        <f t="shared" ref="CE96:CE108" si="601">COUNTIF(F96:AI96, "11.5")</f>
        <v>0</v>
      </c>
      <c r="CF96" s="24">
        <f t="shared" ref="CF96:CF106" si="602">CE96*3.5</f>
        <v>0</v>
      </c>
      <c r="CG96" s="24">
        <f t="shared" ref="CG96:CG108" si="603">COUNTIF(F96:AI96, "12")</f>
        <v>0</v>
      </c>
      <c r="CH96" s="24">
        <f t="shared" ref="CH96:CH106" si="604">CG96*4</f>
        <v>0</v>
      </c>
      <c r="CI96" s="24">
        <f t="shared" ref="CI96:CI108" si="605">COUNTIF(F96:AI96, "12.5")</f>
        <v>0</v>
      </c>
      <c r="CJ96" s="24">
        <f t="shared" ref="CJ96:CJ106" si="606">CI96*4.5</f>
        <v>0</v>
      </c>
      <c r="CK96" s="24">
        <f t="shared" ref="CK96:CK108" si="607">COUNTIF(F96:AI96, "13")</f>
        <v>0</v>
      </c>
      <c r="CL96" s="24">
        <f t="shared" ref="CL96:CL106" si="608">CK96*5</f>
        <v>0</v>
      </c>
      <c r="CM96" s="24">
        <f t="shared" ref="CM96:CM108" si="609">COUNTIF(F96:AI96, "13.5")</f>
        <v>0</v>
      </c>
      <c r="CN96" s="24">
        <f t="shared" ref="CN96:CN106" si="610">CM96*5.5</f>
        <v>0</v>
      </c>
      <c r="CO96" s="24">
        <f t="shared" ref="CO96:CO108" si="611">COUNTIF(F96:AI96, "14")</f>
        <v>0</v>
      </c>
      <c r="CP96" s="24">
        <f t="shared" ref="CP96:CP106" si="612">CO96*6</f>
        <v>0</v>
      </c>
      <c r="CQ96" s="24">
        <f t="shared" ref="CQ96:CQ108" si="613">COUNTIF(F96:AI96, "14.5")</f>
        <v>0</v>
      </c>
      <c r="CR96" s="24">
        <f t="shared" ref="CR96:CR106" si="614">CQ96*6.5</f>
        <v>0</v>
      </c>
      <c r="CS96" s="24">
        <f t="shared" ref="CS96:CS108" si="615">COUNTIF(F96:AI96, "15")</f>
        <v>0</v>
      </c>
      <c r="CT96" s="24">
        <f t="shared" ref="CT96:CT106" si="616">CS96*7</f>
        <v>0</v>
      </c>
      <c r="CU96" s="24">
        <f t="shared" ref="CU96:CU108" si="617">COUNTIF(F96:AI96, "15.5")</f>
        <v>0</v>
      </c>
      <c r="CV96" s="24">
        <f t="shared" ref="CV96:CV106" si="618">CU96*7.5</f>
        <v>0</v>
      </c>
      <c r="CW96" s="24">
        <f t="shared" ref="CW96:CW108" si="619">COUNTIF(F96:AI96, "16")</f>
        <v>0</v>
      </c>
      <c r="CX96" s="24">
        <f t="shared" ref="CX96:CX106" si="620">CW96*8</f>
        <v>0</v>
      </c>
      <c r="CY96" s="24">
        <f t="shared" ref="CY96:CY108" si="621">COUNTIF(F96:AI96, "16.5")</f>
        <v>0</v>
      </c>
      <c r="CZ96" s="24">
        <f t="shared" ref="CZ96:CZ106" si="622">CY96*8.5</f>
        <v>0</v>
      </c>
      <c r="DA96" s="24">
        <f t="shared" ref="DA96:DA108" si="623">COUNTIF(F96:AI96, "17")</f>
        <v>0</v>
      </c>
      <c r="DB96" s="24">
        <f t="shared" ref="DB96:DB106" si="624">DA96*9</f>
        <v>0</v>
      </c>
      <c r="DC96" s="24">
        <f t="shared" ref="DC96:DC108" si="625">COUNTIF(F96:AI96, "17.5")</f>
        <v>0</v>
      </c>
      <c r="DD96" s="24">
        <f t="shared" ref="DD96:DD106" si="626">DC96*9.5</f>
        <v>0</v>
      </c>
      <c r="DE96" s="24">
        <f t="shared" ref="DE96:DE108" si="627">COUNTIF(F96:AI96, "18")</f>
        <v>0</v>
      </c>
      <c r="DF96" s="24">
        <f t="shared" ref="DF96:DF106" si="628">DE96*10</f>
        <v>0</v>
      </c>
      <c r="DG96" s="24">
        <f t="shared" ref="DG96:DG108" si="629">COUNTIF(F96:AI96, "18.5")</f>
        <v>0</v>
      </c>
      <c r="DH96" s="24">
        <f t="shared" ref="DH96:DH106" si="630">DG96*10.5</f>
        <v>0</v>
      </c>
      <c r="DI96" s="24">
        <f t="shared" ref="DI96:DI108" si="631">COUNTIF(F96:AI96, "19")</f>
        <v>0</v>
      </c>
      <c r="DJ96" s="24">
        <f t="shared" ref="DJ96:DJ106" si="632">DI96*11</f>
        <v>0</v>
      </c>
      <c r="DK96" s="24">
        <f t="shared" ref="DK96:DK108" si="633">COUNTIF(F96:AI96, "19.5")</f>
        <v>0</v>
      </c>
      <c r="DL96" s="24">
        <f t="shared" ref="DL96:DL106" si="634">DK96*11.5</f>
        <v>0</v>
      </c>
      <c r="DM96" s="24">
        <f t="shared" ref="DM96:DM108" si="635">COUNTIF(F96:AI96, "20")</f>
        <v>0</v>
      </c>
      <c r="DN96" s="24">
        <f t="shared" ref="DN96:DN106" si="636">DM96*12</f>
        <v>0</v>
      </c>
      <c r="DO96" s="24">
        <f t="shared" ref="DO96:DO108" si="637">COUNTIF(F96:AI96, "20.5")</f>
        <v>0</v>
      </c>
      <c r="DP96" s="24">
        <f t="shared" ref="DP96:DP106" si="638">DO96*12.5</f>
        <v>0</v>
      </c>
      <c r="DQ96" s="24">
        <f t="shared" ref="DQ96:DQ108" si="639">COUNTIF(F96:AI96, "21")</f>
        <v>0</v>
      </c>
      <c r="DR96" s="24">
        <f t="shared" ref="DR96:DR106" si="640">DQ96*13</f>
        <v>0</v>
      </c>
      <c r="DS96" s="24">
        <f t="shared" ref="DS96:DS108" si="641">COUNTIF(F96:AI96, "21.5")</f>
        <v>0</v>
      </c>
      <c r="DT96" s="24">
        <f t="shared" ref="DT96:DT106" si="642">DS96*13.5</f>
        <v>0</v>
      </c>
      <c r="DU96" s="24">
        <f t="shared" ref="DU96:DU108" si="643">COUNTIF(F96:AI96, "22")</f>
        <v>0</v>
      </c>
      <c r="DV96" s="24">
        <f t="shared" ref="DV96:DV106" si="644">DU96*14</f>
        <v>0</v>
      </c>
      <c r="DW96" s="24">
        <f t="shared" ref="DW96:DW108" si="645">COUNTIF(F96:AI96, "22.5")</f>
        <v>0</v>
      </c>
      <c r="DX96" s="24">
        <f t="shared" ref="DX96:DX106" si="646">DW96*14.5</f>
        <v>0</v>
      </c>
      <c r="DY96" s="24">
        <f t="shared" ref="DY96:DY108" si="647">COUNTIF(F96:AI96, "23")</f>
        <v>0</v>
      </c>
      <c r="DZ96" s="24">
        <f t="shared" ref="DZ96:DZ106" si="648">DY96*15</f>
        <v>0</v>
      </c>
      <c r="EA96" s="24">
        <f t="shared" ref="EA96:EA108" si="649">COUNTIF(F96:AI96, "23.5")</f>
        <v>0</v>
      </c>
      <c r="EB96" s="24">
        <f t="shared" ref="EB96:EB106" si="650">EA96*15.5</f>
        <v>0</v>
      </c>
      <c r="EC96" s="24">
        <f t="shared" ref="EC96:EC108" si="651">COUNTIF(F96:AI96, "24")</f>
        <v>0</v>
      </c>
      <c r="ED96" s="24">
        <f t="shared" ref="ED96:ED106" si="652">EC96*16</f>
        <v>0</v>
      </c>
      <c r="EE96" s="135" t="s">
        <v>474</v>
      </c>
    </row>
    <row r="97" spans="1:135" s="2" customFormat="1" ht="18" customHeight="1" x14ac:dyDescent="0.25">
      <c r="A97" s="27">
        <v>94</v>
      </c>
      <c r="B97" s="145" t="s">
        <v>182</v>
      </c>
      <c r="C97" s="147" t="s">
        <v>234</v>
      </c>
      <c r="D97" s="133" t="s">
        <v>167</v>
      </c>
      <c r="E97" s="18">
        <v>45240</v>
      </c>
      <c r="F97" s="19">
        <v>8</v>
      </c>
      <c r="G97" s="19">
        <v>8</v>
      </c>
      <c r="H97" s="19">
        <v>8</v>
      </c>
      <c r="I97" s="19">
        <v>8</v>
      </c>
      <c r="J97" s="19" t="s">
        <v>603</v>
      </c>
      <c r="K97" s="19">
        <v>8</v>
      </c>
      <c r="L97" s="19" t="s">
        <v>15</v>
      </c>
      <c r="M97" s="19">
        <v>8</v>
      </c>
      <c r="N97" s="19">
        <v>8</v>
      </c>
      <c r="O97" s="19">
        <v>8</v>
      </c>
      <c r="P97" s="19">
        <v>8</v>
      </c>
      <c r="Q97" s="19">
        <v>8</v>
      </c>
      <c r="R97" s="19">
        <v>8</v>
      </c>
      <c r="S97" s="19" t="s">
        <v>15</v>
      </c>
      <c r="T97" s="19">
        <v>8</v>
      </c>
      <c r="U97" s="19">
        <v>8</v>
      </c>
      <c r="V97" s="19">
        <v>8</v>
      </c>
      <c r="W97" s="19">
        <v>8</v>
      </c>
      <c r="X97" s="19">
        <v>8</v>
      </c>
      <c r="Y97" s="19">
        <v>8</v>
      </c>
      <c r="Z97" s="19" t="s">
        <v>15</v>
      </c>
      <c r="AA97" s="19">
        <v>8</v>
      </c>
      <c r="AB97" s="19">
        <v>8</v>
      </c>
      <c r="AC97" s="19">
        <v>8</v>
      </c>
      <c r="AD97" s="19">
        <v>8</v>
      </c>
      <c r="AE97" s="19">
        <v>8</v>
      </c>
      <c r="AF97" s="19" t="s">
        <v>316</v>
      </c>
      <c r="AG97" s="19" t="s">
        <v>316</v>
      </c>
      <c r="AH97" s="19">
        <v>8</v>
      </c>
      <c r="AI97" s="19">
        <v>8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f>SUM(BT97+BV97+BX97+BZ97+CB97+CD97+CF97+CH97+CJ97+CL97+CN97+CP97+CR97+CT97+CV97+CX97+CZ97+DB97+DD97+DF97+DH97+DJ97+DL97+DN97+DP97+DR97+DT97+DV97+DX97+DZ97+EB97+ED97)</f>
        <v>0</v>
      </c>
      <c r="AU97" s="19">
        <f>SUM(AJ97:AN97)</f>
        <v>0</v>
      </c>
      <c r="AV97" s="19">
        <f>SUM(AO97:AS97)</f>
        <v>0</v>
      </c>
      <c r="AW97" s="16">
        <f>COUNTIF(F97:AI97,"8")+COUNTIF(F97:AI97,"8.5")+COUNTIF(F97:AI97,"9")+COUNTIF(F97:AI97,"9.5")+COUNTIF(F97:AI97,"10")+COUNTIF(F97:AI97,"10.5")+COUNTIF(F97:AI97,"11")+COUNTIF(F97:AI97,"11.5")+COUNTIF(F97:AI97,"12")+COUNTIF(F97:AI97,"12.5")+COUNTIF(F97:AI97,"13")+COUNTIF(F97:AI97,"13.5")+COUNTIF(F97:AI97,"14")+COUNTIF(F97:AI97,"14.5")+COUNTIF(F97:AI97,"15")+COUNTIF(F97:AI97,"15.5")+COUNTIF(F97:AI97,"16")+COUNTIF(F97:AI97,"16.5")+COUNTIF(F97:AI97,"17")+COUNTIF(F97:AI97,"17.5")+COUNTIF(F97:AI97,"18")+COUNTIF(F97:AI97,"18.5")+COUNTIF(F97:AI97,"19")+COUNTIF(F97:AI97,"19.5")+COUNTIF(F97:AI97,"20")+COUNTIF(F97:AI97,"20.5")+COUNTIF(F97:AI97,"21")+COUNTIF(F97:AI97,"21.5")+COUNTIF(F97:AI97,"22")+COUNTIF(F97:AI97,"22.5")+COUNTIF(F97:AI97,"23")+COUNTIF(F97:AI97,"23.5")+COUNTIF(F97:AI97,"24")+COUNTIF(F97:AI97,"S")+COUNTIF(F97:AI97,"PH")+COUNTIF(F97:AI97,"ML")+COUNTIF(F97:AI97,"OD")</f>
        <v>28</v>
      </c>
      <c r="AX97" s="16">
        <f>COUNTIF(F97:AI97,"A")</f>
        <v>2</v>
      </c>
      <c r="AY97" s="38">
        <f>COUNTIF(F97:AI97,"ID")</f>
        <v>0</v>
      </c>
      <c r="AZ97" s="36">
        <v>900</v>
      </c>
      <c r="BA97" s="20">
        <v>100</v>
      </c>
      <c r="BB97" s="21">
        <v>0</v>
      </c>
      <c r="BC97" s="19">
        <f>MROUND(AZ97/30*AW97, 1)</f>
        <v>840</v>
      </c>
      <c r="BD97" s="19">
        <f>MROUND(BA97/30*AW97, 1)</f>
        <v>93</v>
      </c>
      <c r="BE97" s="19">
        <f>MROUND((AZ97/30/8*1.25*AT97)+(AZ97/30/8*1.5*AU97)+(AZ97/30/8*1.5*AV97), 1)</f>
        <v>0</v>
      </c>
      <c r="BF97" s="19">
        <f>MROUND(BB97/30*AW97, 1)</f>
        <v>0</v>
      </c>
      <c r="BG97" s="19">
        <f>MROUND(AZ97/30*AY97, 1)</f>
        <v>0</v>
      </c>
      <c r="BH97" s="19">
        <f>MROUND(BA97/30*AY97, 1)</f>
        <v>0</v>
      </c>
      <c r="BI97" s="19">
        <v>0</v>
      </c>
      <c r="BJ97" s="19">
        <v>0</v>
      </c>
      <c r="BK97" s="19">
        <f t="shared" ref="BK97:BK106" si="653">SUM(BC97:BJ97)</f>
        <v>933</v>
      </c>
      <c r="BL97" s="19">
        <v>0</v>
      </c>
      <c r="BM97" s="19">
        <v>0</v>
      </c>
      <c r="BN97" s="19">
        <f t="shared" ref="BN97:BN106" si="654">BL97+BM97</f>
        <v>0</v>
      </c>
      <c r="BO97" s="19">
        <f t="shared" ref="BO97:BO106" si="655">BK97-BN97</f>
        <v>933</v>
      </c>
      <c r="BP97" s="19">
        <v>0</v>
      </c>
      <c r="BQ97" s="19">
        <v>0</v>
      </c>
      <c r="BR97" s="22">
        <f t="shared" ref="BR97:BR106" si="656">SUM(BO97:BP97)-BQ97</f>
        <v>933</v>
      </c>
      <c r="BS97" s="23">
        <f>COUNTIF(F97:AI97, "8.5")</f>
        <v>0</v>
      </c>
      <c r="BT97" s="24">
        <f>BS97*0.5</f>
        <v>0</v>
      </c>
      <c r="BU97" s="24">
        <f>COUNTIF(F97:AI97, "9")</f>
        <v>0</v>
      </c>
      <c r="BV97" s="24">
        <f>BU97*1</f>
        <v>0</v>
      </c>
      <c r="BW97" s="24">
        <f>COUNTIF(F97:AI97, "9.5")</f>
        <v>0</v>
      </c>
      <c r="BX97" s="24">
        <f>BW97*1.5</f>
        <v>0</v>
      </c>
      <c r="BY97" s="24">
        <f>COUNTIF(F97:AI97, "10")</f>
        <v>0</v>
      </c>
      <c r="BZ97" s="24">
        <f>BY97*2</f>
        <v>0</v>
      </c>
      <c r="CA97" s="24">
        <f>COUNTIF(F97:AI97, "10.5")</f>
        <v>0</v>
      </c>
      <c r="CB97" s="24">
        <f>CA97*2.5</f>
        <v>0</v>
      </c>
      <c r="CC97" s="24">
        <f>COUNTIF(F97:AI97, "11")</f>
        <v>0</v>
      </c>
      <c r="CD97" s="24">
        <f>CC97*3</f>
        <v>0</v>
      </c>
      <c r="CE97" s="24">
        <f>COUNTIF(F97:AI97, "11.5")</f>
        <v>0</v>
      </c>
      <c r="CF97" s="24">
        <f>CE97*3.5</f>
        <v>0</v>
      </c>
      <c r="CG97" s="24">
        <f>COUNTIF(F97:AI97, "12")</f>
        <v>0</v>
      </c>
      <c r="CH97" s="24">
        <f>CG97*4</f>
        <v>0</v>
      </c>
      <c r="CI97" s="24">
        <f>COUNTIF(F97:AI97, "12.5")</f>
        <v>0</v>
      </c>
      <c r="CJ97" s="24">
        <f>CI97*4.5</f>
        <v>0</v>
      </c>
      <c r="CK97" s="24">
        <f>COUNTIF(F97:AI97, "13")</f>
        <v>0</v>
      </c>
      <c r="CL97" s="24">
        <f>CK97*5</f>
        <v>0</v>
      </c>
      <c r="CM97" s="24">
        <f>COUNTIF(F97:AI97, "13.5")</f>
        <v>0</v>
      </c>
      <c r="CN97" s="24">
        <f>CM97*5.5</f>
        <v>0</v>
      </c>
      <c r="CO97" s="24">
        <f>COUNTIF(F97:AI97, "14")</f>
        <v>0</v>
      </c>
      <c r="CP97" s="24">
        <f>CO97*6</f>
        <v>0</v>
      </c>
      <c r="CQ97" s="24">
        <f>COUNTIF(F97:AI97, "14.5")</f>
        <v>0</v>
      </c>
      <c r="CR97" s="24">
        <f>CQ97*6.5</f>
        <v>0</v>
      </c>
      <c r="CS97" s="24">
        <f>COUNTIF(F97:AI97, "15")</f>
        <v>0</v>
      </c>
      <c r="CT97" s="24">
        <f>CS97*7</f>
        <v>0</v>
      </c>
      <c r="CU97" s="24">
        <f>COUNTIF(F97:AI97, "15.5")</f>
        <v>0</v>
      </c>
      <c r="CV97" s="24">
        <f>CU97*7.5</f>
        <v>0</v>
      </c>
      <c r="CW97" s="24">
        <f>COUNTIF(F97:AI97, "16")</f>
        <v>0</v>
      </c>
      <c r="CX97" s="24">
        <f>CW97*8</f>
        <v>0</v>
      </c>
      <c r="CY97" s="24">
        <f>COUNTIF(F97:AI97, "16.5")</f>
        <v>0</v>
      </c>
      <c r="CZ97" s="24">
        <f>CY97*8.5</f>
        <v>0</v>
      </c>
      <c r="DA97" s="24">
        <f>COUNTIF(F97:AI97, "17")</f>
        <v>0</v>
      </c>
      <c r="DB97" s="24">
        <f>DA97*9</f>
        <v>0</v>
      </c>
      <c r="DC97" s="24">
        <f>COUNTIF(F97:AI97, "17.5")</f>
        <v>0</v>
      </c>
      <c r="DD97" s="24">
        <f>DC97*9.5</f>
        <v>0</v>
      </c>
      <c r="DE97" s="24">
        <f>COUNTIF(F97:AI97, "18")</f>
        <v>0</v>
      </c>
      <c r="DF97" s="24">
        <f>DE97*10</f>
        <v>0</v>
      </c>
      <c r="DG97" s="24">
        <f>COUNTIF(F97:AI97, "18.5")</f>
        <v>0</v>
      </c>
      <c r="DH97" s="24">
        <f>DG97*10.5</f>
        <v>0</v>
      </c>
      <c r="DI97" s="24">
        <f>COUNTIF(F97:AI97, "19")</f>
        <v>0</v>
      </c>
      <c r="DJ97" s="24">
        <f>DI97*11</f>
        <v>0</v>
      </c>
      <c r="DK97" s="24">
        <f>COUNTIF(F97:AI97, "19.5")</f>
        <v>0</v>
      </c>
      <c r="DL97" s="24">
        <f>DK97*11.5</f>
        <v>0</v>
      </c>
      <c r="DM97" s="24">
        <f>COUNTIF(F97:AI97, "20")</f>
        <v>0</v>
      </c>
      <c r="DN97" s="24">
        <f>DM97*12</f>
        <v>0</v>
      </c>
      <c r="DO97" s="24">
        <f>COUNTIF(F97:AI97, "20.5")</f>
        <v>0</v>
      </c>
      <c r="DP97" s="24">
        <f>DO97*12.5</f>
        <v>0</v>
      </c>
      <c r="DQ97" s="24">
        <f>COUNTIF(F97:AI97, "21")</f>
        <v>0</v>
      </c>
      <c r="DR97" s="24">
        <f>DQ97*13</f>
        <v>0</v>
      </c>
      <c r="DS97" s="24">
        <f>COUNTIF(F97:AI97, "21.5")</f>
        <v>0</v>
      </c>
      <c r="DT97" s="24">
        <f>DS97*13.5</f>
        <v>0</v>
      </c>
      <c r="DU97" s="24">
        <f>COUNTIF(F97:AI97, "22")</f>
        <v>0</v>
      </c>
      <c r="DV97" s="24">
        <f>DU97*14</f>
        <v>0</v>
      </c>
      <c r="DW97" s="24">
        <f>COUNTIF(F97:AI97, "22.5")</f>
        <v>0</v>
      </c>
      <c r="DX97" s="24">
        <f>DW97*14.5</f>
        <v>0</v>
      </c>
      <c r="DY97" s="24">
        <f>COUNTIF(F97:AI97, "23")</f>
        <v>0</v>
      </c>
      <c r="DZ97" s="24">
        <f>DY97*15</f>
        <v>0</v>
      </c>
      <c r="EA97" s="24">
        <f>COUNTIF(F97:AI97, "23.5")</f>
        <v>0</v>
      </c>
      <c r="EB97" s="24">
        <f>EA97*15.5</f>
        <v>0</v>
      </c>
      <c r="EC97" s="24">
        <f>COUNTIF(F97:AI97, "24")</f>
        <v>0</v>
      </c>
      <c r="ED97" s="24">
        <f>EC97*16</f>
        <v>0</v>
      </c>
      <c r="EE97" s="151" t="s">
        <v>302</v>
      </c>
    </row>
    <row r="98" spans="1:135" s="2" customFormat="1" ht="18" customHeight="1" x14ac:dyDescent="0.25">
      <c r="A98" s="27">
        <v>95</v>
      </c>
      <c r="B98" s="145" t="s">
        <v>188</v>
      </c>
      <c r="C98" s="147" t="s">
        <v>238</v>
      </c>
      <c r="D98" s="148" t="s">
        <v>167</v>
      </c>
      <c r="E98" s="18">
        <v>45254</v>
      </c>
      <c r="F98" s="19">
        <v>8</v>
      </c>
      <c r="G98" s="19">
        <v>8</v>
      </c>
      <c r="H98" s="19">
        <v>8</v>
      </c>
      <c r="I98" s="19">
        <v>8</v>
      </c>
      <c r="J98" s="19" t="s">
        <v>603</v>
      </c>
      <c r="K98" s="19">
        <v>8</v>
      </c>
      <c r="L98" s="19" t="s">
        <v>15</v>
      </c>
      <c r="M98" s="19">
        <v>8</v>
      </c>
      <c r="N98" s="19">
        <v>8</v>
      </c>
      <c r="O98" s="19" t="s">
        <v>316</v>
      </c>
      <c r="P98" s="19" t="s">
        <v>316</v>
      </c>
      <c r="Q98" s="19" t="s">
        <v>316</v>
      </c>
      <c r="R98" s="19">
        <v>8</v>
      </c>
      <c r="S98" s="19" t="s">
        <v>316</v>
      </c>
      <c r="T98" s="19">
        <v>8</v>
      </c>
      <c r="U98" s="19">
        <v>8</v>
      </c>
      <c r="V98" s="19">
        <v>8</v>
      </c>
      <c r="W98" s="19">
        <v>8</v>
      </c>
      <c r="X98" s="19">
        <v>8</v>
      </c>
      <c r="Y98" s="19">
        <v>8</v>
      </c>
      <c r="Z98" s="19" t="s">
        <v>15</v>
      </c>
      <c r="AA98" s="19">
        <v>8</v>
      </c>
      <c r="AB98" s="19">
        <v>8</v>
      </c>
      <c r="AC98" s="19">
        <v>8</v>
      </c>
      <c r="AD98" s="19">
        <v>8</v>
      </c>
      <c r="AE98" s="19">
        <v>8</v>
      </c>
      <c r="AF98" s="19">
        <v>8</v>
      </c>
      <c r="AG98" s="19" t="s">
        <v>15</v>
      </c>
      <c r="AH98" s="19">
        <v>8</v>
      </c>
      <c r="AI98" s="19" t="s">
        <v>316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f>SUM(BT98+BV98+BX98+BZ98+CB98+CD98+CF98+CH98+CJ98+CL98+CN98+CP98+CR98+CT98+CV98+CX98+CZ98+DB98+DD98+DF98+DH98+DJ98+DL98+DN98+DP98+DR98+DT98+DV98+DX98+DZ98+EB98+ED98)</f>
        <v>0</v>
      </c>
      <c r="AU98" s="19">
        <f>SUM(AJ98:AN98)</f>
        <v>0</v>
      </c>
      <c r="AV98" s="19">
        <f>SUM(AO98:AS98)</f>
        <v>0</v>
      </c>
      <c r="AW98" s="16">
        <f>COUNTIF(F98:AI98,"8")+COUNTIF(F98:AI98,"8.5")+COUNTIF(F98:AI98,"9")+COUNTIF(F98:AI98,"9.5")+COUNTIF(F98:AI98,"10")+COUNTIF(F98:AI98,"10.5")+COUNTIF(F98:AI98,"11")+COUNTIF(F98:AI98,"11.5")+COUNTIF(F98:AI98,"12")+COUNTIF(F98:AI98,"12.5")+COUNTIF(F98:AI98,"13")+COUNTIF(F98:AI98,"13.5")+COUNTIF(F98:AI98,"14")+COUNTIF(F98:AI98,"14.5")+COUNTIF(F98:AI98,"15")+COUNTIF(F98:AI98,"15.5")+COUNTIF(F98:AI98,"16")+COUNTIF(F98:AI98,"16.5")+COUNTIF(F98:AI98,"17")+COUNTIF(F98:AI98,"17.5")+COUNTIF(F98:AI98,"18")+COUNTIF(F98:AI98,"18.5")+COUNTIF(F98:AI98,"19")+COUNTIF(F98:AI98,"19.5")+COUNTIF(F98:AI98,"20")+COUNTIF(F98:AI98,"20.5")+COUNTIF(F98:AI98,"21")+COUNTIF(F98:AI98,"21.5")+COUNTIF(F98:AI98,"22")+COUNTIF(F98:AI98,"22.5")+COUNTIF(F98:AI98,"23")+COUNTIF(F98:AI98,"23.5")+COUNTIF(F98:AI98,"24")+COUNTIF(F98:AI98,"S")+COUNTIF(F98:AI98,"PH")+COUNTIF(F98:AI98,"ML")+COUNTIF(F98:AI98,"OD")</f>
        <v>25</v>
      </c>
      <c r="AX98" s="16">
        <f>COUNTIF(F98:AI98,"A")</f>
        <v>5</v>
      </c>
      <c r="AY98" s="38">
        <f>COUNTIF(F98:AI98,"ID")</f>
        <v>0</v>
      </c>
      <c r="AZ98" s="36">
        <v>900</v>
      </c>
      <c r="BA98" s="20">
        <v>100</v>
      </c>
      <c r="BB98" s="21">
        <v>0</v>
      </c>
      <c r="BC98" s="19">
        <f>MROUND(AZ98/30*AW98, 1)</f>
        <v>750</v>
      </c>
      <c r="BD98" s="19">
        <f>MROUND(BA98/30*AW98, 1)</f>
        <v>83</v>
      </c>
      <c r="BE98" s="19">
        <f>MROUND((AZ98/30/8*1.25*AT98)+(AZ98/30/8*1.5*AU98)+(AZ98/30/8*1.5*AV98), 1)</f>
        <v>0</v>
      </c>
      <c r="BF98" s="19">
        <f>MROUND(BB98/30*AW98, 1)</f>
        <v>0</v>
      </c>
      <c r="BG98" s="19">
        <f>MROUND(AZ98/30*AY98, 1)</f>
        <v>0</v>
      </c>
      <c r="BH98" s="19">
        <f>MROUND(BA98/30*AY98, 1)</f>
        <v>0</v>
      </c>
      <c r="BI98" s="19">
        <v>0</v>
      </c>
      <c r="BJ98" s="19">
        <v>0</v>
      </c>
      <c r="BK98" s="19">
        <f t="shared" si="653"/>
        <v>833</v>
      </c>
      <c r="BL98" s="19">
        <v>0</v>
      </c>
      <c r="BM98" s="19">
        <v>0</v>
      </c>
      <c r="BN98" s="19">
        <f t="shared" si="654"/>
        <v>0</v>
      </c>
      <c r="BO98" s="19">
        <f t="shared" si="655"/>
        <v>833</v>
      </c>
      <c r="BP98" s="19">
        <v>0</v>
      </c>
      <c r="BQ98" s="19">
        <v>0</v>
      </c>
      <c r="BR98" s="22">
        <f t="shared" si="656"/>
        <v>833</v>
      </c>
      <c r="BS98" s="23">
        <f>COUNTIF(F98:AI98, "8.5")</f>
        <v>0</v>
      </c>
      <c r="BT98" s="24">
        <f>BS98*0.5</f>
        <v>0</v>
      </c>
      <c r="BU98" s="24">
        <f>COUNTIF(F98:AI98, "9")</f>
        <v>0</v>
      </c>
      <c r="BV98" s="24">
        <f>BU98*1</f>
        <v>0</v>
      </c>
      <c r="BW98" s="24">
        <f>COUNTIF(F98:AI98, "9.5")</f>
        <v>0</v>
      </c>
      <c r="BX98" s="24">
        <f>BW98*1.5</f>
        <v>0</v>
      </c>
      <c r="BY98" s="24">
        <f>COUNTIF(F98:AI98, "10")</f>
        <v>0</v>
      </c>
      <c r="BZ98" s="24">
        <f>BY98*2</f>
        <v>0</v>
      </c>
      <c r="CA98" s="24">
        <f>COUNTIF(F98:AI98, "10.5")</f>
        <v>0</v>
      </c>
      <c r="CB98" s="24">
        <f>CA98*2.5</f>
        <v>0</v>
      </c>
      <c r="CC98" s="24">
        <f>COUNTIF(F98:AI98, "11")</f>
        <v>0</v>
      </c>
      <c r="CD98" s="24">
        <f>CC98*3</f>
        <v>0</v>
      </c>
      <c r="CE98" s="24">
        <f>COUNTIF(F98:AI98, "11.5")</f>
        <v>0</v>
      </c>
      <c r="CF98" s="24">
        <f>CE98*3.5</f>
        <v>0</v>
      </c>
      <c r="CG98" s="24">
        <f>COUNTIF(F98:AI98, "12")</f>
        <v>0</v>
      </c>
      <c r="CH98" s="24">
        <f>CG98*4</f>
        <v>0</v>
      </c>
      <c r="CI98" s="24">
        <f>COUNTIF(F98:AI98, "12.5")</f>
        <v>0</v>
      </c>
      <c r="CJ98" s="24">
        <f>CI98*4.5</f>
        <v>0</v>
      </c>
      <c r="CK98" s="24">
        <f>COUNTIF(F98:AI98, "13")</f>
        <v>0</v>
      </c>
      <c r="CL98" s="24">
        <f>CK98*5</f>
        <v>0</v>
      </c>
      <c r="CM98" s="24">
        <f>COUNTIF(F98:AI98, "13.5")</f>
        <v>0</v>
      </c>
      <c r="CN98" s="24">
        <f>CM98*5.5</f>
        <v>0</v>
      </c>
      <c r="CO98" s="24">
        <f>COUNTIF(F98:AI98, "14")</f>
        <v>0</v>
      </c>
      <c r="CP98" s="24">
        <f>CO98*6</f>
        <v>0</v>
      </c>
      <c r="CQ98" s="24">
        <f>COUNTIF(F98:AI98, "14.5")</f>
        <v>0</v>
      </c>
      <c r="CR98" s="24">
        <f>CQ98*6.5</f>
        <v>0</v>
      </c>
      <c r="CS98" s="24">
        <f>COUNTIF(F98:AI98, "15")</f>
        <v>0</v>
      </c>
      <c r="CT98" s="24">
        <f>CS98*7</f>
        <v>0</v>
      </c>
      <c r="CU98" s="24">
        <f>COUNTIF(F98:AI98, "15.5")</f>
        <v>0</v>
      </c>
      <c r="CV98" s="24">
        <f>CU98*7.5</f>
        <v>0</v>
      </c>
      <c r="CW98" s="24">
        <f>COUNTIF(F98:AI98, "16")</f>
        <v>0</v>
      </c>
      <c r="CX98" s="24">
        <f>CW98*8</f>
        <v>0</v>
      </c>
      <c r="CY98" s="24">
        <f>COUNTIF(F98:AI98, "16.5")</f>
        <v>0</v>
      </c>
      <c r="CZ98" s="24">
        <f>CY98*8.5</f>
        <v>0</v>
      </c>
      <c r="DA98" s="24">
        <f>COUNTIF(F98:AI98, "17")</f>
        <v>0</v>
      </c>
      <c r="DB98" s="24">
        <f>DA98*9</f>
        <v>0</v>
      </c>
      <c r="DC98" s="24">
        <f>COUNTIF(F98:AI98, "17.5")</f>
        <v>0</v>
      </c>
      <c r="DD98" s="24">
        <f>DC98*9.5</f>
        <v>0</v>
      </c>
      <c r="DE98" s="24">
        <f>COUNTIF(F98:AI98, "18")</f>
        <v>0</v>
      </c>
      <c r="DF98" s="24">
        <f>DE98*10</f>
        <v>0</v>
      </c>
      <c r="DG98" s="24">
        <f>COUNTIF(F98:AI98, "18.5")</f>
        <v>0</v>
      </c>
      <c r="DH98" s="24">
        <f>DG98*10.5</f>
        <v>0</v>
      </c>
      <c r="DI98" s="24">
        <f>COUNTIF(F98:AI98, "19")</f>
        <v>0</v>
      </c>
      <c r="DJ98" s="24">
        <f>DI98*11</f>
        <v>0</v>
      </c>
      <c r="DK98" s="24">
        <f>COUNTIF(F98:AI98, "19.5")</f>
        <v>0</v>
      </c>
      <c r="DL98" s="24">
        <f>DK98*11.5</f>
        <v>0</v>
      </c>
      <c r="DM98" s="24">
        <f>COUNTIF(F98:AI98, "20")</f>
        <v>0</v>
      </c>
      <c r="DN98" s="24">
        <f>DM98*12</f>
        <v>0</v>
      </c>
      <c r="DO98" s="24">
        <f>COUNTIF(F98:AI98, "20.5")</f>
        <v>0</v>
      </c>
      <c r="DP98" s="24">
        <f>DO98*12.5</f>
        <v>0</v>
      </c>
      <c r="DQ98" s="24">
        <f>COUNTIF(F98:AI98, "21")</f>
        <v>0</v>
      </c>
      <c r="DR98" s="24">
        <f>DQ98*13</f>
        <v>0</v>
      </c>
      <c r="DS98" s="24">
        <f>COUNTIF(F98:AI98, "21.5")</f>
        <v>0</v>
      </c>
      <c r="DT98" s="24">
        <f>DS98*13.5</f>
        <v>0</v>
      </c>
      <c r="DU98" s="24">
        <f>COUNTIF(F98:AI98, "22")</f>
        <v>0</v>
      </c>
      <c r="DV98" s="24">
        <f>DU98*14</f>
        <v>0</v>
      </c>
      <c r="DW98" s="24">
        <f>COUNTIF(F98:AI98, "22.5")</f>
        <v>0</v>
      </c>
      <c r="DX98" s="24">
        <f>DW98*14.5</f>
        <v>0</v>
      </c>
      <c r="DY98" s="24">
        <f>COUNTIF(F98:AI98, "23")</f>
        <v>0</v>
      </c>
      <c r="DZ98" s="24">
        <f>DY98*15</f>
        <v>0</v>
      </c>
      <c r="EA98" s="24">
        <f>COUNTIF(F98:AI98, "23.5")</f>
        <v>0</v>
      </c>
      <c r="EB98" s="24">
        <f>EA98*15.5</f>
        <v>0</v>
      </c>
      <c r="EC98" s="24">
        <f>COUNTIF(F98:AI98, "24")</f>
        <v>0</v>
      </c>
      <c r="ED98" s="24">
        <f>EC98*16</f>
        <v>0</v>
      </c>
      <c r="EE98" s="151" t="s">
        <v>302</v>
      </c>
    </row>
    <row r="99" spans="1:135" s="2" customFormat="1" ht="18" customHeight="1" x14ac:dyDescent="0.25">
      <c r="A99" s="27">
        <v>96</v>
      </c>
      <c r="B99" s="145">
        <v>316</v>
      </c>
      <c r="C99" s="146" t="s">
        <v>479</v>
      </c>
      <c r="D99" s="148" t="s">
        <v>167</v>
      </c>
      <c r="E99" s="18">
        <v>45734</v>
      </c>
      <c r="F99" s="19">
        <v>10.5</v>
      </c>
      <c r="G99" s="19">
        <v>10.5</v>
      </c>
      <c r="H99" s="19">
        <v>10.5</v>
      </c>
      <c r="I99" s="19">
        <v>8</v>
      </c>
      <c r="J99" s="19" t="s">
        <v>603</v>
      </c>
      <c r="K99" s="19">
        <v>8</v>
      </c>
      <c r="L99" s="19" t="s">
        <v>15</v>
      </c>
      <c r="M99" s="19">
        <v>9</v>
      </c>
      <c r="N99" s="19" t="s">
        <v>316</v>
      </c>
      <c r="O99" s="19" t="s">
        <v>316</v>
      </c>
      <c r="P99" s="19" t="s">
        <v>316</v>
      </c>
      <c r="Q99" s="19" t="s">
        <v>316</v>
      </c>
      <c r="R99" s="19">
        <v>10</v>
      </c>
      <c r="S99" s="19" t="s">
        <v>316</v>
      </c>
      <c r="T99" s="19">
        <v>10</v>
      </c>
      <c r="U99" s="19">
        <v>10</v>
      </c>
      <c r="V99" s="19">
        <v>10</v>
      </c>
      <c r="W99" s="19">
        <v>10</v>
      </c>
      <c r="X99" s="19">
        <v>10</v>
      </c>
      <c r="Y99" s="19">
        <v>10</v>
      </c>
      <c r="Z99" s="19" t="s">
        <v>15</v>
      </c>
      <c r="AA99" s="19">
        <v>10</v>
      </c>
      <c r="AB99" s="19">
        <v>10</v>
      </c>
      <c r="AC99" s="19">
        <v>10</v>
      </c>
      <c r="AD99" s="19">
        <v>10</v>
      </c>
      <c r="AE99" s="19">
        <v>10</v>
      </c>
      <c r="AF99" s="19" t="s">
        <v>316</v>
      </c>
      <c r="AG99" s="19" t="s">
        <v>316</v>
      </c>
      <c r="AH99" s="19">
        <v>10</v>
      </c>
      <c r="AI99" s="19" t="s">
        <v>316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f>SUM(BT99+BV99+BX99+BZ99+CB99+CD99+CF99+CH99+CJ99+CL99+CN99+CP99+CR99+CT99+CV99+CX99+CZ99+DB99+DD99+DF99+DH99+DJ99+DL99+DN99+DP99+DR99+DT99+DV99+DX99+DZ99+EB99+ED99)</f>
        <v>34.5</v>
      </c>
      <c r="AU99" s="19">
        <f>SUM(AJ99:AN99)</f>
        <v>0</v>
      </c>
      <c r="AV99" s="19">
        <f>SUM(AO99:AS99)</f>
        <v>0</v>
      </c>
      <c r="AW99" s="16">
        <f>COUNTIF(F99:AI99,"8")+COUNTIF(F99:AI99,"8.5")+COUNTIF(F99:AI99,"9")+COUNTIF(F99:AI99,"9.5")+COUNTIF(F99:AI99,"10")+COUNTIF(F99:AI99,"10.5")+COUNTIF(F99:AI99,"11")+COUNTIF(F99:AI99,"11.5")+COUNTIF(F99:AI99,"12")+COUNTIF(F99:AI99,"12.5")+COUNTIF(F99:AI99,"13")+COUNTIF(F99:AI99,"13.5")+COUNTIF(F99:AI99,"14")+COUNTIF(F99:AI99,"14.5")+COUNTIF(F99:AI99,"15")+COUNTIF(F99:AI99,"15.5")+COUNTIF(F99:AI99,"16")+COUNTIF(F99:AI99,"16.5")+COUNTIF(F99:AI99,"17")+COUNTIF(F99:AI99,"17.5")+COUNTIF(F99:AI99,"18")+COUNTIF(F99:AI99,"18.5")+COUNTIF(F99:AI99,"19")+COUNTIF(F99:AI99,"19.5")+COUNTIF(F99:AI99,"20")+COUNTIF(F99:AI99,"20.5")+COUNTIF(F99:AI99,"21")+COUNTIF(F99:AI99,"21.5")+COUNTIF(F99:AI99,"22")+COUNTIF(F99:AI99,"22.5")+COUNTIF(F99:AI99,"23")+COUNTIF(F99:AI99,"23.5")+COUNTIF(F99:AI99,"24")+COUNTIF(F99:AI99,"S")+COUNTIF(F99:AI99,"PH")+COUNTIF(F99:AI99,"ML")+COUNTIF(F99:AI99,"OD")</f>
        <v>22</v>
      </c>
      <c r="AX99" s="16">
        <f>COUNTIF(F99:AI99,"A")</f>
        <v>8</v>
      </c>
      <c r="AY99" s="38">
        <f>COUNTIF(F99:AI99,"ID")</f>
        <v>0</v>
      </c>
      <c r="AZ99" s="36">
        <v>1150</v>
      </c>
      <c r="BA99" s="20">
        <v>100</v>
      </c>
      <c r="BB99" s="21">
        <v>0</v>
      </c>
      <c r="BC99" s="19">
        <f>MROUND(AZ99/30*AW99, 1)</f>
        <v>843</v>
      </c>
      <c r="BD99" s="19">
        <f>MROUND(BA99/30*AW99, 1)</f>
        <v>73</v>
      </c>
      <c r="BE99" s="19">
        <f>MROUND((AZ99/30/8*1.25*AT99)+(AZ99/30/8*1.5*AU99)+(AZ99/30/8*1.5*AV99), 1)</f>
        <v>207</v>
      </c>
      <c r="BF99" s="19">
        <f>MROUND(BB99/30*AW99, 1)</f>
        <v>0</v>
      </c>
      <c r="BG99" s="19">
        <f>MROUND(AZ99/30*AY99, 1)</f>
        <v>0</v>
      </c>
      <c r="BH99" s="19">
        <f>MROUND(BA99/30*AY99, 1)</f>
        <v>0</v>
      </c>
      <c r="BI99" s="19">
        <v>0</v>
      </c>
      <c r="BJ99" s="19">
        <v>0</v>
      </c>
      <c r="BK99" s="19">
        <f t="shared" si="653"/>
        <v>1123</v>
      </c>
      <c r="BL99" s="19">
        <v>0</v>
      </c>
      <c r="BM99" s="19">
        <v>0</v>
      </c>
      <c r="BN99" s="19">
        <f t="shared" si="654"/>
        <v>0</v>
      </c>
      <c r="BO99" s="19">
        <f t="shared" si="655"/>
        <v>1123</v>
      </c>
      <c r="BP99" s="19">
        <v>0</v>
      </c>
      <c r="BQ99" s="19">
        <v>0</v>
      </c>
      <c r="BR99" s="22">
        <f t="shared" si="656"/>
        <v>1123</v>
      </c>
      <c r="BS99" s="23">
        <f>COUNTIF(F99:AI99, "8.5")</f>
        <v>0</v>
      </c>
      <c r="BT99" s="24">
        <f>BS99*0.5</f>
        <v>0</v>
      </c>
      <c r="BU99" s="24">
        <f>COUNTIF(F99:AI99, "9")</f>
        <v>1</v>
      </c>
      <c r="BV99" s="24">
        <f>BU99*1</f>
        <v>1</v>
      </c>
      <c r="BW99" s="24">
        <f>COUNTIF(F99:AI99, "9.5")</f>
        <v>0</v>
      </c>
      <c r="BX99" s="24">
        <f>BW99*1.5</f>
        <v>0</v>
      </c>
      <c r="BY99" s="24">
        <f>COUNTIF(F99:AI99, "10")</f>
        <v>13</v>
      </c>
      <c r="BZ99" s="24">
        <f>BY99*2</f>
        <v>26</v>
      </c>
      <c r="CA99" s="24">
        <f>COUNTIF(F99:AI99, "10.5")</f>
        <v>3</v>
      </c>
      <c r="CB99" s="24">
        <f>CA99*2.5</f>
        <v>7.5</v>
      </c>
      <c r="CC99" s="24">
        <f>COUNTIF(F99:AI99, "11")</f>
        <v>0</v>
      </c>
      <c r="CD99" s="24">
        <f>CC99*3</f>
        <v>0</v>
      </c>
      <c r="CE99" s="24">
        <f>COUNTIF(F99:AI99, "11.5")</f>
        <v>0</v>
      </c>
      <c r="CF99" s="24">
        <f>CE99*3.5</f>
        <v>0</v>
      </c>
      <c r="CG99" s="24">
        <f>COUNTIF(F99:AI99, "12")</f>
        <v>0</v>
      </c>
      <c r="CH99" s="24">
        <f>CG99*4</f>
        <v>0</v>
      </c>
      <c r="CI99" s="24">
        <f>COUNTIF(F99:AI99, "12.5")</f>
        <v>0</v>
      </c>
      <c r="CJ99" s="24">
        <f>CI99*4.5</f>
        <v>0</v>
      </c>
      <c r="CK99" s="24">
        <f>COUNTIF(F99:AI99, "13")</f>
        <v>0</v>
      </c>
      <c r="CL99" s="24">
        <f>CK99*5</f>
        <v>0</v>
      </c>
      <c r="CM99" s="24">
        <f>COUNTIF(F99:AI99, "13.5")</f>
        <v>0</v>
      </c>
      <c r="CN99" s="24">
        <f>CM99*5.5</f>
        <v>0</v>
      </c>
      <c r="CO99" s="24">
        <f>COUNTIF(F99:AI99, "14")</f>
        <v>0</v>
      </c>
      <c r="CP99" s="24">
        <f>CO99*6</f>
        <v>0</v>
      </c>
      <c r="CQ99" s="24">
        <f>COUNTIF(F99:AI99, "14.5")</f>
        <v>0</v>
      </c>
      <c r="CR99" s="24">
        <f>CQ99*6.5</f>
        <v>0</v>
      </c>
      <c r="CS99" s="24">
        <f>COUNTIF(F99:AI99, "15")</f>
        <v>0</v>
      </c>
      <c r="CT99" s="24">
        <f>CS99*7</f>
        <v>0</v>
      </c>
      <c r="CU99" s="24">
        <f>COUNTIF(F99:AI99, "15.5")</f>
        <v>0</v>
      </c>
      <c r="CV99" s="24">
        <f>CU99*7.5</f>
        <v>0</v>
      </c>
      <c r="CW99" s="24">
        <f>COUNTIF(F99:AI99, "16")</f>
        <v>0</v>
      </c>
      <c r="CX99" s="24">
        <f>CW99*8</f>
        <v>0</v>
      </c>
      <c r="CY99" s="24">
        <f>COUNTIF(F99:AI99, "16.5")</f>
        <v>0</v>
      </c>
      <c r="CZ99" s="24">
        <f>CY99*8.5</f>
        <v>0</v>
      </c>
      <c r="DA99" s="24">
        <f>COUNTIF(F99:AI99, "17")</f>
        <v>0</v>
      </c>
      <c r="DB99" s="24">
        <f>DA99*9</f>
        <v>0</v>
      </c>
      <c r="DC99" s="24">
        <f>COUNTIF(F99:AI99, "17.5")</f>
        <v>0</v>
      </c>
      <c r="DD99" s="24">
        <f>DC99*9.5</f>
        <v>0</v>
      </c>
      <c r="DE99" s="24">
        <f>COUNTIF(F99:AI99, "18")</f>
        <v>0</v>
      </c>
      <c r="DF99" s="24">
        <f>DE99*10</f>
        <v>0</v>
      </c>
      <c r="DG99" s="24">
        <f>COUNTIF(F99:AI99, "18.5")</f>
        <v>0</v>
      </c>
      <c r="DH99" s="24">
        <f>DG99*10.5</f>
        <v>0</v>
      </c>
      <c r="DI99" s="24">
        <f>COUNTIF(F99:AI99, "19")</f>
        <v>0</v>
      </c>
      <c r="DJ99" s="24">
        <f>DI99*11</f>
        <v>0</v>
      </c>
      <c r="DK99" s="24">
        <f>COUNTIF(F99:AI99, "19.5")</f>
        <v>0</v>
      </c>
      <c r="DL99" s="24">
        <f>DK99*11.5</f>
        <v>0</v>
      </c>
      <c r="DM99" s="24">
        <f>COUNTIF(F99:AI99, "20")</f>
        <v>0</v>
      </c>
      <c r="DN99" s="24">
        <f>DM99*12</f>
        <v>0</v>
      </c>
      <c r="DO99" s="24">
        <f>COUNTIF(F99:AI99, "20.5")</f>
        <v>0</v>
      </c>
      <c r="DP99" s="24">
        <f>DO99*12.5</f>
        <v>0</v>
      </c>
      <c r="DQ99" s="24">
        <f>COUNTIF(F99:AI99, "21")</f>
        <v>0</v>
      </c>
      <c r="DR99" s="24">
        <f>DQ99*13</f>
        <v>0</v>
      </c>
      <c r="DS99" s="24">
        <f>COUNTIF(F99:AI99, "21.5")</f>
        <v>0</v>
      </c>
      <c r="DT99" s="24">
        <f>DS99*13.5</f>
        <v>0</v>
      </c>
      <c r="DU99" s="24">
        <f>COUNTIF(F99:AI99, "22")</f>
        <v>0</v>
      </c>
      <c r="DV99" s="24">
        <f>DU99*14</f>
        <v>0</v>
      </c>
      <c r="DW99" s="24">
        <f>COUNTIF(F99:AI99, "22.5")</f>
        <v>0</v>
      </c>
      <c r="DX99" s="24">
        <f>DW99*14.5</f>
        <v>0</v>
      </c>
      <c r="DY99" s="24">
        <f>COUNTIF(F99:AI99, "23")</f>
        <v>0</v>
      </c>
      <c r="DZ99" s="24">
        <f>DY99*15</f>
        <v>0</v>
      </c>
      <c r="EA99" s="24">
        <f>COUNTIF(F99:AI99, "23.5")</f>
        <v>0</v>
      </c>
      <c r="EB99" s="24">
        <f>EA99*15.5</f>
        <v>0</v>
      </c>
      <c r="EC99" s="24">
        <f>COUNTIF(F99:AI99, "24")</f>
        <v>0</v>
      </c>
      <c r="ED99" s="24">
        <f>EC99*16</f>
        <v>0</v>
      </c>
      <c r="EE99" s="151" t="s">
        <v>302</v>
      </c>
    </row>
    <row r="100" spans="1:135" s="2" customFormat="1" ht="18" customHeight="1" x14ac:dyDescent="0.25">
      <c r="A100" s="27">
        <v>97</v>
      </c>
      <c r="B100" s="111" t="s">
        <v>315</v>
      </c>
      <c r="C100" s="28" t="s">
        <v>319</v>
      </c>
      <c r="D100" s="131" t="s">
        <v>107</v>
      </c>
      <c r="E100" s="18">
        <v>45457</v>
      </c>
      <c r="F100" s="19">
        <v>10</v>
      </c>
      <c r="G100" s="19">
        <v>10</v>
      </c>
      <c r="H100" s="19">
        <v>10</v>
      </c>
      <c r="I100" s="19">
        <v>10</v>
      </c>
      <c r="J100" s="19" t="s">
        <v>603</v>
      </c>
      <c r="K100" s="19">
        <v>10</v>
      </c>
      <c r="L100" s="19" t="s">
        <v>15</v>
      </c>
      <c r="M100" s="19">
        <v>10</v>
      </c>
      <c r="N100" s="19">
        <v>10</v>
      </c>
      <c r="O100" s="19">
        <v>10</v>
      </c>
      <c r="P100" s="19">
        <v>10</v>
      </c>
      <c r="Q100" s="19">
        <v>10</v>
      </c>
      <c r="R100" s="19">
        <v>10</v>
      </c>
      <c r="S100" s="19" t="s">
        <v>15</v>
      </c>
      <c r="T100" s="19">
        <v>10</v>
      </c>
      <c r="U100" s="19">
        <v>10</v>
      </c>
      <c r="V100" s="19">
        <v>10</v>
      </c>
      <c r="W100" s="19">
        <v>10</v>
      </c>
      <c r="X100" s="19">
        <v>10</v>
      </c>
      <c r="Y100" s="19">
        <v>10</v>
      </c>
      <c r="Z100" s="19" t="s">
        <v>15</v>
      </c>
      <c r="AA100" s="19">
        <v>10</v>
      </c>
      <c r="AB100" s="19">
        <v>10</v>
      </c>
      <c r="AC100" s="19">
        <v>10</v>
      </c>
      <c r="AD100" s="19">
        <v>10</v>
      </c>
      <c r="AE100" s="19">
        <v>10</v>
      </c>
      <c r="AF100" s="19">
        <v>10</v>
      </c>
      <c r="AG100" s="19" t="s">
        <v>15</v>
      </c>
      <c r="AH100" s="19">
        <v>10</v>
      </c>
      <c r="AI100" s="19">
        <v>10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f>SUM(BT100+BV100+BX100+BZ100+CB100+CD100+CF100+CH100+CJ100+CL100+CN100+CP100+CR100+CT100+CV100+CX100+CZ100+DB100+DD100+DF100+DH100+DJ100+DL100+DN100+DP100+DR100+DT100+DV100+DX100+DZ100+EB100+ED100)</f>
        <v>50</v>
      </c>
      <c r="AU100" s="19">
        <f>SUM(AJ100:AN100)</f>
        <v>0</v>
      </c>
      <c r="AV100" s="19">
        <f>SUM(AO100:AS100)</f>
        <v>0</v>
      </c>
      <c r="AW100" s="16">
        <f>COUNTIF(F100:AI100,"8")+COUNTIF(F100:AI100,"8.5")+COUNTIF(F100:AI100,"9")+COUNTIF(F100:AI100,"9.5")+COUNTIF(F100:AI100,"10")+COUNTIF(F100:AI100,"10.5")+COUNTIF(F100:AI100,"11")+COUNTIF(F100:AI100,"11.5")+COUNTIF(F100:AI100,"12")+COUNTIF(F100:AI100,"12.5")+COUNTIF(F100:AI100,"13")+COUNTIF(F100:AI100,"13.5")+COUNTIF(F100:AI100,"14")+COUNTIF(F100:AI100,"14.5")+COUNTIF(F100:AI100,"15")+COUNTIF(F100:AI100,"15.5")+COUNTIF(F100:AI100,"16")+COUNTIF(F100:AI100,"16.5")+COUNTIF(F100:AI100,"17")+COUNTIF(F100:AI100,"17.5")+COUNTIF(F100:AI100,"18")+COUNTIF(F100:AI100,"18.5")+COUNTIF(F100:AI100,"19")+COUNTIF(F100:AI100,"19.5")+COUNTIF(F100:AI100,"20")+COUNTIF(F100:AI100,"20.5")+COUNTIF(F100:AI100,"21")+COUNTIF(F100:AI100,"21.5")+COUNTIF(F100:AI100,"22")+COUNTIF(F100:AI100,"22.5")+COUNTIF(F100:AI100,"23")+COUNTIF(F100:AI100,"23.5")+COUNTIF(F100:AI100,"24")+COUNTIF(F100:AI100,"S")+COUNTIF(F100:AI100,"PH")+COUNTIF(F100:AI100,"ML")+COUNTIF(F100:AI100,"OD")</f>
        <v>30</v>
      </c>
      <c r="AX100" s="16">
        <f>COUNTIF(F100:AI100,"A")</f>
        <v>0</v>
      </c>
      <c r="AY100" s="38">
        <f>COUNTIF(F100:AI100,"ID")</f>
        <v>0</v>
      </c>
      <c r="AZ100" s="36">
        <v>1000</v>
      </c>
      <c r="BA100" s="20">
        <v>100</v>
      </c>
      <c r="BB100" s="21">
        <v>0</v>
      </c>
      <c r="BC100" s="19">
        <f>MROUND(AZ100/30*AW100, 1)</f>
        <v>1000</v>
      </c>
      <c r="BD100" s="19">
        <f>MROUND(BA100/30*AW100, 1)</f>
        <v>100</v>
      </c>
      <c r="BE100" s="19">
        <f>MROUND((AZ100/30/8*1.25*AT100)+(AZ100/30/8*1.5*AU100)+(AZ100/30/8*1.5*AV100), 1)</f>
        <v>260</v>
      </c>
      <c r="BF100" s="19">
        <f>MROUND(BB100/30*AW100, 1)</f>
        <v>0</v>
      </c>
      <c r="BG100" s="19">
        <f>MROUND(AZ100/30*AY100, 1)</f>
        <v>0</v>
      </c>
      <c r="BH100" s="19">
        <f>MROUND(BA100/30*AY100, 1)</f>
        <v>0</v>
      </c>
      <c r="BI100" s="19">
        <v>0</v>
      </c>
      <c r="BJ100" s="19">
        <v>95</v>
      </c>
      <c r="BK100" s="19">
        <f t="shared" si="653"/>
        <v>1455</v>
      </c>
      <c r="BL100" s="19">
        <v>0</v>
      </c>
      <c r="BM100" s="19">
        <v>0</v>
      </c>
      <c r="BN100" s="19">
        <f t="shared" si="654"/>
        <v>0</v>
      </c>
      <c r="BO100" s="19">
        <f t="shared" si="655"/>
        <v>1455</v>
      </c>
      <c r="BP100" s="19">
        <v>0</v>
      </c>
      <c r="BQ100" s="19">
        <v>0</v>
      </c>
      <c r="BR100" s="22">
        <f t="shared" si="656"/>
        <v>1455</v>
      </c>
      <c r="BS100" s="23">
        <f>COUNTIF(F100:AI100, "8.5")</f>
        <v>0</v>
      </c>
      <c r="BT100" s="24">
        <f>BS100*0.5</f>
        <v>0</v>
      </c>
      <c r="BU100" s="24">
        <f>COUNTIF(F100:AI100, "9")</f>
        <v>0</v>
      </c>
      <c r="BV100" s="24">
        <f>BU100*1</f>
        <v>0</v>
      </c>
      <c r="BW100" s="24">
        <f>COUNTIF(F100:AI100, "9.5")</f>
        <v>0</v>
      </c>
      <c r="BX100" s="24">
        <f>BW100*1.5</f>
        <v>0</v>
      </c>
      <c r="BY100" s="24">
        <f>COUNTIF(F100:AI100, "10")</f>
        <v>25</v>
      </c>
      <c r="BZ100" s="24">
        <f>BY100*2</f>
        <v>50</v>
      </c>
      <c r="CA100" s="24">
        <f>COUNTIF(F100:AI100, "10.5")</f>
        <v>0</v>
      </c>
      <c r="CB100" s="24">
        <f>CA100*2.5</f>
        <v>0</v>
      </c>
      <c r="CC100" s="24">
        <f>COUNTIF(F100:AI100, "11")</f>
        <v>0</v>
      </c>
      <c r="CD100" s="24">
        <f>CC100*3</f>
        <v>0</v>
      </c>
      <c r="CE100" s="24">
        <f>COUNTIF(F100:AI100, "11.5")</f>
        <v>0</v>
      </c>
      <c r="CF100" s="24">
        <f>CE100*3.5</f>
        <v>0</v>
      </c>
      <c r="CG100" s="24">
        <f>COUNTIF(F100:AI100, "12")</f>
        <v>0</v>
      </c>
      <c r="CH100" s="24">
        <f>CG100*4</f>
        <v>0</v>
      </c>
      <c r="CI100" s="24">
        <f>COUNTIF(F100:AI100, "12.5")</f>
        <v>0</v>
      </c>
      <c r="CJ100" s="24">
        <f>CI100*4.5</f>
        <v>0</v>
      </c>
      <c r="CK100" s="24">
        <f>COUNTIF(F100:AI100, "13")</f>
        <v>0</v>
      </c>
      <c r="CL100" s="24">
        <f>CK100*5</f>
        <v>0</v>
      </c>
      <c r="CM100" s="24">
        <f>COUNTIF(F100:AI100, "13.5")</f>
        <v>0</v>
      </c>
      <c r="CN100" s="24">
        <f>CM100*5.5</f>
        <v>0</v>
      </c>
      <c r="CO100" s="24">
        <f>COUNTIF(F100:AI100, "14")</f>
        <v>0</v>
      </c>
      <c r="CP100" s="24">
        <f>CO100*6</f>
        <v>0</v>
      </c>
      <c r="CQ100" s="24">
        <f>COUNTIF(F100:AI100, "14.5")</f>
        <v>0</v>
      </c>
      <c r="CR100" s="24">
        <f>CQ100*6.5</f>
        <v>0</v>
      </c>
      <c r="CS100" s="24">
        <f>COUNTIF(F100:AI100, "15")</f>
        <v>0</v>
      </c>
      <c r="CT100" s="24">
        <f>CS100*7</f>
        <v>0</v>
      </c>
      <c r="CU100" s="24">
        <f>COUNTIF(F100:AI100, "15.5")</f>
        <v>0</v>
      </c>
      <c r="CV100" s="24">
        <f>CU100*7.5</f>
        <v>0</v>
      </c>
      <c r="CW100" s="24">
        <f>COUNTIF(F100:AI100, "16")</f>
        <v>0</v>
      </c>
      <c r="CX100" s="24">
        <f>CW100*8</f>
        <v>0</v>
      </c>
      <c r="CY100" s="24">
        <f>COUNTIF(F100:AI100, "16.5")</f>
        <v>0</v>
      </c>
      <c r="CZ100" s="24">
        <f>CY100*8.5</f>
        <v>0</v>
      </c>
      <c r="DA100" s="24">
        <f>COUNTIF(F100:AI100, "17")</f>
        <v>0</v>
      </c>
      <c r="DB100" s="24">
        <f>DA100*9</f>
        <v>0</v>
      </c>
      <c r="DC100" s="24">
        <f>COUNTIF(F100:AI100, "17.5")</f>
        <v>0</v>
      </c>
      <c r="DD100" s="24">
        <f>DC100*9.5</f>
        <v>0</v>
      </c>
      <c r="DE100" s="24">
        <f>COUNTIF(F100:AI100, "18")</f>
        <v>0</v>
      </c>
      <c r="DF100" s="24">
        <f>DE100*10</f>
        <v>0</v>
      </c>
      <c r="DG100" s="24">
        <f>COUNTIF(F100:AI100, "18.5")</f>
        <v>0</v>
      </c>
      <c r="DH100" s="24">
        <f>DG100*10.5</f>
        <v>0</v>
      </c>
      <c r="DI100" s="24">
        <f>COUNTIF(F100:AI100, "19")</f>
        <v>0</v>
      </c>
      <c r="DJ100" s="24">
        <f>DI100*11</f>
        <v>0</v>
      </c>
      <c r="DK100" s="24">
        <f>COUNTIF(F100:AI100, "19.5")</f>
        <v>0</v>
      </c>
      <c r="DL100" s="24">
        <f>DK100*11.5</f>
        <v>0</v>
      </c>
      <c r="DM100" s="24">
        <f>COUNTIF(F100:AI100, "20")</f>
        <v>0</v>
      </c>
      <c r="DN100" s="24">
        <f>DM100*12</f>
        <v>0</v>
      </c>
      <c r="DO100" s="24">
        <f>COUNTIF(F100:AI100, "20.5")</f>
        <v>0</v>
      </c>
      <c r="DP100" s="24">
        <f>DO100*12.5</f>
        <v>0</v>
      </c>
      <c r="DQ100" s="24">
        <f>COUNTIF(F100:AI100, "21")</f>
        <v>0</v>
      </c>
      <c r="DR100" s="24">
        <f>DQ100*13</f>
        <v>0</v>
      </c>
      <c r="DS100" s="24">
        <f>COUNTIF(F100:AI100, "21.5")</f>
        <v>0</v>
      </c>
      <c r="DT100" s="24">
        <f>DS100*13.5</f>
        <v>0</v>
      </c>
      <c r="DU100" s="24">
        <f>COUNTIF(F100:AI100, "22")</f>
        <v>0</v>
      </c>
      <c r="DV100" s="24">
        <f>DU100*14</f>
        <v>0</v>
      </c>
      <c r="DW100" s="24">
        <f>COUNTIF(F100:AI100, "22.5")</f>
        <v>0</v>
      </c>
      <c r="DX100" s="24">
        <f>DW100*14.5</f>
        <v>0</v>
      </c>
      <c r="DY100" s="24">
        <f>COUNTIF(F100:AI100, "23")</f>
        <v>0</v>
      </c>
      <c r="DZ100" s="24">
        <f>DY100*15</f>
        <v>0</v>
      </c>
      <c r="EA100" s="24">
        <f>COUNTIF(F100:AI100, "23.5")</f>
        <v>0</v>
      </c>
      <c r="EB100" s="24">
        <f>EA100*15.5</f>
        <v>0</v>
      </c>
      <c r="EC100" s="24">
        <f>COUNTIF(F100:AI100, "24")</f>
        <v>0</v>
      </c>
      <c r="ED100" s="24">
        <f>EC100*16</f>
        <v>0</v>
      </c>
      <c r="EE100" s="107" t="s">
        <v>172</v>
      </c>
    </row>
    <row r="101" spans="1:135" s="2" customFormat="1" ht="18" customHeight="1" x14ac:dyDescent="0.25">
      <c r="A101" s="27">
        <v>98</v>
      </c>
      <c r="B101" s="111" t="s">
        <v>392</v>
      </c>
      <c r="C101" s="28" t="s">
        <v>340</v>
      </c>
      <c r="D101" s="29" t="s">
        <v>107</v>
      </c>
      <c r="E101" s="18">
        <v>45481</v>
      </c>
      <c r="F101" s="19">
        <v>10</v>
      </c>
      <c r="G101" s="19">
        <v>8</v>
      </c>
      <c r="H101" s="19">
        <v>10</v>
      </c>
      <c r="I101" s="19">
        <v>10</v>
      </c>
      <c r="J101" s="19" t="s">
        <v>603</v>
      </c>
      <c r="K101" s="19">
        <v>10</v>
      </c>
      <c r="L101" s="19" t="s">
        <v>15</v>
      </c>
      <c r="M101" s="19">
        <v>10</v>
      </c>
      <c r="N101" s="19">
        <v>10</v>
      </c>
      <c r="O101" s="19">
        <v>10</v>
      </c>
      <c r="P101" s="19">
        <v>10</v>
      </c>
      <c r="Q101" s="19">
        <v>10</v>
      </c>
      <c r="R101" s="19">
        <v>10</v>
      </c>
      <c r="S101" s="19" t="s">
        <v>15</v>
      </c>
      <c r="T101" s="19">
        <v>10</v>
      </c>
      <c r="U101" s="19">
        <v>10</v>
      </c>
      <c r="V101" s="19">
        <v>10</v>
      </c>
      <c r="W101" s="19">
        <v>10</v>
      </c>
      <c r="X101" s="19">
        <v>10</v>
      </c>
      <c r="Y101" s="19">
        <v>10</v>
      </c>
      <c r="Z101" s="19" t="s">
        <v>15</v>
      </c>
      <c r="AA101" s="19">
        <v>11</v>
      </c>
      <c r="AB101" s="19">
        <v>11</v>
      </c>
      <c r="AC101" s="19">
        <v>11</v>
      </c>
      <c r="AD101" s="19">
        <v>11</v>
      </c>
      <c r="AE101" s="19">
        <v>11</v>
      </c>
      <c r="AF101" s="19">
        <v>11</v>
      </c>
      <c r="AG101" s="19" t="s">
        <v>417</v>
      </c>
      <c r="AH101" s="19" t="s">
        <v>417</v>
      </c>
      <c r="AI101" s="19" t="s">
        <v>417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f>SUM(BT101+BV101+BX101+BZ101+CB101+CD101+CF101+CH101+CJ101+CL101+CN101+CP101+CR101+CT101+CV101+CX101+CZ101+DB101+DD101+DF101+DH101+DJ101+DL101+DN101+DP101+DR101+DT101+DV101+DX101+DZ101+EB101+ED101)</f>
        <v>50</v>
      </c>
      <c r="AU101" s="19">
        <f>SUM(AJ101:AN101)</f>
        <v>0</v>
      </c>
      <c r="AV101" s="19">
        <f>SUM(AO101:AS101)</f>
        <v>0</v>
      </c>
      <c r="AW101" s="16">
        <f>COUNTIF(F101:AI101,"8")+COUNTIF(F101:AI101,"8.5")+COUNTIF(F101:AI101,"9")+COUNTIF(F101:AI101,"9.5")+COUNTIF(F101:AI101,"10")+COUNTIF(F101:AI101,"10.5")+COUNTIF(F101:AI101,"11")+COUNTIF(F101:AI101,"11.5")+COUNTIF(F101:AI101,"12")+COUNTIF(F101:AI101,"12.5")+COUNTIF(F101:AI101,"13")+COUNTIF(F101:AI101,"13.5")+COUNTIF(F101:AI101,"14")+COUNTIF(F101:AI101,"14.5")+COUNTIF(F101:AI101,"15")+COUNTIF(F101:AI101,"15.5")+COUNTIF(F101:AI101,"16")+COUNTIF(F101:AI101,"16.5")+COUNTIF(F101:AI101,"17")+COUNTIF(F101:AI101,"17.5")+COUNTIF(F101:AI101,"18")+COUNTIF(F101:AI101,"18.5")+COUNTIF(F101:AI101,"19")+COUNTIF(F101:AI101,"19.5")+COUNTIF(F101:AI101,"20")+COUNTIF(F101:AI101,"20.5")+COUNTIF(F101:AI101,"21")+COUNTIF(F101:AI101,"21.5")+COUNTIF(F101:AI101,"22")+COUNTIF(F101:AI101,"22.5")+COUNTIF(F101:AI101,"23")+COUNTIF(F101:AI101,"23.5")+COUNTIF(F101:AI101,"24")+COUNTIF(F101:AI101,"S")+COUNTIF(F101:AI101,"PH")+COUNTIF(F101:AI101,"ML")+COUNTIF(F101:AI101,"OD")</f>
        <v>27</v>
      </c>
      <c r="AX101" s="16">
        <f>COUNTIF(F101:AI101,"A")</f>
        <v>0</v>
      </c>
      <c r="AY101" s="38">
        <f>COUNTIF(F101:AI101,"ID")</f>
        <v>0</v>
      </c>
      <c r="AZ101" s="36">
        <v>900</v>
      </c>
      <c r="BA101" s="20">
        <v>100</v>
      </c>
      <c r="BB101" s="21">
        <v>0</v>
      </c>
      <c r="BC101" s="19">
        <f>MROUND(AZ101/30*AW101, 1)</f>
        <v>810</v>
      </c>
      <c r="BD101" s="19">
        <f>MROUND(BA101/30*AW101, 1)</f>
        <v>90</v>
      </c>
      <c r="BE101" s="19">
        <f>MROUND((AZ101/30/8*1.25*AT101)+(AZ101/30/8*1.5*AU101)+(AZ101/30/8*1.5*AV101), 1)</f>
        <v>234</v>
      </c>
      <c r="BF101" s="19">
        <f>MROUND(BB101/30*AW101, 1)</f>
        <v>0</v>
      </c>
      <c r="BG101" s="19">
        <f>MROUND(AZ101/30*AY101, 1)</f>
        <v>0</v>
      </c>
      <c r="BH101" s="19">
        <f>MROUND(BA101/30*AY101, 1)</f>
        <v>0</v>
      </c>
      <c r="BI101" s="19">
        <v>0</v>
      </c>
      <c r="BJ101" s="19">
        <v>0</v>
      </c>
      <c r="BK101" s="19">
        <f t="shared" si="653"/>
        <v>1134</v>
      </c>
      <c r="BL101" s="19">
        <v>0</v>
      </c>
      <c r="BM101" s="19">
        <v>0</v>
      </c>
      <c r="BN101" s="19">
        <f t="shared" si="654"/>
        <v>0</v>
      </c>
      <c r="BO101" s="19">
        <f t="shared" si="655"/>
        <v>1134</v>
      </c>
      <c r="BP101" s="19">
        <v>0</v>
      </c>
      <c r="BQ101" s="19">
        <v>0</v>
      </c>
      <c r="BR101" s="22">
        <f t="shared" si="656"/>
        <v>1134</v>
      </c>
      <c r="BS101" s="23">
        <f>COUNTIF(F101:AI101, "8.5")</f>
        <v>0</v>
      </c>
      <c r="BT101" s="24">
        <f>BS101*0.5</f>
        <v>0</v>
      </c>
      <c r="BU101" s="24">
        <f>COUNTIF(F101:AI101, "9")</f>
        <v>0</v>
      </c>
      <c r="BV101" s="24">
        <f>BU101*1</f>
        <v>0</v>
      </c>
      <c r="BW101" s="24">
        <f>COUNTIF(F101:AI101, "9.5")</f>
        <v>0</v>
      </c>
      <c r="BX101" s="24">
        <f>BW101*1.5</f>
        <v>0</v>
      </c>
      <c r="BY101" s="24">
        <f>COUNTIF(F101:AI101, "10")</f>
        <v>16</v>
      </c>
      <c r="BZ101" s="24">
        <f>BY101*2</f>
        <v>32</v>
      </c>
      <c r="CA101" s="24">
        <f>COUNTIF(F101:AI101, "10.5")</f>
        <v>0</v>
      </c>
      <c r="CB101" s="24">
        <f>CA101*2.5</f>
        <v>0</v>
      </c>
      <c r="CC101" s="24">
        <f>COUNTIF(F101:AI101, "11")</f>
        <v>6</v>
      </c>
      <c r="CD101" s="24">
        <f>CC101*3</f>
        <v>18</v>
      </c>
      <c r="CE101" s="24">
        <f>COUNTIF(F101:AI101, "11.5")</f>
        <v>0</v>
      </c>
      <c r="CF101" s="24">
        <f>CE101*3.5</f>
        <v>0</v>
      </c>
      <c r="CG101" s="24">
        <f>COUNTIF(F101:AI101, "12")</f>
        <v>0</v>
      </c>
      <c r="CH101" s="24">
        <f>CG101*4</f>
        <v>0</v>
      </c>
      <c r="CI101" s="24">
        <f>COUNTIF(F101:AI101, "12.5")</f>
        <v>0</v>
      </c>
      <c r="CJ101" s="24">
        <f>CI101*4.5</f>
        <v>0</v>
      </c>
      <c r="CK101" s="24">
        <f>COUNTIF(F101:AI101, "13")</f>
        <v>0</v>
      </c>
      <c r="CL101" s="24">
        <f>CK101*5</f>
        <v>0</v>
      </c>
      <c r="CM101" s="24">
        <f>COUNTIF(F101:AI101, "13.5")</f>
        <v>0</v>
      </c>
      <c r="CN101" s="24">
        <f>CM101*5.5</f>
        <v>0</v>
      </c>
      <c r="CO101" s="24">
        <f>COUNTIF(F101:AI101, "14")</f>
        <v>0</v>
      </c>
      <c r="CP101" s="24">
        <f>CO101*6</f>
        <v>0</v>
      </c>
      <c r="CQ101" s="24">
        <f>COUNTIF(F101:AI101, "14.5")</f>
        <v>0</v>
      </c>
      <c r="CR101" s="24">
        <f>CQ101*6.5</f>
        <v>0</v>
      </c>
      <c r="CS101" s="24">
        <f>COUNTIF(F101:AI101, "15")</f>
        <v>0</v>
      </c>
      <c r="CT101" s="24">
        <f>CS101*7</f>
        <v>0</v>
      </c>
      <c r="CU101" s="24">
        <f>COUNTIF(F101:AI101, "15.5")</f>
        <v>0</v>
      </c>
      <c r="CV101" s="24">
        <f>CU101*7.5</f>
        <v>0</v>
      </c>
      <c r="CW101" s="24">
        <f>COUNTIF(F101:AI101, "16")</f>
        <v>0</v>
      </c>
      <c r="CX101" s="24">
        <f>CW101*8</f>
        <v>0</v>
      </c>
      <c r="CY101" s="24">
        <f>COUNTIF(F101:AI101, "16.5")</f>
        <v>0</v>
      </c>
      <c r="CZ101" s="24">
        <f>CY101*8.5</f>
        <v>0</v>
      </c>
      <c r="DA101" s="24">
        <f>COUNTIF(F101:AI101, "17")</f>
        <v>0</v>
      </c>
      <c r="DB101" s="24">
        <f>DA101*9</f>
        <v>0</v>
      </c>
      <c r="DC101" s="24">
        <f>COUNTIF(F101:AI101, "17.5")</f>
        <v>0</v>
      </c>
      <c r="DD101" s="24">
        <f>DC101*9.5</f>
        <v>0</v>
      </c>
      <c r="DE101" s="24">
        <f>COUNTIF(F101:AI101, "18")</f>
        <v>0</v>
      </c>
      <c r="DF101" s="24">
        <f>DE101*10</f>
        <v>0</v>
      </c>
      <c r="DG101" s="24">
        <f>COUNTIF(F101:AI101, "18.5")</f>
        <v>0</v>
      </c>
      <c r="DH101" s="24">
        <f>DG101*10.5</f>
        <v>0</v>
      </c>
      <c r="DI101" s="24">
        <f>COUNTIF(F101:AI101, "19")</f>
        <v>0</v>
      </c>
      <c r="DJ101" s="24">
        <f>DI101*11</f>
        <v>0</v>
      </c>
      <c r="DK101" s="24">
        <f>COUNTIF(F101:AI101, "19.5")</f>
        <v>0</v>
      </c>
      <c r="DL101" s="24">
        <f>DK101*11.5</f>
        <v>0</v>
      </c>
      <c r="DM101" s="24">
        <f>COUNTIF(F101:AI101, "20")</f>
        <v>0</v>
      </c>
      <c r="DN101" s="24">
        <f>DM101*12</f>
        <v>0</v>
      </c>
      <c r="DO101" s="24">
        <f>COUNTIF(F101:AI101, "20.5")</f>
        <v>0</v>
      </c>
      <c r="DP101" s="24">
        <f>DO101*12.5</f>
        <v>0</v>
      </c>
      <c r="DQ101" s="24">
        <f>COUNTIF(F101:AI101, "21")</f>
        <v>0</v>
      </c>
      <c r="DR101" s="24">
        <f>DQ101*13</f>
        <v>0</v>
      </c>
      <c r="DS101" s="24">
        <f>COUNTIF(F101:AI101, "21.5")</f>
        <v>0</v>
      </c>
      <c r="DT101" s="24">
        <f>DS101*13.5</f>
        <v>0</v>
      </c>
      <c r="DU101" s="24">
        <f>COUNTIF(F101:AI101, "22")</f>
        <v>0</v>
      </c>
      <c r="DV101" s="24">
        <f>DU101*14</f>
        <v>0</v>
      </c>
      <c r="DW101" s="24">
        <f>COUNTIF(F101:AI101, "22.5")</f>
        <v>0</v>
      </c>
      <c r="DX101" s="24">
        <f>DW101*14.5</f>
        <v>0</v>
      </c>
      <c r="DY101" s="24">
        <f>COUNTIF(F101:AI101, "23")</f>
        <v>0</v>
      </c>
      <c r="DZ101" s="24">
        <f>DY101*15</f>
        <v>0</v>
      </c>
      <c r="EA101" s="24">
        <f>COUNTIF(F101:AI101, "23.5")</f>
        <v>0</v>
      </c>
      <c r="EB101" s="24">
        <f>EA101*15.5</f>
        <v>0</v>
      </c>
      <c r="EC101" s="24">
        <f>COUNTIF(F101:AI101, "24")</f>
        <v>0</v>
      </c>
      <c r="ED101" s="24">
        <f>EC101*16</f>
        <v>0</v>
      </c>
      <c r="EE101" s="107" t="s">
        <v>172</v>
      </c>
    </row>
    <row r="102" spans="1:135" s="2" customFormat="1" ht="18" customHeight="1" x14ac:dyDescent="0.25">
      <c r="A102" s="27">
        <v>99</v>
      </c>
      <c r="B102" s="111" t="s">
        <v>184</v>
      </c>
      <c r="C102" s="28" t="s">
        <v>221</v>
      </c>
      <c r="D102" s="29" t="s">
        <v>107</v>
      </c>
      <c r="E102" s="18">
        <v>45240</v>
      </c>
      <c r="F102" s="19" t="s">
        <v>417</v>
      </c>
      <c r="G102" s="19" t="s">
        <v>417</v>
      </c>
      <c r="H102" s="19" t="s">
        <v>417</v>
      </c>
      <c r="I102" s="19" t="s">
        <v>417</v>
      </c>
      <c r="J102" s="19" t="s">
        <v>417</v>
      </c>
      <c r="K102" s="19" t="s">
        <v>417</v>
      </c>
      <c r="L102" s="19" t="s">
        <v>417</v>
      </c>
      <c r="M102" s="19" t="s">
        <v>417</v>
      </c>
      <c r="N102" s="19" t="s">
        <v>417</v>
      </c>
      <c r="O102" s="19" t="s">
        <v>417</v>
      </c>
      <c r="P102" s="19" t="s">
        <v>417</v>
      </c>
      <c r="Q102" s="19" t="s">
        <v>417</v>
      </c>
      <c r="R102" s="19" t="s">
        <v>417</v>
      </c>
      <c r="S102" s="19" t="s">
        <v>417</v>
      </c>
      <c r="T102" s="19" t="s">
        <v>417</v>
      </c>
      <c r="U102" s="19" t="s">
        <v>417</v>
      </c>
      <c r="V102" s="19" t="s">
        <v>417</v>
      </c>
      <c r="W102" s="19" t="s">
        <v>417</v>
      </c>
      <c r="X102" s="19" t="s">
        <v>417</v>
      </c>
      <c r="Y102" s="19" t="s">
        <v>417</v>
      </c>
      <c r="Z102" s="19" t="s">
        <v>417</v>
      </c>
      <c r="AA102" s="19" t="s">
        <v>417</v>
      </c>
      <c r="AB102" s="19" t="s">
        <v>417</v>
      </c>
      <c r="AC102" s="19" t="s">
        <v>417</v>
      </c>
      <c r="AD102" s="19" t="s">
        <v>417</v>
      </c>
      <c r="AE102" s="19" t="s">
        <v>417</v>
      </c>
      <c r="AF102" s="19" t="s">
        <v>417</v>
      </c>
      <c r="AG102" s="19" t="s">
        <v>417</v>
      </c>
      <c r="AH102" s="19" t="s">
        <v>417</v>
      </c>
      <c r="AI102" s="19" t="s">
        <v>417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f t="shared" ref="AT102:AT106" si="657">SUM(BT102+BV102+BX102+BZ102+CB102+CD102+CF102+CH102+CJ102+CL102+CN102+CP102+CR102+CT102+CV102+CX102+CZ102+DB102+DD102+DF102+DH102+DJ102+DL102+DN102+DP102+DR102+DT102+DV102+DX102+DZ102+EB102+ED102)</f>
        <v>0</v>
      </c>
      <c r="AU102" s="19">
        <f t="shared" ref="AU102:AU106" si="658">SUM(AJ102:AN102)</f>
        <v>0</v>
      </c>
      <c r="AV102" s="19">
        <f t="shared" si="581"/>
        <v>0</v>
      </c>
      <c r="AW102" s="16">
        <f t="shared" si="582"/>
        <v>0</v>
      </c>
      <c r="AX102" s="16">
        <f t="shared" si="583"/>
        <v>0</v>
      </c>
      <c r="AY102" s="38">
        <f t="shared" si="584"/>
        <v>0</v>
      </c>
      <c r="AZ102" s="36">
        <v>900</v>
      </c>
      <c r="BA102" s="20">
        <v>100</v>
      </c>
      <c r="BB102" s="21">
        <v>0</v>
      </c>
      <c r="BC102" s="19">
        <f t="shared" si="300"/>
        <v>0</v>
      </c>
      <c r="BD102" s="19">
        <f t="shared" si="301"/>
        <v>0</v>
      </c>
      <c r="BE102" s="19">
        <f t="shared" si="302"/>
        <v>0</v>
      </c>
      <c r="BF102" s="19">
        <f t="shared" si="303"/>
        <v>0</v>
      </c>
      <c r="BG102" s="19">
        <f t="shared" si="304"/>
        <v>0</v>
      </c>
      <c r="BH102" s="19">
        <f t="shared" si="305"/>
        <v>0</v>
      </c>
      <c r="BI102" s="19">
        <v>0</v>
      </c>
      <c r="BJ102" s="19">
        <v>0</v>
      </c>
      <c r="BK102" s="19">
        <f t="shared" si="653"/>
        <v>0</v>
      </c>
      <c r="BL102" s="19">
        <v>0</v>
      </c>
      <c r="BM102" s="19">
        <v>0</v>
      </c>
      <c r="BN102" s="19">
        <f t="shared" si="654"/>
        <v>0</v>
      </c>
      <c r="BO102" s="19">
        <f t="shared" si="655"/>
        <v>0</v>
      </c>
      <c r="BP102" s="19">
        <v>0</v>
      </c>
      <c r="BQ102" s="19">
        <v>0</v>
      </c>
      <c r="BR102" s="22">
        <f t="shared" si="656"/>
        <v>0</v>
      </c>
      <c r="BS102" s="23">
        <f t="shared" si="589"/>
        <v>0</v>
      </c>
      <c r="BT102" s="24">
        <f t="shared" si="590"/>
        <v>0</v>
      </c>
      <c r="BU102" s="24">
        <f t="shared" si="591"/>
        <v>0</v>
      </c>
      <c r="BV102" s="24">
        <f t="shared" si="592"/>
        <v>0</v>
      </c>
      <c r="BW102" s="24">
        <f t="shared" si="593"/>
        <v>0</v>
      </c>
      <c r="BX102" s="24">
        <f t="shared" si="594"/>
        <v>0</v>
      </c>
      <c r="BY102" s="24">
        <f t="shared" si="595"/>
        <v>0</v>
      </c>
      <c r="BZ102" s="24">
        <f t="shared" si="596"/>
        <v>0</v>
      </c>
      <c r="CA102" s="24">
        <f t="shared" si="597"/>
        <v>0</v>
      </c>
      <c r="CB102" s="24">
        <f t="shared" si="598"/>
        <v>0</v>
      </c>
      <c r="CC102" s="24">
        <f t="shared" si="599"/>
        <v>0</v>
      </c>
      <c r="CD102" s="24">
        <f t="shared" si="600"/>
        <v>0</v>
      </c>
      <c r="CE102" s="24">
        <f t="shared" si="601"/>
        <v>0</v>
      </c>
      <c r="CF102" s="24">
        <f t="shared" si="602"/>
        <v>0</v>
      </c>
      <c r="CG102" s="24">
        <f t="shared" si="603"/>
        <v>0</v>
      </c>
      <c r="CH102" s="24">
        <f t="shared" si="604"/>
        <v>0</v>
      </c>
      <c r="CI102" s="24">
        <f t="shared" si="605"/>
        <v>0</v>
      </c>
      <c r="CJ102" s="24">
        <f t="shared" si="606"/>
        <v>0</v>
      </c>
      <c r="CK102" s="24">
        <f t="shared" si="607"/>
        <v>0</v>
      </c>
      <c r="CL102" s="24">
        <f t="shared" si="608"/>
        <v>0</v>
      </c>
      <c r="CM102" s="24">
        <f t="shared" si="609"/>
        <v>0</v>
      </c>
      <c r="CN102" s="24">
        <f t="shared" si="610"/>
        <v>0</v>
      </c>
      <c r="CO102" s="24">
        <f t="shared" si="611"/>
        <v>0</v>
      </c>
      <c r="CP102" s="24">
        <f t="shared" si="612"/>
        <v>0</v>
      </c>
      <c r="CQ102" s="24">
        <f t="shared" si="613"/>
        <v>0</v>
      </c>
      <c r="CR102" s="24">
        <f t="shared" si="614"/>
        <v>0</v>
      </c>
      <c r="CS102" s="24">
        <f t="shared" si="615"/>
        <v>0</v>
      </c>
      <c r="CT102" s="24">
        <f t="shared" si="616"/>
        <v>0</v>
      </c>
      <c r="CU102" s="24">
        <f t="shared" si="617"/>
        <v>0</v>
      </c>
      <c r="CV102" s="24">
        <f t="shared" si="618"/>
        <v>0</v>
      </c>
      <c r="CW102" s="24">
        <f t="shared" si="619"/>
        <v>0</v>
      </c>
      <c r="CX102" s="24">
        <f t="shared" si="620"/>
        <v>0</v>
      </c>
      <c r="CY102" s="24">
        <f t="shared" si="621"/>
        <v>0</v>
      </c>
      <c r="CZ102" s="24">
        <f t="shared" si="622"/>
        <v>0</v>
      </c>
      <c r="DA102" s="24">
        <f t="shared" si="623"/>
        <v>0</v>
      </c>
      <c r="DB102" s="24">
        <f t="shared" si="624"/>
        <v>0</v>
      </c>
      <c r="DC102" s="24">
        <f t="shared" si="625"/>
        <v>0</v>
      </c>
      <c r="DD102" s="24">
        <f t="shared" si="626"/>
        <v>0</v>
      </c>
      <c r="DE102" s="24">
        <f t="shared" si="627"/>
        <v>0</v>
      </c>
      <c r="DF102" s="24">
        <f t="shared" si="628"/>
        <v>0</v>
      </c>
      <c r="DG102" s="24">
        <f t="shared" si="629"/>
        <v>0</v>
      </c>
      <c r="DH102" s="24">
        <f t="shared" si="630"/>
        <v>0</v>
      </c>
      <c r="DI102" s="24">
        <f t="shared" si="631"/>
        <v>0</v>
      </c>
      <c r="DJ102" s="24">
        <f t="shared" si="632"/>
        <v>0</v>
      </c>
      <c r="DK102" s="24">
        <f t="shared" si="633"/>
        <v>0</v>
      </c>
      <c r="DL102" s="24">
        <f t="shared" si="634"/>
        <v>0</v>
      </c>
      <c r="DM102" s="24">
        <f t="shared" si="635"/>
        <v>0</v>
      </c>
      <c r="DN102" s="24">
        <f t="shared" si="636"/>
        <v>0</v>
      </c>
      <c r="DO102" s="24">
        <f t="shared" si="637"/>
        <v>0</v>
      </c>
      <c r="DP102" s="24">
        <f t="shared" si="638"/>
        <v>0</v>
      </c>
      <c r="DQ102" s="24">
        <f t="shared" si="639"/>
        <v>0</v>
      </c>
      <c r="DR102" s="24">
        <f t="shared" si="640"/>
        <v>0</v>
      </c>
      <c r="DS102" s="24">
        <f t="shared" si="641"/>
        <v>0</v>
      </c>
      <c r="DT102" s="24">
        <f t="shared" si="642"/>
        <v>0</v>
      </c>
      <c r="DU102" s="24">
        <f t="shared" si="643"/>
        <v>0</v>
      </c>
      <c r="DV102" s="24">
        <f t="shared" si="644"/>
        <v>0</v>
      </c>
      <c r="DW102" s="24">
        <f t="shared" si="645"/>
        <v>0</v>
      </c>
      <c r="DX102" s="24">
        <f t="shared" si="646"/>
        <v>0</v>
      </c>
      <c r="DY102" s="24">
        <f t="shared" si="647"/>
        <v>0</v>
      </c>
      <c r="DZ102" s="24">
        <f t="shared" si="648"/>
        <v>0</v>
      </c>
      <c r="EA102" s="24">
        <f t="shared" si="649"/>
        <v>0</v>
      </c>
      <c r="EB102" s="24">
        <f t="shared" si="650"/>
        <v>0</v>
      </c>
      <c r="EC102" s="24">
        <f t="shared" si="651"/>
        <v>0</v>
      </c>
      <c r="ED102" s="24">
        <f t="shared" si="652"/>
        <v>0</v>
      </c>
      <c r="EE102" s="107" t="s">
        <v>172</v>
      </c>
    </row>
    <row r="103" spans="1:135" s="2" customFormat="1" ht="18" customHeight="1" x14ac:dyDescent="0.25">
      <c r="A103" s="27">
        <v>100</v>
      </c>
      <c r="B103" s="111" t="s">
        <v>197</v>
      </c>
      <c r="C103" s="28" t="s">
        <v>237</v>
      </c>
      <c r="D103" s="29" t="s">
        <v>107</v>
      </c>
      <c r="E103" s="18">
        <v>45254</v>
      </c>
      <c r="F103" s="19" t="s">
        <v>417</v>
      </c>
      <c r="G103" s="19" t="s">
        <v>417</v>
      </c>
      <c r="H103" s="19" t="s">
        <v>417</v>
      </c>
      <c r="I103" s="19" t="s">
        <v>417</v>
      </c>
      <c r="J103" s="19" t="s">
        <v>417</v>
      </c>
      <c r="K103" s="19" t="s">
        <v>417</v>
      </c>
      <c r="L103" s="19" t="s">
        <v>417</v>
      </c>
      <c r="M103" s="19" t="s">
        <v>417</v>
      </c>
      <c r="N103" s="19" t="s">
        <v>417</v>
      </c>
      <c r="O103" s="19" t="s">
        <v>417</v>
      </c>
      <c r="P103" s="19" t="s">
        <v>417</v>
      </c>
      <c r="Q103" s="19" t="s">
        <v>417</v>
      </c>
      <c r="R103" s="19" t="s">
        <v>417</v>
      </c>
      <c r="S103" s="19" t="s">
        <v>417</v>
      </c>
      <c r="T103" s="19" t="s">
        <v>417</v>
      </c>
      <c r="U103" s="19" t="s">
        <v>417</v>
      </c>
      <c r="V103" s="19" t="s">
        <v>417</v>
      </c>
      <c r="W103" s="19" t="s">
        <v>417</v>
      </c>
      <c r="X103" s="19" t="s">
        <v>417</v>
      </c>
      <c r="Y103" s="19" t="s">
        <v>417</v>
      </c>
      <c r="Z103" s="19" t="s">
        <v>417</v>
      </c>
      <c r="AA103" s="19" t="s">
        <v>417</v>
      </c>
      <c r="AB103" s="19" t="s">
        <v>417</v>
      </c>
      <c r="AC103" s="19" t="s">
        <v>417</v>
      </c>
      <c r="AD103" s="19" t="s">
        <v>417</v>
      </c>
      <c r="AE103" s="19" t="s">
        <v>417</v>
      </c>
      <c r="AF103" s="19" t="s">
        <v>417</v>
      </c>
      <c r="AG103" s="19" t="s">
        <v>417</v>
      </c>
      <c r="AH103" s="19" t="s">
        <v>417</v>
      </c>
      <c r="AI103" s="19" t="s">
        <v>417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f t="shared" si="657"/>
        <v>0</v>
      </c>
      <c r="AU103" s="19">
        <f t="shared" si="658"/>
        <v>0</v>
      </c>
      <c r="AV103" s="19">
        <f t="shared" si="581"/>
        <v>0</v>
      </c>
      <c r="AW103" s="16">
        <f t="shared" si="582"/>
        <v>0</v>
      </c>
      <c r="AX103" s="16">
        <f t="shared" si="583"/>
        <v>0</v>
      </c>
      <c r="AY103" s="38">
        <f t="shared" si="584"/>
        <v>0</v>
      </c>
      <c r="AZ103" s="36">
        <v>900</v>
      </c>
      <c r="BA103" s="20">
        <v>100</v>
      </c>
      <c r="BB103" s="21">
        <v>0</v>
      </c>
      <c r="BC103" s="19">
        <f t="shared" si="300"/>
        <v>0</v>
      </c>
      <c r="BD103" s="19">
        <f t="shared" si="301"/>
        <v>0</v>
      </c>
      <c r="BE103" s="19">
        <f t="shared" si="302"/>
        <v>0</v>
      </c>
      <c r="BF103" s="19">
        <f t="shared" si="303"/>
        <v>0</v>
      </c>
      <c r="BG103" s="19">
        <f t="shared" si="304"/>
        <v>0</v>
      </c>
      <c r="BH103" s="19">
        <f t="shared" si="305"/>
        <v>0</v>
      </c>
      <c r="BI103" s="19">
        <v>0</v>
      </c>
      <c r="BJ103" s="19">
        <v>0</v>
      </c>
      <c r="BK103" s="19">
        <f t="shared" si="653"/>
        <v>0</v>
      </c>
      <c r="BL103" s="19">
        <v>0</v>
      </c>
      <c r="BM103" s="19">
        <v>0</v>
      </c>
      <c r="BN103" s="19">
        <f t="shared" si="654"/>
        <v>0</v>
      </c>
      <c r="BO103" s="19">
        <f t="shared" si="655"/>
        <v>0</v>
      </c>
      <c r="BP103" s="19">
        <v>0</v>
      </c>
      <c r="BQ103" s="19">
        <v>0</v>
      </c>
      <c r="BR103" s="22">
        <f t="shared" si="656"/>
        <v>0</v>
      </c>
      <c r="BS103" s="23">
        <f t="shared" si="589"/>
        <v>0</v>
      </c>
      <c r="BT103" s="24">
        <f t="shared" si="590"/>
        <v>0</v>
      </c>
      <c r="BU103" s="24">
        <f t="shared" si="591"/>
        <v>0</v>
      </c>
      <c r="BV103" s="24">
        <f t="shared" si="592"/>
        <v>0</v>
      </c>
      <c r="BW103" s="24">
        <f t="shared" si="593"/>
        <v>0</v>
      </c>
      <c r="BX103" s="24">
        <f t="shared" si="594"/>
        <v>0</v>
      </c>
      <c r="BY103" s="24">
        <f t="shared" si="595"/>
        <v>0</v>
      </c>
      <c r="BZ103" s="24">
        <f t="shared" si="596"/>
        <v>0</v>
      </c>
      <c r="CA103" s="24">
        <f t="shared" si="597"/>
        <v>0</v>
      </c>
      <c r="CB103" s="24">
        <f t="shared" si="598"/>
        <v>0</v>
      </c>
      <c r="CC103" s="24">
        <f t="shared" si="599"/>
        <v>0</v>
      </c>
      <c r="CD103" s="24">
        <f t="shared" si="600"/>
        <v>0</v>
      </c>
      <c r="CE103" s="24">
        <f t="shared" si="601"/>
        <v>0</v>
      </c>
      <c r="CF103" s="24">
        <f t="shared" si="602"/>
        <v>0</v>
      </c>
      <c r="CG103" s="24">
        <f t="shared" si="603"/>
        <v>0</v>
      </c>
      <c r="CH103" s="24">
        <f t="shared" si="604"/>
        <v>0</v>
      </c>
      <c r="CI103" s="24">
        <f t="shared" si="605"/>
        <v>0</v>
      </c>
      <c r="CJ103" s="24">
        <f t="shared" si="606"/>
        <v>0</v>
      </c>
      <c r="CK103" s="24">
        <f t="shared" si="607"/>
        <v>0</v>
      </c>
      <c r="CL103" s="24">
        <f t="shared" si="608"/>
        <v>0</v>
      </c>
      <c r="CM103" s="24">
        <f t="shared" si="609"/>
        <v>0</v>
      </c>
      <c r="CN103" s="24">
        <f t="shared" si="610"/>
        <v>0</v>
      </c>
      <c r="CO103" s="24">
        <f t="shared" si="611"/>
        <v>0</v>
      </c>
      <c r="CP103" s="24">
        <f t="shared" si="612"/>
        <v>0</v>
      </c>
      <c r="CQ103" s="24">
        <f t="shared" si="613"/>
        <v>0</v>
      </c>
      <c r="CR103" s="24">
        <f t="shared" si="614"/>
        <v>0</v>
      </c>
      <c r="CS103" s="24">
        <f t="shared" si="615"/>
        <v>0</v>
      </c>
      <c r="CT103" s="24">
        <f t="shared" si="616"/>
        <v>0</v>
      </c>
      <c r="CU103" s="24">
        <f t="shared" si="617"/>
        <v>0</v>
      </c>
      <c r="CV103" s="24">
        <f t="shared" si="618"/>
        <v>0</v>
      </c>
      <c r="CW103" s="24">
        <f t="shared" si="619"/>
        <v>0</v>
      </c>
      <c r="CX103" s="24">
        <f t="shared" si="620"/>
        <v>0</v>
      </c>
      <c r="CY103" s="24">
        <f t="shared" si="621"/>
        <v>0</v>
      </c>
      <c r="CZ103" s="24">
        <f t="shared" si="622"/>
        <v>0</v>
      </c>
      <c r="DA103" s="24">
        <f t="shared" si="623"/>
        <v>0</v>
      </c>
      <c r="DB103" s="24">
        <f t="shared" si="624"/>
        <v>0</v>
      </c>
      <c r="DC103" s="24">
        <f t="shared" si="625"/>
        <v>0</v>
      </c>
      <c r="DD103" s="24">
        <f t="shared" si="626"/>
        <v>0</v>
      </c>
      <c r="DE103" s="24">
        <f t="shared" si="627"/>
        <v>0</v>
      </c>
      <c r="DF103" s="24">
        <f t="shared" si="628"/>
        <v>0</v>
      </c>
      <c r="DG103" s="24">
        <f t="shared" si="629"/>
        <v>0</v>
      </c>
      <c r="DH103" s="24">
        <f t="shared" si="630"/>
        <v>0</v>
      </c>
      <c r="DI103" s="24">
        <f t="shared" si="631"/>
        <v>0</v>
      </c>
      <c r="DJ103" s="24">
        <f t="shared" si="632"/>
        <v>0</v>
      </c>
      <c r="DK103" s="24">
        <f t="shared" si="633"/>
        <v>0</v>
      </c>
      <c r="DL103" s="24">
        <f t="shared" si="634"/>
        <v>0</v>
      </c>
      <c r="DM103" s="24">
        <f t="shared" si="635"/>
        <v>0</v>
      </c>
      <c r="DN103" s="24">
        <f t="shared" si="636"/>
        <v>0</v>
      </c>
      <c r="DO103" s="24">
        <f t="shared" si="637"/>
        <v>0</v>
      </c>
      <c r="DP103" s="24">
        <f t="shared" si="638"/>
        <v>0</v>
      </c>
      <c r="DQ103" s="24">
        <f t="shared" si="639"/>
        <v>0</v>
      </c>
      <c r="DR103" s="24">
        <f t="shared" si="640"/>
        <v>0</v>
      </c>
      <c r="DS103" s="24">
        <f t="shared" si="641"/>
        <v>0</v>
      </c>
      <c r="DT103" s="24">
        <f t="shared" si="642"/>
        <v>0</v>
      </c>
      <c r="DU103" s="24">
        <f t="shared" si="643"/>
        <v>0</v>
      </c>
      <c r="DV103" s="24">
        <f t="shared" si="644"/>
        <v>0</v>
      </c>
      <c r="DW103" s="24">
        <f t="shared" si="645"/>
        <v>0</v>
      </c>
      <c r="DX103" s="24">
        <f t="shared" si="646"/>
        <v>0</v>
      </c>
      <c r="DY103" s="24">
        <f t="shared" si="647"/>
        <v>0</v>
      </c>
      <c r="DZ103" s="24">
        <f t="shared" si="648"/>
        <v>0</v>
      </c>
      <c r="EA103" s="24">
        <f t="shared" si="649"/>
        <v>0</v>
      </c>
      <c r="EB103" s="24">
        <f t="shared" si="650"/>
        <v>0</v>
      </c>
      <c r="EC103" s="24">
        <f t="shared" si="651"/>
        <v>0</v>
      </c>
      <c r="ED103" s="24">
        <f t="shared" si="652"/>
        <v>0</v>
      </c>
      <c r="EE103" s="107" t="s">
        <v>172</v>
      </c>
    </row>
    <row r="104" spans="1:135" s="2" customFormat="1" ht="18" customHeight="1" x14ac:dyDescent="0.25">
      <c r="A104" s="27">
        <v>101</v>
      </c>
      <c r="B104" s="111" t="s">
        <v>190</v>
      </c>
      <c r="C104" s="28" t="s">
        <v>228</v>
      </c>
      <c r="D104" s="29" t="s">
        <v>167</v>
      </c>
      <c r="E104" s="18">
        <v>45254</v>
      </c>
      <c r="F104" s="19" t="s">
        <v>417</v>
      </c>
      <c r="G104" s="19" t="s">
        <v>417</v>
      </c>
      <c r="H104" s="19" t="s">
        <v>417</v>
      </c>
      <c r="I104" s="19" t="s">
        <v>417</v>
      </c>
      <c r="J104" s="19" t="s">
        <v>417</v>
      </c>
      <c r="K104" s="19" t="s">
        <v>417</v>
      </c>
      <c r="L104" s="19" t="s">
        <v>417</v>
      </c>
      <c r="M104" s="19" t="s">
        <v>417</v>
      </c>
      <c r="N104" s="19" t="s">
        <v>417</v>
      </c>
      <c r="O104" s="19" t="s">
        <v>417</v>
      </c>
      <c r="P104" s="19" t="s">
        <v>417</v>
      </c>
      <c r="Q104" s="19" t="s">
        <v>417</v>
      </c>
      <c r="R104" s="19" t="s">
        <v>417</v>
      </c>
      <c r="S104" s="19" t="s">
        <v>417</v>
      </c>
      <c r="T104" s="19" t="s">
        <v>417</v>
      </c>
      <c r="U104" s="19" t="s">
        <v>417</v>
      </c>
      <c r="V104" s="19" t="s">
        <v>417</v>
      </c>
      <c r="W104" s="19" t="s">
        <v>417</v>
      </c>
      <c r="X104" s="19" t="s">
        <v>417</v>
      </c>
      <c r="Y104" s="19" t="s">
        <v>417</v>
      </c>
      <c r="Z104" s="19" t="s">
        <v>417</v>
      </c>
      <c r="AA104" s="19" t="s">
        <v>417</v>
      </c>
      <c r="AB104" s="19" t="s">
        <v>417</v>
      </c>
      <c r="AC104" s="19" t="s">
        <v>417</v>
      </c>
      <c r="AD104" s="19" t="s">
        <v>417</v>
      </c>
      <c r="AE104" s="19" t="s">
        <v>417</v>
      </c>
      <c r="AF104" s="19" t="s">
        <v>417</v>
      </c>
      <c r="AG104" s="19" t="s">
        <v>417</v>
      </c>
      <c r="AH104" s="19" t="s">
        <v>417</v>
      </c>
      <c r="AI104" s="19" t="s">
        <v>417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f t="shared" si="657"/>
        <v>0</v>
      </c>
      <c r="AU104" s="19">
        <f t="shared" si="658"/>
        <v>0</v>
      </c>
      <c r="AV104" s="19">
        <f t="shared" si="581"/>
        <v>0</v>
      </c>
      <c r="AW104" s="16">
        <f t="shared" si="582"/>
        <v>0</v>
      </c>
      <c r="AX104" s="16">
        <f t="shared" si="583"/>
        <v>0</v>
      </c>
      <c r="AY104" s="38">
        <f t="shared" si="584"/>
        <v>0</v>
      </c>
      <c r="AZ104" s="36">
        <v>900</v>
      </c>
      <c r="BA104" s="20">
        <v>100</v>
      </c>
      <c r="BB104" s="21">
        <v>0</v>
      </c>
      <c r="BC104" s="19">
        <f t="shared" si="300"/>
        <v>0</v>
      </c>
      <c r="BD104" s="19">
        <f t="shared" si="301"/>
        <v>0</v>
      </c>
      <c r="BE104" s="19">
        <f t="shared" si="302"/>
        <v>0</v>
      </c>
      <c r="BF104" s="19">
        <f t="shared" si="303"/>
        <v>0</v>
      </c>
      <c r="BG104" s="19">
        <f t="shared" si="304"/>
        <v>0</v>
      </c>
      <c r="BH104" s="19">
        <f t="shared" si="305"/>
        <v>0</v>
      </c>
      <c r="BI104" s="19">
        <v>0</v>
      </c>
      <c r="BJ104" s="19">
        <v>0</v>
      </c>
      <c r="BK104" s="19">
        <f t="shared" si="653"/>
        <v>0</v>
      </c>
      <c r="BL104" s="19">
        <v>0</v>
      </c>
      <c r="BM104" s="19">
        <v>0</v>
      </c>
      <c r="BN104" s="19">
        <f t="shared" si="654"/>
        <v>0</v>
      </c>
      <c r="BO104" s="19">
        <f t="shared" si="655"/>
        <v>0</v>
      </c>
      <c r="BP104" s="19">
        <v>0</v>
      </c>
      <c r="BQ104" s="19">
        <v>0</v>
      </c>
      <c r="BR104" s="22">
        <f t="shared" si="656"/>
        <v>0</v>
      </c>
      <c r="BS104" s="23">
        <f t="shared" si="589"/>
        <v>0</v>
      </c>
      <c r="BT104" s="24">
        <f t="shared" si="590"/>
        <v>0</v>
      </c>
      <c r="BU104" s="24">
        <f t="shared" si="591"/>
        <v>0</v>
      </c>
      <c r="BV104" s="24">
        <f t="shared" si="592"/>
        <v>0</v>
      </c>
      <c r="BW104" s="24">
        <f t="shared" si="593"/>
        <v>0</v>
      </c>
      <c r="BX104" s="24">
        <f t="shared" si="594"/>
        <v>0</v>
      </c>
      <c r="BY104" s="24">
        <f t="shared" si="595"/>
        <v>0</v>
      </c>
      <c r="BZ104" s="24">
        <f t="shared" si="596"/>
        <v>0</v>
      </c>
      <c r="CA104" s="24">
        <f t="shared" si="597"/>
        <v>0</v>
      </c>
      <c r="CB104" s="24">
        <f t="shared" si="598"/>
        <v>0</v>
      </c>
      <c r="CC104" s="24">
        <f t="shared" si="599"/>
        <v>0</v>
      </c>
      <c r="CD104" s="24">
        <f t="shared" si="600"/>
        <v>0</v>
      </c>
      <c r="CE104" s="24">
        <f t="shared" si="601"/>
        <v>0</v>
      </c>
      <c r="CF104" s="24">
        <f t="shared" si="602"/>
        <v>0</v>
      </c>
      <c r="CG104" s="24">
        <f t="shared" si="603"/>
        <v>0</v>
      </c>
      <c r="CH104" s="24">
        <f t="shared" si="604"/>
        <v>0</v>
      </c>
      <c r="CI104" s="24">
        <f t="shared" si="605"/>
        <v>0</v>
      </c>
      <c r="CJ104" s="24">
        <f t="shared" si="606"/>
        <v>0</v>
      </c>
      <c r="CK104" s="24">
        <f t="shared" si="607"/>
        <v>0</v>
      </c>
      <c r="CL104" s="24">
        <f t="shared" si="608"/>
        <v>0</v>
      </c>
      <c r="CM104" s="24">
        <f t="shared" si="609"/>
        <v>0</v>
      </c>
      <c r="CN104" s="24">
        <f t="shared" si="610"/>
        <v>0</v>
      </c>
      <c r="CO104" s="24">
        <f t="shared" si="611"/>
        <v>0</v>
      </c>
      <c r="CP104" s="24">
        <f t="shared" si="612"/>
        <v>0</v>
      </c>
      <c r="CQ104" s="24">
        <f t="shared" si="613"/>
        <v>0</v>
      </c>
      <c r="CR104" s="24">
        <f t="shared" si="614"/>
        <v>0</v>
      </c>
      <c r="CS104" s="24">
        <f t="shared" si="615"/>
        <v>0</v>
      </c>
      <c r="CT104" s="24">
        <f t="shared" si="616"/>
        <v>0</v>
      </c>
      <c r="CU104" s="24">
        <f t="shared" si="617"/>
        <v>0</v>
      </c>
      <c r="CV104" s="24">
        <f t="shared" si="618"/>
        <v>0</v>
      </c>
      <c r="CW104" s="24">
        <f t="shared" si="619"/>
        <v>0</v>
      </c>
      <c r="CX104" s="24">
        <f t="shared" si="620"/>
        <v>0</v>
      </c>
      <c r="CY104" s="24">
        <f t="shared" si="621"/>
        <v>0</v>
      </c>
      <c r="CZ104" s="24">
        <f t="shared" si="622"/>
        <v>0</v>
      </c>
      <c r="DA104" s="24">
        <f t="shared" si="623"/>
        <v>0</v>
      </c>
      <c r="DB104" s="24">
        <f t="shared" si="624"/>
        <v>0</v>
      </c>
      <c r="DC104" s="24">
        <f t="shared" si="625"/>
        <v>0</v>
      </c>
      <c r="DD104" s="24">
        <f t="shared" si="626"/>
        <v>0</v>
      </c>
      <c r="DE104" s="24">
        <f t="shared" si="627"/>
        <v>0</v>
      </c>
      <c r="DF104" s="24">
        <f t="shared" si="628"/>
        <v>0</v>
      </c>
      <c r="DG104" s="24">
        <f t="shared" si="629"/>
        <v>0</v>
      </c>
      <c r="DH104" s="24">
        <f t="shared" si="630"/>
        <v>0</v>
      </c>
      <c r="DI104" s="24">
        <f t="shared" si="631"/>
        <v>0</v>
      </c>
      <c r="DJ104" s="24">
        <f t="shared" si="632"/>
        <v>0</v>
      </c>
      <c r="DK104" s="24">
        <f t="shared" si="633"/>
        <v>0</v>
      </c>
      <c r="DL104" s="24">
        <f t="shared" si="634"/>
        <v>0</v>
      </c>
      <c r="DM104" s="24">
        <f t="shared" si="635"/>
        <v>0</v>
      </c>
      <c r="DN104" s="24">
        <f t="shared" si="636"/>
        <v>0</v>
      </c>
      <c r="DO104" s="24">
        <f t="shared" si="637"/>
        <v>0</v>
      </c>
      <c r="DP104" s="24">
        <f t="shared" si="638"/>
        <v>0</v>
      </c>
      <c r="DQ104" s="24">
        <f t="shared" si="639"/>
        <v>0</v>
      </c>
      <c r="DR104" s="24">
        <f t="shared" si="640"/>
        <v>0</v>
      </c>
      <c r="DS104" s="24">
        <f t="shared" si="641"/>
        <v>0</v>
      </c>
      <c r="DT104" s="24">
        <f t="shared" si="642"/>
        <v>0</v>
      </c>
      <c r="DU104" s="24">
        <f t="shared" si="643"/>
        <v>0</v>
      </c>
      <c r="DV104" s="24">
        <f t="shared" si="644"/>
        <v>0</v>
      </c>
      <c r="DW104" s="24">
        <f t="shared" si="645"/>
        <v>0</v>
      </c>
      <c r="DX104" s="24">
        <f t="shared" si="646"/>
        <v>0</v>
      </c>
      <c r="DY104" s="24">
        <f t="shared" si="647"/>
        <v>0</v>
      </c>
      <c r="DZ104" s="24">
        <f t="shared" si="648"/>
        <v>0</v>
      </c>
      <c r="EA104" s="24">
        <f t="shared" si="649"/>
        <v>0</v>
      </c>
      <c r="EB104" s="24">
        <f t="shared" si="650"/>
        <v>0</v>
      </c>
      <c r="EC104" s="24">
        <f t="shared" si="651"/>
        <v>0</v>
      </c>
      <c r="ED104" s="24">
        <f t="shared" si="652"/>
        <v>0</v>
      </c>
      <c r="EE104" s="107" t="s">
        <v>172</v>
      </c>
    </row>
    <row r="105" spans="1:135" s="2" customFormat="1" ht="18" customHeight="1" x14ac:dyDescent="0.25">
      <c r="A105" s="27">
        <v>102</v>
      </c>
      <c r="B105" s="111" t="s">
        <v>251</v>
      </c>
      <c r="C105" s="28" t="s">
        <v>246</v>
      </c>
      <c r="D105" s="131" t="s">
        <v>107</v>
      </c>
      <c r="E105" s="18">
        <v>45264</v>
      </c>
      <c r="F105" s="19" t="s">
        <v>417</v>
      </c>
      <c r="G105" s="19" t="s">
        <v>417</v>
      </c>
      <c r="H105" s="19" t="s">
        <v>417</v>
      </c>
      <c r="I105" s="19" t="s">
        <v>417</v>
      </c>
      <c r="J105" s="19" t="s">
        <v>417</v>
      </c>
      <c r="K105" s="19" t="s">
        <v>417</v>
      </c>
      <c r="L105" s="19" t="s">
        <v>417</v>
      </c>
      <c r="M105" s="19" t="s">
        <v>417</v>
      </c>
      <c r="N105" s="19" t="s">
        <v>417</v>
      </c>
      <c r="O105" s="19" t="s">
        <v>417</v>
      </c>
      <c r="P105" s="19" t="s">
        <v>417</v>
      </c>
      <c r="Q105" s="19" t="s">
        <v>417</v>
      </c>
      <c r="R105" s="19" t="s">
        <v>417</v>
      </c>
      <c r="S105" s="19" t="s">
        <v>417</v>
      </c>
      <c r="T105" s="19" t="s">
        <v>417</v>
      </c>
      <c r="U105" s="19" t="s">
        <v>417</v>
      </c>
      <c r="V105" s="19" t="s">
        <v>417</v>
      </c>
      <c r="W105" s="19" t="s">
        <v>417</v>
      </c>
      <c r="X105" s="19" t="s">
        <v>417</v>
      </c>
      <c r="Y105" s="19" t="s">
        <v>417</v>
      </c>
      <c r="Z105" s="19" t="s">
        <v>417</v>
      </c>
      <c r="AA105" s="19" t="s">
        <v>417</v>
      </c>
      <c r="AB105" s="19" t="s">
        <v>417</v>
      </c>
      <c r="AC105" s="19" t="s">
        <v>417</v>
      </c>
      <c r="AD105" s="19" t="s">
        <v>417</v>
      </c>
      <c r="AE105" s="19" t="s">
        <v>417</v>
      </c>
      <c r="AF105" s="19" t="s">
        <v>417</v>
      </c>
      <c r="AG105" s="19" t="s">
        <v>417</v>
      </c>
      <c r="AH105" s="19" t="s">
        <v>417</v>
      </c>
      <c r="AI105" s="19" t="s">
        <v>417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f>SUM(BT105+BV105+BX105+BZ105+CB105+CD105+CF105+CH105+CJ105+CL105+CN105+CP105+CR105+CT105+CV105+CX105+CZ105+DB105+DD105+DF105+DH105+DJ105+DL105+DN105+DP105+DR105+DT105+DV105+DX105+DZ105+EB105+ED105)</f>
        <v>0</v>
      </c>
      <c r="AU105" s="19">
        <f>SUM(AJ105:AN105)</f>
        <v>0</v>
      </c>
      <c r="AV105" s="19">
        <f t="shared" si="581"/>
        <v>0</v>
      </c>
      <c r="AW105" s="16">
        <f t="shared" si="582"/>
        <v>0</v>
      </c>
      <c r="AX105" s="16">
        <f t="shared" si="583"/>
        <v>0</v>
      </c>
      <c r="AY105" s="38">
        <f t="shared" si="584"/>
        <v>0</v>
      </c>
      <c r="AZ105" s="36">
        <v>1000</v>
      </c>
      <c r="BA105" s="20">
        <v>100</v>
      </c>
      <c r="BB105" s="21">
        <v>0</v>
      </c>
      <c r="BC105" s="19">
        <f t="shared" si="300"/>
        <v>0</v>
      </c>
      <c r="BD105" s="19">
        <f t="shared" si="301"/>
        <v>0</v>
      </c>
      <c r="BE105" s="19">
        <f t="shared" si="302"/>
        <v>0</v>
      </c>
      <c r="BF105" s="19">
        <f t="shared" si="303"/>
        <v>0</v>
      </c>
      <c r="BG105" s="19">
        <f t="shared" si="304"/>
        <v>0</v>
      </c>
      <c r="BH105" s="19">
        <f t="shared" si="305"/>
        <v>0</v>
      </c>
      <c r="BI105" s="19">
        <v>0</v>
      </c>
      <c r="BJ105" s="19">
        <v>0</v>
      </c>
      <c r="BK105" s="19">
        <f t="shared" si="653"/>
        <v>0</v>
      </c>
      <c r="BL105" s="19">
        <v>0</v>
      </c>
      <c r="BM105" s="19">
        <v>0</v>
      </c>
      <c r="BN105" s="19">
        <f t="shared" si="654"/>
        <v>0</v>
      </c>
      <c r="BO105" s="19">
        <f t="shared" si="655"/>
        <v>0</v>
      </c>
      <c r="BP105" s="19">
        <v>0</v>
      </c>
      <c r="BQ105" s="19">
        <v>0</v>
      </c>
      <c r="BR105" s="22">
        <f t="shared" si="656"/>
        <v>0</v>
      </c>
      <c r="BS105" s="23">
        <f t="shared" si="589"/>
        <v>0</v>
      </c>
      <c r="BT105" s="24">
        <f t="shared" si="590"/>
        <v>0</v>
      </c>
      <c r="BU105" s="24">
        <f t="shared" si="591"/>
        <v>0</v>
      </c>
      <c r="BV105" s="24">
        <f t="shared" si="592"/>
        <v>0</v>
      </c>
      <c r="BW105" s="24">
        <f t="shared" si="593"/>
        <v>0</v>
      </c>
      <c r="BX105" s="24">
        <f t="shared" si="594"/>
        <v>0</v>
      </c>
      <c r="BY105" s="24">
        <f t="shared" si="595"/>
        <v>0</v>
      </c>
      <c r="BZ105" s="24">
        <f t="shared" si="596"/>
        <v>0</v>
      </c>
      <c r="CA105" s="24">
        <f t="shared" si="597"/>
        <v>0</v>
      </c>
      <c r="CB105" s="24">
        <f t="shared" si="598"/>
        <v>0</v>
      </c>
      <c r="CC105" s="24">
        <f t="shared" si="599"/>
        <v>0</v>
      </c>
      <c r="CD105" s="24">
        <f t="shared" si="600"/>
        <v>0</v>
      </c>
      <c r="CE105" s="24">
        <f t="shared" si="601"/>
        <v>0</v>
      </c>
      <c r="CF105" s="24">
        <f t="shared" si="602"/>
        <v>0</v>
      </c>
      <c r="CG105" s="24">
        <f t="shared" si="603"/>
        <v>0</v>
      </c>
      <c r="CH105" s="24">
        <f t="shared" si="604"/>
        <v>0</v>
      </c>
      <c r="CI105" s="24">
        <f t="shared" si="605"/>
        <v>0</v>
      </c>
      <c r="CJ105" s="24">
        <f t="shared" si="606"/>
        <v>0</v>
      </c>
      <c r="CK105" s="24">
        <f t="shared" si="607"/>
        <v>0</v>
      </c>
      <c r="CL105" s="24">
        <f t="shared" si="608"/>
        <v>0</v>
      </c>
      <c r="CM105" s="24">
        <f t="shared" si="609"/>
        <v>0</v>
      </c>
      <c r="CN105" s="24">
        <f t="shared" si="610"/>
        <v>0</v>
      </c>
      <c r="CO105" s="24">
        <f t="shared" si="611"/>
        <v>0</v>
      </c>
      <c r="CP105" s="24">
        <f t="shared" si="612"/>
        <v>0</v>
      </c>
      <c r="CQ105" s="24">
        <f t="shared" si="613"/>
        <v>0</v>
      </c>
      <c r="CR105" s="24">
        <f t="shared" si="614"/>
        <v>0</v>
      </c>
      <c r="CS105" s="24">
        <f t="shared" si="615"/>
        <v>0</v>
      </c>
      <c r="CT105" s="24">
        <f t="shared" si="616"/>
        <v>0</v>
      </c>
      <c r="CU105" s="24">
        <f t="shared" si="617"/>
        <v>0</v>
      </c>
      <c r="CV105" s="24">
        <f t="shared" si="618"/>
        <v>0</v>
      </c>
      <c r="CW105" s="24">
        <f t="shared" si="619"/>
        <v>0</v>
      </c>
      <c r="CX105" s="24">
        <f t="shared" si="620"/>
        <v>0</v>
      </c>
      <c r="CY105" s="24">
        <f t="shared" si="621"/>
        <v>0</v>
      </c>
      <c r="CZ105" s="24">
        <f t="shared" si="622"/>
        <v>0</v>
      </c>
      <c r="DA105" s="24">
        <f t="shared" si="623"/>
        <v>0</v>
      </c>
      <c r="DB105" s="24">
        <f t="shared" si="624"/>
        <v>0</v>
      </c>
      <c r="DC105" s="24">
        <f t="shared" si="625"/>
        <v>0</v>
      </c>
      <c r="DD105" s="24">
        <f t="shared" si="626"/>
        <v>0</v>
      </c>
      <c r="DE105" s="24">
        <f t="shared" si="627"/>
        <v>0</v>
      </c>
      <c r="DF105" s="24">
        <f t="shared" si="628"/>
        <v>0</v>
      </c>
      <c r="DG105" s="24">
        <f t="shared" si="629"/>
        <v>0</v>
      </c>
      <c r="DH105" s="24">
        <f t="shared" si="630"/>
        <v>0</v>
      </c>
      <c r="DI105" s="24">
        <f t="shared" si="631"/>
        <v>0</v>
      </c>
      <c r="DJ105" s="24">
        <f t="shared" si="632"/>
        <v>0</v>
      </c>
      <c r="DK105" s="24">
        <f t="shared" si="633"/>
        <v>0</v>
      </c>
      <c r="DL105" s="24">
        <f t="shared" si="634"/>
        <v>0</v>
      </c>
      <c r="DM105" s="24">
        <f t="shared" si="635"/>
        <v>0</v>
      </c>
      <c r="DN105" s="24">
        <f t="shared" si="636"/>
        <v>0</v>
      </c>
      <c r="DO105" s="24">
        <f t="shared" si="637"/>
        <v>0</v>
      </c>
      <c r="DP105" s="24">
        <f t="shared" si="638"/>
        <v>0</v>
      </c>
      <c r="DQ105" s="24">
        <f t="shared" si="639"/>
        <v>0</v>
      </c>
      <c r="DR105" s="24">
        <f t="shared" si="640"/>
        <v>0</v>
      </c>
      <c r="DS105" s="24">
        <f t="shared" si="641"/>
        <v>0</v>
      </c>
      <c r="DT105" s="24">
        <f t="shared" si="642"/>
        <v>0</v>
      </c>
      <c r="DU105" s="24">
        <f t="shared" si="643"/>
        <v>0</v>
      </c>
      <c r="DV105" s="24">
        <f t="shared" si="644"/>
        <v>0</v>
      </c>
      <c r="DW105" s="24">
        <f t="shared" si="645"/>
        <v>0</v>
      </c>
      <c r="DX105" s="24">
        <f t="shared" si="646"/>
        <v>0</v>
      </c>
      <c r="DY105" s="24">
        <f t="shared" si="647"/>
        <v>0</v>
      </c>
      <c r="DZ105" s="24">
        <f t="shared" si="648"/>
        <v>0</v>
      </c>
      <c r="EA105" s="24">
        <f t="shared" si="649"/>
        <v>0</v>
      </c>
      <c r="EB105" s="24">
        <f t="shared" si="650"/>
        <v>0</v>
      </c>
      <c r="EC105" s="24">
        <f t="shared" si="651"/>
        <v>0</v>
      </c>
      <c r="ED105" s="24">
        <f t="shared" si="652"/>
        <v>0</v>
      </c>
      <c r="EE105" s="107" t="s">
        <v>172</v>
      </c>
    </row>
    <row r="106" spans="1:135" s="2" customFormat="1" ht="18" customHeight="1" x14ac:dyDescent="0.25">
      <c r="A106" s="27">
        <v>103</v>
      </c>
      <c r="B106" s="111" t="s">
        <v>400</v>
      </c>
      <c r="C106" s="28" t="s">
        <v>344</v>
      </c>
      <c r="D106" s="29" t="s">
        <v>167</v>
      </c>
      <c r="E106" s="18">
        <v>45496</v>
      </c>
      <c r="F106" s="19" t="s">
        <v>417</v>
      </c>
      <c r="G106" s="19" t="s">
        <v>417</v>
      </c>
      <c r="H106" s="19" t="s">
        <v>417</v>
      </c>
      <c r="I106" s="19" t="s">
        <v>417</v>
      </c>
      <c r="J106" s="19" t="s">
        <v>417</v>
      </c>
      <c r="K106" s="19" t="s">
        <v>417</v>
      </c>
      <c r="L106" s="19" t="s">
        <v>417</v>
      </c>
      <c r="M106" s="19" t="s">
        <v>417</v>
      </c>
      <c r="N106" s="19" t="s">
        <v>417</v>
      </c>
      <c r="O106" s="19" t="s">
        <v>417</v>
      </c>
      <c r="P106" s="19" t="s">
        <v>417</v>
      </c>
      <c r="Q106" s="19" t="s">
        <v>417</v>
      </c>
      <c r="R106" s="19" t="s">
        <v>417</v>
      </c>
      <c r="S106" s="19" t="s">
        <v>417</v>
      </c>
      <c r="T106" s="19" t="s">
        <v>417</v>
      </c>
      <c r="U106" s="19" t="s">
        <v>417</v>
      </c>
      <c r="V106" s="19" t="s">
        <v>417</v>
      </c>
      <c r="W106" s="19" t="s">
        <v>417</v>
      </c>
      <c r="X106" s="19" t="s">
        <v>417</v>
      </c>
      <c r="Y106" s="19" t="s">
        <v>417</v>
      </c>
      <c r="Z106" s="19" t="s">
        <v>417</v>
      </c>
      <c r="AA106" s="19" t="s">
        <v>417</v>
      </c>
      <c r="AB106" s="19" t="s">
        <v>417</v>
      </c>
      <c r="AC106" s="19" t="s">
        <v>417</v>
      </c>
      <c r="AD106" s="19" t="s">
        <v>417</v>
      </c>
      <c r="AE106" s="19" t="s">
        <v>417</v>
      </c>
      <c r="AF106" s="19" t="s">
        <v>417</v>
      </c>
      <c r="AG106" s="19" t="s">
        <v>417</v>
      </c>
      <c r="AH106" s="19" t="s">
        <v>417</v>
      </c>
      <c r="AI106" s="19" t="s">
        <v>417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f t="shared" si="657"/>
        <v>0</v>
      </c>
      <c r="AU106" s="19">
        <f t="shared" si="658"/>
        <v>0</v>
      </c>
      <c r="AV106" s="19">
        <f t="shared" si="581"/>
        <v>0</v>
      </c>
      <c r="AW106" s="16">
        <f t="shared" si="582"/>
        <v>0</v>
      </c>
      <c r="AX106" s="16">
        <f t="shared" si="583"/>
        <v>0</v>
      </c>
      <c r="AY106" s="38">
        <f t="shared" si="584"/>
        <v>0</v>
      </c>
      <c r="AZ106" s="36">
        <v>1000</v>
      </c>
      <c r="BA106" s="20">
        <v>100</v>
      </c>
      <c r="BB106" s="21">
        <v>0</v>
      </c>
      <c r="BC106" s="19">
        <f t="shared" si="300"/>
        <v>0</v>
      </c>
      <c r="BD106" s="19">
        <f t="shared" si="301"/>
        <v>0</v>
      </c>
      <c r="BE106" s="19">
        <f t="shared" si="302"/>
        <v>0</v>
      </c>
      <c r="BF106" s="19">
        <f t="shared" si="303"/>
        <v>0</v>
      </c>
      <c r="BG106" s="19">
        <f t="shared" si="304"/>
        <v>0</v>
      </c>
      <c r="BH106" s="19">
        <f t="shared" si="305"/>
        <v>0</v>
      </c>
      <c r="BI106" s="19">
        <v>0</v>
      </c>
      <c r="BJ106" s="19">
        <v>0</v>
      </c>
      <c r="BK106" s="19">
        <f t="shared" si="653"/>
        <v>0</v>
      </c>
      <c r="BL106" s="19">
        <v>0</v>
      </c>
      <c r="BM106" s="19">
        <v>0</v>
      </c>
      <c r="BN106" s="19">
        <f t="shared" si="654"/>
        <v>0</v>
      </c>
      <c r="BO106" s="19">
        <f t="shared" si="655"/>
        <v>0</v>
      </c>
      <c r="BP106" s="19">
        <v>0</v>
      </c>
      <c r="BQ106" s="19">
        <v>0</v>
      </c>
      <c r="BR106" s="22">
        <f t="shared" si="656"/>
        <v>0</v>
      </c>
      <c r="BS106" s="23">
        <f t="shared" si="589"/>
        <v>0</v>
      </c>
      <c r="BT106" s="24">
        <f t="shared" si="590"/>
        <v>0</v>
      </c>
      <c r="BU106" s="24">
        <f t="shared" si="591"/>
        <v>0</v>
      </c>
      <c r="BV106" s="24">
        <f t="shared" si="592"/>
        <v>0</v>
      </c>
      <c r="BW106" s="24">
        <f t="shared" si="593"/>
        <v>0</v>
      </c>
      <c r="BX106" s="24">
        <f t="shared" si="594"/>
        <v>0</v>
      </c>
      <c r="BY106" s="24">
        <f t="shared" si="595"/>
        <v>0</v>
      </c>
      <c r="BZ106" s="24">
        <f t="shared" si="596"/>
        <v>0</v>
      </c>
      <c r="CA106" s="24">
        <f t="shared" si="597"/>
        <v>0</v>
      </c>
      <c r="CB106" s="24">
        <f t="shared" si="598"/>
        <v>0</v>
      </c>
      <c r="CC106" s="24">
        <f t="shared" si="599"/>
        <v>0</v>
      </c>
      <c r="CD106" s="24">
        <f t="shared" si="600"/>
        <v>0</v>
      </c>
      <c r="CE106" s="24">
        <f t="shared" si="601"/>
        <v>0</v>
      </c>
      <c r="CF106" s="24">
        <f t="shared" si="602"/>
        <v>0</v>
      </c>
      <c r="CG106" s="24">
        <f t="shared" si="603"/>
        <v>0</v>
      </c>
      <c r="CH106" s="24">
        <f t="shared" si="604"/>
        <v>0</v>
      </c>
      <c r="CI106" s="24">
        <f t="shared" si="605"/>
        <v>0</v>
      </c>
      <c r="CJ106" s="24">
        <f t="shared" si="606"/>
        <v>0</v>
      </c>
      <c r="CK106" s="24">
        <f t="shared" si="607"/>
        <v>0</v>
      </c>
      <c r="CL106" s="24">
        <f t="shared" si="608"/>
        <v>0</v>
      </c>
      <c r="CM106" s="24">
        <f t="shared" si="609"/>
        <v>0</v>
      </c>
      <c r="CN106" s="24">
        <f t="shared" si="610"/>
        <v>0</v>
      </c>
      <c r="CO106" s="24">
        <f t="shared" si="611"/>
        <v>0</v>
      </c>
      <c r="CP106" s="24">
        <f t="shared" si="612"/>
        <v>0</v>
      </c>
      <c r="CQ106" s="24">
        <f t="shared" si="613"/>
        <v>0</v>
      </c>
      <c r="CR106" s="24">
        <f t="shared" si="614"/>
        <v>0</v>
      </c>
      <c r="CS106" s="24">
        <f t="shared" si="615"/>
        <v>0</v>
      </c>
      <c r="CT106" s="24">
        <f t="shared" si="616"/>
        <v>0</v>
      </c>
      <c r="CU106" s="24">
        <f t="shared" si="617"/>
        <v>0</v>
      </c>
      <c r="CV106" s="24">
        <f t="shared" si="618"/>
        <v>0</v>
      </c>
      <c r="CW106" s="24">
        <f t="shared" si="619"/>
        <v>0</v>
      </c>
      <c r="CX106" s="24">
        <f t="shared" si="620"/>
        <v>0</v>
      </c>
      <c r="CY106" s="24">
        <f t="shared" si="621"/>
        <v>0</v>
      </c>
      <c r="CZ106" s="24">
        <f t="shared" si="622"/>
        <v>0</v>
      </c>
      <c r="DA106" s="24">
        <f t="shared" si="623"/>
        <v>0</v>
      </c>
      <c r="DB106" s="24">
        <f t="shared" si="624"/>
        <v>0</v>
      </c>
      <c r="DC106" s="24">
        <f t="shared" si="625"/>
        <v>0</v>
      </c>
      <c r="DD106" s="24">
        <f t="shared" si="626"/>
        <v>0</v>
      </c>
      <c r="DE106" s="24">
        <f t="shared" si="627"/>
        <v>0</v>
      </c>
      <c r="DF106" s="24">
        <f t="shared" si="628"/>
        <v>0</v>
      </c>
      <c r="DG106" s="24">
        <f t="shared" si="629"/>
        <v>0</v>
      </c>
      <c r="DH106" s="24">
        <f t="shared" si="630"/>
        <v>0</v>
      </c>
      <c r="DI106" s="24">
        <f t="shared" si="631"/>
        <v>0</v>
      </c>
      <c r="DJ106" s="24">
        <f t="shared" si="632"/>
        <v>0</v>
      </c>
      <c r="DK106" s="24">
        <f t="shared" si="633"/>
        <v>0</v>
      </c>
      <c r="DL106" s="24">
        <f t="shared" si="634"/>
        <v>0</v>
      </c>
      <c r="DM106" s="24">
        <f t="shared" si="635"/>
        <v>0</v>
      </c>
      <c r="DN106" s="24">
        <f t="shared" si="636"/>
        <v>0</v>
      </c>
      <c r="DO106" s="24">
        <f t="shared" si="637"/>
        <v>0</v>
      </c>
      <c r="DP106" s="24">
        <f t="shared" si="638"/>
        <v>0</v>
      </c>
      <c r="DQ106" s="24">
        <f t="shared" si="639"/>
        <v>0</v>
      </c>
      <c r="DR106" s="24">
        <f t="shared" si="640"/>
        <v>0</v>
      </c>
      <c r="DS106" s="24">
        <f t="shared" si="641"/>
        <v>0</v>
      </c>
      <c r="DT106" s="24">
        <f t="shared" si="642"/>
        <v>0</v>
      </c>
      <c r="DU106" s="24">
        <f t="shared" si="643"/>
        <v>0</v>
      </c>
      <c r="DV106" s="24">
        <f t="shared" si="644"/>
        <v>0</v>
      </c>
      <c r="DW106" s="24">
        <f t="shared" si="645"/>
        <v>0</v>
      </c>
      <c r="DX106" s="24">
        <f t="shared" si="646"/>
        <v>0</v>
      </c>
      <c r="DY106" s="24">
        <f t="shared" si="647"/>
        <v>0</v>
      </c>
      <c r="DZ106" s="24">
        <f t="shared" si="648"/>
        <v>0</v>
      </c>
      <c r="EA106" s="24">
        <f t="shared" si="649"/>
        <v>0</v>
      </c>
      <c r="EB106" s="24">
        <f t="shared" si="650"/>
        <v>0</v>
      </c>
      <c r="EC106" s="24">
        <f t="shared" si="651"/>
        <v>0</v>
      </c>
      <c r="ED106" s="24">
        <f t="shared" si="652"/>
        <v>0</v>
      </c>
      <c r="EE106" s="107" t="s">
        <v>172</v>
      </c>
    </row>
    <row r="107" spans="1:135" s="2" customFormat="1" ht="18" customHeight="1" x14ac:dyDescent="0.25">
      <c r="A107" s="27">
        <v>104</v>
      </c>
      <c r="B107" s="111" t="s">
        <v>410</v>
      </c>
      <c r="C107" s="75" t="s">
        <v>415</v>
      </c>
      <c r="D107" s="131" t="s">
        <v>107</v>
      </c>
      <c r="E107" s="18">
        <v>45593</v>
      </c>
      <c r="F107" s="19" t="s">
        <v>417</v>
      </c>
      <c r="G107" s="19" t="s">
        <v>417</v>
      </c>
      <c r="H107" s="19" t="s">
        <v>417</v>
      </c>
      <c r="I107" s="19" t="s">
        <v>417</v>
      </c>
      <c r="J107" s="19" t="s">
        <v>417</v>
      </c>
      <c r="K107" s="19" t="s">
        <v>417</v>
      </c>
      <c r="L107" s="19" t="s">
        <v>417</v>
      </c>
      <c r="M107" s="19" t="s">
        <v>417</v>
      </c>
      <c r="N107" s="19" t="s">
        <v>417</v>
      </c>
      <c r="O107" s="19" t="s">
        <v>417</v>
      </c>
      <c r="P107" s="19" t="s">
        <v>417</v>
      </c>
      <c r="Q107" s="19" t="s">
        <v>417</v>
      </c>
      <c r="R107" s="19" t="s">
        <v>417</v>
      </c>
      <c r="S107" s="19" t="s">
        <v>417</v>
      </c>
      <c r="T107" s="19" t="s">
        <v>417</v>
      </c>
      <c r="U107" s="19" t="s">
        <v>417</v>
      </c>
      <c r="V107" s="19" t="s">
        <v>417</v>
      </c>
      <c r="W107" s="19" t="s">
        <v>417</v>
      </c>
      <c r="X107" s="19" t="s">
        <v>417</v>
      </c>
      <c r="Y107" s="19" t="s">
        <v>417</v>
      </c>
      <c r="Z107" s="19" t="s">
        <v>417</v>
      </c>
      <c r="AA107" s="19" t="s">
        <v>417</v>
      </c>
      <c r="AB107" s="19" t="s">
        <v>417</v>
      </c>
      <c r="AC107" s="19" t="s">
        <v>417</v>
      </c>
      <c r="AD107" s="19" t="s">
        <v>417</v>
      </c>
      <c r="AE107" s="19" t="s">
        <v>417</v>
      </c>
      <c r="AF107" s="19" t="s">
        <v>417</v>
      </c>
      <c r="AG107" s="19" t="s">
        <v>417</v>
      </c>
      <c r="AH107" s="19" t="s">
        <v>417</v>
      </c>
      <c r="AI107" s="19" t="s">
        <v>417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f>SUM(BT107+BV107+BX107+BZ107+CB107+CD107+CF107+CH107+CJ107+CL107+CN107+CP107+CR107+CT107+CV107+CX107+CZ107+DB107+DD107+DF107+DH107+DJ107+DL107+DN107+DP107+DR107+DT107+DV107+DX107+DZ107+EB107+ED107)</f>
        <v>0</v>
      </c>
      <c r="AU107" s="19">
        <f>SUM(AJ107:AN107)</f>
        <v>0</v>
      </c>
      <c r="AV107" s="19">
        <f t="shared" ref="AV107:AV108" si="659">SUM(AO107:AS107)</f>
        <v>0</v>
      </c>
      <c r="AW107" s="16">
        <f t="shared" si="582"/>
        <v>0</v>
      </c>
      <c r="AX107" s="16">
        <f t="shared" si="583"/>
        <v>0</v>
      </c>
      <c r="AY107" s="38">
        <f t="shared" si="584"/>
        <v>0</v>
      </c>
      <c r="AZ107" s="36">
        <v>1000</v>
      </c>
      <c r="BA107" s="20">
        <v>100</v>
      </c>
      <c r="BB107" s="21">
        <v>0</v>
      </c>
      <c r="BC107" s="19">
        <f t="shared" si="300"/>
        <v>0</v>
      </c>
      <c r="BD107" s="19">
        <f t="shared" si="301"/>
        <v>0</v>
      </c>
      <c r="BE107" s="19">
        <f t="shared" si="302"/>
        <v>0</v>
      </c>
      <c r="BF107" s="19">
        <f t="shared" si="303"/>
        <v>0</v>
      </c>
      <c r="BG107" s="19">
        <f t="shared" si="304"/>
        <v>0</v>
      </c>
      <c r="BH107" s="19">
        <f t="shared" si="305"/>
        <v>0</v>
      </c>
      <c r="BI107" s="19">
        <v>0</v>
      </c>
      <c r="BJ107" s="19">
        <v>0</v>
      </c>
      <c r="BK107" s="19">
        <f t="shared" ref="BK107:BK108" si="660">SUM(BC107:BJ107)</f>
        <v>0</v>
      </c>
      <c r="BL107" s="19">
        <v>0</v>
      </c>
      <c r="BM107" s="19">
        <v>0</v>
      </c>
      <c r="BN107" s="19">
        <f t="shared" ref="BN107:BN108" si="661">BL107+BM107</f>
        <v>0</v>
      </c>
      <c r="BO107" s="19">
        <f t="shared" ref="BO107:BO108" si="662">BK107-BN107</f>
        <v>0</v>
      </c>
      <c r="BP107" s="19">
        <v>0</v>
      </c>
      <c r="BQ107" s="19">
        <v>0</v>
      </c>
      <c r="BR107" s="22">
        <f t="shared" ref="BR107:BR108" si="663">SUM(BO107:BP107)-BQ107</f>
        <v>0</v>
      </c>
      <c r="BS107" s="23">
        <f t="shared" si="589"/>
        <v>0</v>
      </c>
      <c r="BT107" s="24">
        <f t="shared" ref="BT107:BT108" si="664">BS107*0.5</f>
        <v>0</v>
      </c>
      <c r="BU107" s="24">
        <f t="shared" si="591"/>
        <v>0</v>
      </c>
      <c r="BV107" s="24">
        <f t="shared" ref="BV107:BV108" si="665">BU107*1</f>
        <v>0</v>
      </c>
      <c r="BW107" s="24">
        <f t="shared" si="593"/>
        <v>0</v>
      </c>
      <c r="BX107" s="24">
        <f t="shared" ref="BX107:BX108" si="666">BW107*1.5</f>
        <v>0</v>
      </c>
      <c r="BY107" s="24">
        <f t="shared" si="595"/>
        <v>0</v>
      </c>
      <c r="BZ107" s="24">
        <f t="shared" ref="BZ107:BZ108" si="667">BY107*2</f>
        <v>0</v>
      </c>
      <c r="CA107" s="24">
        <f t="shared" si="597"/>
        <v>0</v>
      </c>
      <c r="CB107" s="24">
        <f t="shared" ref="CB107:CB108" si="668">CA107*2.5</f>
        <v>0</v>
      </c>
      <c r="CC107" s="24">
        <f t="shared" si="599"/>
        <v>0</v>
      </c>
      <c r="CD107" s="24">
        <f t="shared" ref="CD107:CD108" si="669">CC107*3</f>
        <v>0</v>
      </c>
      <c r="CE107" s="24">
        <f t="shared" si="601"/>
        <v>0</v>
      </c>
      <c r="CF107" s="24">
        <f t="shared" ref="CF107:CF108" si="670">CE107*3.5</f>
        <v>0</v>
      </c>
      <c r="CG107" s="24">
        <f t="shared" si="603"/>
        <v>0</v>
      </c>
      <c r="CH107" s="24">
        <f t="shared" ref="CH107:CH108" si="671">CG107*4</f>
        <v>0</v>
      </c>
      <c r="CI107" s="24">
        <f t="shared" si="605"/>
        <v>0</v>
      </c>
      <c r="CJ107" s="24">
        <f t="shared" ref="CJ107:CJ108" si="672">CI107*4.5</f>
        <v>0</v>
      </c>
      <c r="CK107" s="24">
        <f t="shared" si="607"/>
        <v>0</v>
      </c>
      <c r="CL107" s="24">
        <f t="shared" ref="CL107:CL108" si="673">CK107*5</f>
        <v>0</v>
      </c>
      <c r="CM107" s="24">
        <f t="shared" si="609"/>
        <v>0</v>
      </c>
      <c r="CN107" s="24">
        <f t="shared" ref="CN107:CN108" si="674">CM107*5.5</f>
        <v>0</v>
      </c>
      <c r="CO107" s="24">
        <f t="shared" si="611"/>
        <v>0</v>
      </c>
      <c r="CP107" s="24">
        <f t="shared" ref="CP107:CP108" si="675">CO107*6</f>
        <v>0</v>
      </c>
      <c r="CQ107" s="24">
        <f t="shared" si="613"/>
        <v>0</v>
      </c>
      <c r="CR107" s="24">
        <f t="shared" ref="CR107:CR108" si="676">CQ107*6.5</f>
        <v>0</v>
      </c>
      <c r="CS107" s="24">
        <f t="shared" si="615"/>
        <v>0</v>
      </c>
      <c r="CT107" s="24">
        <f t="shared" ref="CT107:CT108" si="677">CS107*7</f>
        <v>0</v>
      </c>
      <c r="CU107" s="24">
        <f t="shared" si="617"/>
        <v>0</v>
      </c>
      <c r="CV107" s="24">
        <f t="shared" ref="CV107:CV108" si="678">CU107*7.5</f>
        <v>0</v>
      </c>
      <c r="CW107" s="24">
        <f t="shared" si="619"/>
        <v>0</v>
      </c>
      <c r="CX107" s="24">
        <f t="shared" ref="CX107:CX108" si="679">CW107*8</f>
        <v>0</v>
      </c>
      <c r="CY107" s="24">
        <f t="shared" si="621"/>
        <v>0</v>
      </c>
      <c r="CZ107" s="24">
        <f t="shared" ref="CZ107:CZ108" si="680">CY107*8.5</f>
        <v>0</v>
      </c>
      <c r="DA107" s="24">
        <f t="shared" si="623"/>
        <v>0</v>
      </c>
      <c r="DB107" s="24">
        <f t="shared" ref="DB107:DB108" si="681">DA107*9</f>
        <v>0</v>
      </c>
      <c r="DC107" s="24">
        <f t="shared" si="625"/>
        <v>0</v>
      </c>
      <c r="DD107" s="24">
        <f t="shared" ref="DD107:DD108" si="682">DC107*9.5</f>
        <v>0</v>
      </c>
      <c r="DE107" s="24">
        <f t="shared" si="627"/>
        <v>0</v>
      </c>
      <c r="DF107" s="24">
        <f t="shared" ref="DF107:DF108" si="683">DE107*10</f>
        <v>0</v>
      </c>
      <c r="DG107" s="24">
        <f t="shared" si="629"/>
        <v>0</v>
      </c>
      <c r="DH107" s="24">
        <f t="shared" ref="DH107:DH108" si="684">DG107*10.5</f>
        <v>0</v>
      </c>
      <c r="DI107" s="24">
        <f t="shared" si="631"/>
        <v>0</v>
      </c>
      <c r="DJ107" s="24">
        <f t="shared" ref="DJ107:DJ108" si="685">DI107*11</f>
        <v>0</v>
      </c>
      <c r="DK107" s="24">
        <f t="shared" si="633"/>
        <v>0</v>
      </c>
      <c r="DL107" s="24">
        <f t="shared" ref="DL107:DL108" si="686">DK107*11.5</f>
        <v>0</v>
      </c>
      <c r="DM107" s="24">
        <f t="shared" si="635"/>
        <v>0</v>
      </c>
      <c r="DN107" s="24">
        <f t="shared" ref="DN107:DN108" si="687">DM107*12</f>
        <v>0</v>
      </c>
      <c r="DO107" s="24">
        <f t="shared" si="637"/>
        <v>0</v>
      </c>
      <c r="DP107" s="24">
        <f t="shared" ref="DP107:DP108" si="688">DO107*12.5</f>
        <v>0</v>
      </c>
      <c r="DQ107" s="24">
        <f t="shared" si="639"/>
        <v>0</v>
      </c>
      <c r="DR107" s="24">
        <f t="shared" ref="DR107:DR108" si="689">DQ107*13</f>
        <v>0</v>
      </c>
      <c r="DS107" s="24">
        <f t="shared" si="641"/>
        <v>0</v>
      </c>
      <c r="DT107" s="24">
        <f t="shared" ref="DT107:DT108" si="690">DS107*13.5</f>
        <v>0</v>
      </c>
      <c r="DU107" s="24">
        <f t="shared" si="643"/>
        <v>0</v>
      </c>
      <c r="DV107" s="24">
        <f t="shared" ref="DV107:DV108" si="691">DU107*14</f>
        <v>0</v>
      </c>
      <c r="DW107" s="24">
        <f t="shared" si="645"/>
        <v>0</v>
      </c>
      <c r="DX107" s="24">
        <f t="shared" ref="DX107:DX108" si="692">DW107*14.5</f>
        <v>0</v>
      </c>
      <c r="DY107" s="24">
        <f t="shared" si="647"/>
        <v>0</v>
      </c>
      <c r="DZ107" s="24">
        <f t="shared" ref="DZ107:DZ108" si="693">DY107*15</f>
        <v>0</v>
      </c>
      <c r="EA107" s="24">
        <f t="shared" si="649"/>
        <v>0</v>
      </c>
      <c r="EB107" s="24">
        <f t="shared" ref="EB107:EB108" si="694">EA107*15.5</f>
        <v>0</v>
      </c>
      <c r="EC107" s="24">
        <f t="shared" si="651"/>
        <v>0</v>
      </c>
      <c r="ED107" s="24">
        <f t="shared" ref="ED107:ED108" si="695">EC107*16</f>
        <v>0</v>
      </c>
      <c r="EE107" s="107" t="s">
        <v>172</v>
      </c>
    </row>
    <row r="108" spans="1:135" s="2" customFormat="1" ht="18" customHeight="1" x14ac:dyDescent="0.25">
      <c r="A108" s="27">
        <v>105</v>
      </c>
      <c r="B108" s="111">
        <v>306</v>
      </c>
      <c r="C108" s="75" t="s">
        <v>475</v>
      </c>
      <c r="D108" s="131" t="s">
        <v>167</v>
      </c>
      <c r="E108" s="18">
        <v>45718</v>
      </c>
      <c r="F108" s="19" t="s">
        <v>417</v>
      </c>
      <c r="G108" s="19" t="s">
        <v>417</v>
      </c>
      <c r="H108" s="19" t="s">
        <v>417</v>
      </c>
      <c r="I108" s="19" t="s">
        <v>417</v>
      </c>
      <c r="J108" s="19" t="s">
        <v>417</v>
      </c>
      <c r="K108" s="19" t="s">
        <v>417</v>
      </c>
      <c r="L108" s="19" t="s">
        <v>417</v>
      </c>
      <c r="M108" s="19" t="s">
        <v>417</v>
      </c>
      <c r="N108" s="19" t="s">
        <v>417</v>
      </c>
      <c r="O108" s="19" t="s">
        <v>417</v>
      </c>
      <c r="P108" s="19" t="s">
        <v>417</v>
      </c>
      <c r="Q108" s="19" t="s">
        <v>417</v>
      </c>
      <c r="R108" s="19" t="s">
        <v>417</v>
      </c>
      <c r="S108" s="19" t="s">
        <v>417</v>
      </c>
      <c r="T108" s="19" t="s">
        <v>417</v>
      </c>
      <c r="U108" s="19" t="s">
        <v>417</v>
      </c>
      <c r="V108" s="19" t="s">
        <v>417</v>
      </c>
      <c r="W108" s="19" t="s">
        <v>417</v>
      </c>
      <c r="X108" s="19" t="s">
        <v>417</v>
      </c>
      <c r="Y108" s="19" t="s">
        <v>417</v>
      </c>
      <c r="Z108" s="19" t="s">
        <v>417</v>
      </c>
      <c r="AA108" s="19" t="s">
        <v>417</v>
      </c>
      <c r="AB108" s="19" t="s">
        <v>417</v>
      </c>
      <c r="AC108" s="19" t="s">
        <v>417</v>
      </c>
      <c r="AD108" s="19" t="s">
        <v>417</v>
      </c>
      <c r="AE108" s="19" t="s">
        <v>417</v>
      </c>
      <c r="AF108" s="19" t="s">
        <v>417</v>
      </c>
      <c r="AG108" s="19" t="s">
        <v>417</v>
      </c>
      <c r="AH108" s="19" t="s">
        <v>417</v>
      </c>
      <c r="AI108" s="19" t="s">
        <v>417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f>SUM(BT108+BV108+BX108+BZ108+CB108+CD108+CF108+CH108+CJ108+CL108+CN108+CP108+CR108+CT108+CV108+CX108+CZ108+DB108+DD108+DF108+DH108+DJ108+DL108+DN108+DP108+DR108+DT108+DV108+DX108+DZ108+EB108+ED108)</f>
        <v>0</v>
      </c>
      <c r="AU108" s="19">
        <f>SUM(AJ108:AN108)</f>
        <v>0</v>
      </c>
      <c r="AV108" s="19">
        <f t="shared" si="659"/>
        <v>0</v>
      </c>
      <c r="AW108" s="16">
        <f t="shared" si="582"/>
        <v>0</v>
      </c>
      <c r="AX108" s="16">
        <f t="shared" si="583"/>
        <v>0</v>
      </c>
      <c r="AY108" s="38">
        <f t="shared" si="584"/>
        <v>0</v>
      </c>
      <c r="AZ108" s="36">
        <v>1000</v>
      </c>
      <c r="BA108" s="20">
        <v>100</v>
      </c>
      <c r="BB108" s="21">
        <v>0</v>
      </c>
      <c r="BC108" s="19">
        <f t="shared" si="300"/>
        <v>0</v>
      </c>
      <c r="BD108" s="19">
        <f t="shared" si="301"/>
        <v>0</v>
      </c>
      <c r="BE108" s="19">
        <f t="shared" si="302"/>
        <v>0</v>
      </c>
      <c r="BF108" s="19">
        <f t="shared" si="303"/>
        <v>0</v>
      </c>
      <c r="BG108" s="19">
        <f t="shared" si="304"/>
        <v>0</v>
      </c>
      <c r="BH108" s="19">
        <f t="shared" si="305"/>
        <v>0</v>
      </c>
      <c r="BI108" s="19">
        <v>0</v>
      </c>
      <c r="BJ108" s="19">
        <v>0</v>
      </c>
      <c r="BK108" s="19">
        <f t="shared" si="660"/>
        <v>0</v>
      </c>
      <c r="BL108" s="19">
        <v>0</v>
      </c>
      <c r="BM108" s="19">
        <v>0</v>
      </c>
      <c r="BN108" s="19">
        <f t="shared" si="661"/>
        <v>0</v>
      </c>
      <c r="BO108" s="19">
        <f t="shared" si="662"/>
        <v>0</v>
      </c>
      <c r="BP108" s="19">
        <v>0</v>
      </c>
      <c r="BQ108" s="19">
        <v>0</v>
      </c>
      <c r="BR108" s="22">
        <f t="shared" si="663"/>
        <v>0</v>
      </c>
      <c r="BS108" s="23">
        <f t="shared" si="589"/>
        <v>0</v>
      </c>
      <c r="BT108" s="24">
        <f t="shared" si="664"/>
        <v>0</v>
      </c>
      <c r="BU108" s="24">
        <f t="shared" si="591"/>
        <v>0</v>
      </c>
      <c r="BV108" s="24">
        <f t="shared" si="665"/>
        <v>0</v>
      </c>
      <c r="BW108" s="24">
        <f t="shared" si="593"/>
        <v>0</v>
      </c>
      <c r="BX108" s="24">
        <f t="shared" si="666"/>
        <v>0</v>
      </c>
      <c r="BY108" s="24">
        <f t="shared" si="595"/>
        <v>0</v>
      </c>
      <c r="BZ108" s="24">
        <f t="shared" si="667"/>
        <v>0</v>
      </c>
      <c r="CA108" s="24">
        <f t="shared" si="597"/>
        <v>0</v>
      </c>
      <c r="CB108" s="24">
        <f t="shared" si="668"/>
        <v>0</v>
      </c>
      <c r="CC108" s="24">
        <f t="shared" si="599"/>
        <v>0</v>
      </c>
      <c r="CD108" s="24">
        <f t="shared" si="669"/>
        <v>0</v>
      </c>
      <c r="CE108" s="24">
        <f t="shared" si="601"/>
        <v>0</v>
      </c>
      <c r="CF108" s="24">
        <f t="shared" si="670"/>
        <v>0</v>
      </c>
      <c r="CG108" s="24">
        <f t="shared" si="603"/>
        <v>0</v>
      </c>
      <c r="CH108" s="24">
        <f t="shared" si="671"/>
        <v>0</v>
      </c>
      <c r="CI108" s="24">
        <f t="shared" si="605"/>
        <v>0</v>
      </c>
      <c r="CJ108" s="24">
        <f t="shared" si="672"/>
        <v>0</v>
      </c>
      <c r="CK108" s="24">
        <f t="shared" si="607"/>
        <v>0</v>
      </c>
      <c r="CL108" s="24">
        <f t="shared" si="673"/>
        <v>0</v>
      </c>
      <c r="CM108" s="24">
        <f t="shared" si="609"/>
        <v>0</v>
      </c>
      <c r="CN108" s="24">
        <f t="shared" si="674"/>
        <v>0</v>
      </c>
      <c r="CO108" s="24">
        <f t="shared" si="611"/>
        <v>0</v>
      </c>
      <c r="CP108" s="24">
        <f t="shared" si="675"/>
        <v>0</v>
      </c>
      <c r="CQ108" s="24">
        <f t="shared" si="613"/>
        <v>0</v>
      </c>
      <c r="CR108" s="24">
        <f t="shared" si="676"/>
        <v>0</v>
      </c>
      <c r="CS108" s="24">
        <f t="shared" si="615"/>
        <v>0</v>
      </c>
      <c r="CT108" s="24">
        <f t="shared" si="677"/>
        <v>0</v>
      </c>
      <c r="CU108" s="24">
        <f t="shared" si="617"/>
        <v>0</v>
      </c>
      <c r="CV108" s="24">
        <f t="shared" si="678"/>
        <v>0</v>
      </c>
      <c r="CW108" s="24">
        <f t="shared" si="619"/>
        <v>0</v>
      </c>
      <c r="CX108" s="24">
        <f t="shared" si="679"/>
        <v>0</v>
      </c>
      <c r="CY108" s="24">
        <f t="shared" si="621"/>
        <v>0</v>
      </c>
      <c r="CZ108" s="24">
        <f t="shared" si="680"/>
        <v>0</v>
      </c>
      <c r="DA108" s="24">
        <f t="shared" si="623"/>
        <v>0</v>
      </c>
      <c r="DB108" s="24">
        <f t="shared" si="681"/>
        <v>0</v>
      </c>
      <c r="DC108" s="24">
        <f t="shared" si="625"/>
        <v>0</v>
      </c>
      <c r="DD108" s="24">
        <f t="shared" si="682"/>
        <v>0</v>
      </c>
      <c r="DE108" s="24">
        <f t="shared" si="627"/>
        <v>0</v>
      </c>
      <c r="DF108" s="24">
        <f t="shared" si="683"/>
        <v>0</v>
      </c>
      <c r="DG108" s="24">
        <f t="shared" si="629"/>
        <v>0</v>
      </c>
      <c r="DH108" s="24">
        <f t="shared" si="684"/>
        <v>0</v>
      </c>
      <c r="DI108" s="24">
        <f t="shared" si="631"/>
        <v>0</v>
      </c>
      <c r="DJ108" s="24">
        <f t="shared" si="685"/>
        <v>0</v>
      </c>
      <c r="DK108" s="24">
        <f t="shared" si="633"/>
        <v>0</v>
      </c>
      <c r="DL108" s="24">
        <f t="shared" si="686"/>
        <v>0</v>
      </c>
      <c r="DM108" s="24">
        <f t="shared" si="635"/>
        <v>0</v>
      </c>
      <c r="DN108" s="24">
        <f t="shared" si="687"/>
        <v>0</v>
      </c>
      <c r="DO108" s="24">
        <f t="shared" si="637"/>
        <v>0</v>
      </c>
      <c r="DP108" s="24">
        <f t="shared" si="688"/>
        <v>0</v>
      </c>
      <c r="DQ108" s="24">
        <f t="shared" si="639"/>
        <v>0</v>
      </c>
      <c r="DR108" s="24">
        <f t="shared" si="689"/>
        <v>0</v>
      </c>
      <c r="DS108" s="24">
        <f t="shared" si="641"/>
        <v>0</v>
      </c>
      <c r="DT108" s="24">
        <f t="shared" si="690"/>
        <v>0</v>
      </c>
      <c r="DU108" s="24">
        <f t="shared" si="643"/>
        <v>0</v>
      </c>
      <c r="DV108" s="24">
        <f t="shared" si="691"/>
        <v>0</v>
      </c>
      <c r="DW108" s="24">
        <f t="shared" si="645"/>
        <v>0</v>
      </c>
      <c r="DX108" s="24">
        <f t="shared" si="692"/>
        <v>0</v>
      </c>
      <c r="DY108" s="24">
        <f t="shared" si="647"/>
        <v>0</v>
      </c>
      <c r="DZ108" s="24">
        <f t="shared" si="693"/>
        <v>0</v>
      </c>
      <c r="EA108" s="24">
        <f t="shared" si="649"/>
        <v>0</v>
      </c>
      <c r="EB108" s="24">
        <f t="shared" si="694"/>
        <v>0</v>
      </c>
      <c r="EC108" s="24">
        <f t="shared" si="651"/>
        <v>0</v>
      </c>
      <c r="ED108" s="24">
        <f t="shared" si="695"/>
        <v>0</v>
      </c>
      <c r="EE108" s="107" t="s">
        <v>172</v>
      </c>
    </row>
    <row r="109" spans="1:135" s="2" customFormat="1" ht="18" customHeight="1" thickBot="1" x14ac:dyDescent="0.3">
      <c r="A109" s="15"/>
      <c r="B109" s="108"/>
      <c r="C109" s="26"/>
      <c r="D109" s="16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6"/>
      <c r="AX109" s="16"/>
      <c r="AY109" s="38"/>
      <c r="AZ109" s="36"/>
      <c r="BA109" s="20"/>
      <c r="BB109" s="21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22"/>
      <c r="BS109" s="23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5"/>
    </row>
    <row r="110" spans="1:135" s="2" customFormat="1" ht="18" customHeight="1" thickBot="1" x14ac:dyDescent="0.3">
      <c r="A110" s="30"/>
      <c r="B110" s="112"/>
      <c r="C110" s="32"/>
      <c r="D110" s="32"/>
      <c r="E110" s="31"/>
      <c r="F110" s="33">
        <f t="shared" ref="F110:AK110" si="696">SUM(F4:F109)</f>
        <v>910</v>
      </c>
      <c r="G110" s="33">
        <f t="shared" si="696"/>
        <v>942</v>
      </c>
      <c r="H110" s="33">
        <f t="shared" si="696"/>
        <v>953</v>
      </c>
      <c r="I110" s="33">
        <f t="shared" si="696"/>
        <v>930.5</v>
      </c>
      <c r="J110" s="33">
        <f t="shared" si="696"/>
        <v>0</v>
      </c>
      <c r="K110" s="33">
        <f t="shared" si="696"/>
        <v>941.5</v>
      </c>
      <c r="L110" s="33">
        <f t="shared" si="696"/>
        <v>0</v>
      </c>
      <c r="M110" s="33">
        <f t="shared" si="696"/>
        <v>955.5</v>
      </c>
      <c r="N110" s="33">
        <f t="shared" si="696"/>
        <v>944.5</v>
      </c>
      <c r="O110" s="33">
        <f t="shared" si="696"/>
        <v>922.5</v>
      </c>
      <c r="P110" s="33">
        <f t="shared" si="696"/>
        <v>931.5</v>
      </c>
      <c r="Q110" s="33">
        <f t="shared" si="696"/>
        <v>945.5</v>
      </c>
      <c r="R110" s="33">
        <f t="shared" si="696"/>
        <v>960.5</v>
      </c>
      <c r="S110" s="33">
        <f t="shared" si="696"/>
        <v>0</v>
      </c>
      <c r="T110" s="33">
        <f t="shared" si="696"/>
        <v>952.5</v>
      </c>
      <c r="U110" s="33">
        <f t="shared" si="696"/>
        <v>949.5</v>
      </c>
      <c r="V110" s="33">
        <f t="shared" si="696"/>
        <v>939.5</v>
      </c>
      <c r="W110" s="33">
        <f t="shared" si="696"/>
        <v>982.5</v>
      </c>
      <c r="X110" s="33">
        <f t="shared" si="696"/>
        <v>979.5</v>
      </c>
      <c r="Y110" s="33">
        <f t="shared" si="696"/>
        <v>967.5</v>
      </c>
      <c r="Z110" s="33">
        <f t="shared" si="696"/>
        <v>0</v>
      </c>
      <c r="AA110" s="33">
        <f t="shared" si="696"/>
        <v>968.5</v>
      </c>
      <c r="AB110" s="33">
        <f t="shared" si="696"/>
        <v>991.5</v>
      </c>
      <c r="AC110" s="33">
        <f t="shared" si="696"/>
        <v>991.5</v>
      </c>
      <c r="AD110" s="33">
        <f t="shared" si="696"/>
        <v>999.5</v>
      </c>
      <c r="AE110" s="33">
        <f t="shared" si="696"/>
        <v>992.5</v>
      </c>
      <c r="AF110" s="33">
        <f t="shared" si="696"/>
        <v>983.5</v>
      </c>
      <c r="AG110" s="33">
        <f t="shared" si="696"/>
        <v>0</v>
      </c>
      <c r="AH110" s="33">
        <f t="shared" si="696"/>
        <v>989.5</v>
      </c>
      <c r="AI110" s="33">
        <f t="shared" si="696"/>
        <v>984.5</v>
      </c>
      <c r="AJ110" s="33">
        <f t="shared" si="696"/>
        <v>97</v>
      </c>
      <c r="AK110" s="33">
        <f t="shared" si="696"/>
        <v>196</v>
      </c>
      <c r="AL110" s="33">
        <f t="shared" ref="AL110:BQ110" si="697">SUM(AL4:AL109)</f>
        <v>182</v>
      </c>
      <c r="AM110" s="33">
        <f t="shared" si="697"/>
        <v>215</v>
      </c>
      <c r="AN110" s="33">
        <f t="shared" si="697"/>
        <v>0</v>
      </c>
      <c r="AO110" s="33">
        <f t="shared" si="697"/>
        <v>493</v>
      </c>
      <c r="AP110" s="33">
        <f t="shared" si="697"/>
        <v>0</v>
      </c>
      <c r="AQ110" s="33">
        <f t="shared" si="697"/>
        <v>0</v>
      </c>
      <c r="AR110" s="33">
        <f t="shared" si="697"/>
        <v>0</v>
      </c>
      <c r="AS110" s="33">
        <f t="shared" si="697"/>
        <v>0</v>
      </c>
      <c r="AT110" s="33">
        <f t="shared" si="697"/>
        <v>5457</v>
      </c>
      <c r="AU110" s="33">
        <f t="shared" si="697"/>
        <v>690</v>
      </c>
      <c r="AV110" s="33">
        <f t="shared" si="697"/>
        <v>493</v>
      </c>
      <c r="AW110" s="33">
        <f t="shared" si="697"/>
        <v>2766</v>
      </c>
      <c r="AX110" s="33">
        <f t="shared" si="697"/>
        <v>61</v>
      </c>
      <c r="AY110" s="34">
        <f t="shared" si="697"/>
        <v>23</v>
      </c>
      <c r="AZ110" s="46">
        <f t="shared" si="697"/>
        <v>101150</v>
      </c>
      <c r="BA110" s="33">
        <f t="shared" si="697"/>
        <v>11100</v>
      </c>
      <c r="BB110" s="33">
        <f t="shared" si="697"/>
        <v>600</v>
      </c>
      <c r="BC110" s="33">
        <f t="shared" si="697"/>
        <v>88685</v>
      </c>
      <c r="BD110" s="33">
        <f t="shared" si="697"/>
        <v>9704</v>
      </c>
      <c r="BE110" s="33">
        <f t="shared" si="697"/>
        <v>34228</v>
      </c>
      <c r="BF110" s="33">
        <f t="shared" si="697"/>
        <v>600</v>
      </c>
      <c r="BG110" s="33">
        <f t="shared" si="697"/>
        <v>744</v>
      </c>
      <c r="BH110" s="33">
        <f t="shared" si="697"/>
        <v>80</v>
      </c>
      <c r="BI110" s="33">
        <f t="shared" si="697"/>
        <v>0</v>
      </c>
      <c r="BJ110" s="33">
        <f t="shared" si="697"/>
        <v>6745</v>
      </c>
      <c r="BK110" s="33">
        <f t="shared" si="697"/>
        <v>140786</v>
      </c>
      <c r="BL110" s="33">
        <f t="shared" si="697"/>
        <v>1700</v>
      </c>
      <c r="BM110" s="33">
        <f t="shared" si="697"/>
        <v>0</v>
      </c>
      <c r="BN110" s="33">
        <f t="shared" si="697"/>
        <v>1700</v>
      </c>
      <c r="BO110" s="33">
        <f t="shared" si="697"/>
        <v>139086</v>
      </c>
      <c r="BP110" s="33">
        <f t="shared" si="697"/>
        <v>0</v>
      </c>
      <c r="BQ110" s="33">
        <f t="shared" si="697"/>
        <v>0</v>
      </c>
      <c r="BR110" s="34">
        <f t="shared" ref="BR110:CW110" si="698">SUM(BR4:BR109)</f>
        <v>139086</v>
      </c>
      <c r="BS110" s="23"/>
      <c r="BT110" s="24"/>
      <c r="BU110" s="24"/>
      <c r="BV110" s="24"/>
      <c r="BW110" s="24"/>
      <c r="BX110" s="24"/>
      <c r="BY110" s="24"/>
      <c r="BZ110" s="24"/>
      <c r="CA110" s="24">
        <f>COUNTIF(F110:AI110, "10.5")</f>
        <v>0</v>
      </c>
      <c r="CB110" s="24">
        <f t="shared" ref="CB110" si="699">CA110*2.5</f>
        <v>0</v>
      </c>
      <c r="CC110" s="24">
        <f>COUNTIF(F110:AI110, "11")</f>
        <v>0</v>
      </c>
      <c r="CD110" s="24">
        <f t="shared" ref="CD110" si="700">CC110*3</f>
        <v>0</v>
      </c>
      <c r="CE110" s="24">
        <f>COUNTIF(F110:AI110, "11.5")</f>
        <v>0</v>
      </c>
      <c r="CF110" s="24">
        <f t="shared" ref="CF110" si="701">CE110*3.5</f>
        <v>0</v>
      </c>
      <c r="CG110" s="24">
        <f>COUNTIF(F110:AI110, "12")</f>
        <v>0</v>
      </c>
      <c r="CH110" s="24">
        <f t="shared" ref="CH110" si="702">CG110*4</f>
        <v>0</v>
      </c>
      <c r="CI110" s="24">
        <f>COUNTIF(F110:AI110, "12.5")</f>
        <v>0</v>
      </c>
      <c r="CJ110" s="24">
        <f t="shared" ref="CJ110" si="703">CI110*4.5</f>
        <v>0</v>
      </c>
      <c r="CK110" s="24">
        <f>COUNTIF(F110:AI110, "13")</f>
        <v>0</v>
      </c>
      <c r="CL110" s="24">
        <f t="shared" ref="CL110" si="704">CK110*5</f>
        <v>0</v>
      </c>
      <c r="CM110" s="24">
        <f>COUNTIF(F110:AI110, "13.5")</f>
        <v>0</v>
      </c>
      <c r="CN110" s="24">
        <f t="shared" ref="CN110" si="705">CM110*5.5</f>
        <v>0</v>
      </c>
      <c r="CO110" s="24">
        <f>COUNTIF(F110:AI110, "14")</f>
        <v>0</v>
      </c>
      <c r="CP110" s="24">
        <f t="shared" ref="CP110" si="706">CO110*6</f>
        <v>0</v>
      </c>
      <c r="CQ110" s="24">
        <f>COUNTIF(F110:AI110, "14.5")</f>
        <v>0</v>
      </c>
      <c r="CR110" s="24">
        <f t="shared" ref="CR110" si="707">CQ110*6.5</f>
        <v>0</v>
      </c>
      <c r="CS110" s="24">
        <f>COUNTIF(F110:AI110, "15")</f>
        <v>0</v>
      </c>
      <c r="CT110" s="24">
        <f t="shared" ref="CT110" si="708">CS110*7</f>
        <v>0</v>
      </c>
      <c r="CU110" s="24">
        <f>COUNTIF(F110:AI110, "15.5")</f>
        <v>0</v>
      </c>
      <c r="CV110" s="24">
        <f t="shared" ref="CV110" si="709">CU110*7.5</f>
        <v>0</v>
      </c>
      <c r="CW110" s="24">
        <f>COUNTIF(F110:AI110, "16")</f>
        <v>0</v>
      </c>
      <c r="CX110" s="24">
        <f t="shared" ref="CX110" si="710">CW110*8</f>
        <v>0</v>
      </c>
      <c r="CY110" s="24">
        <f>COUNTIF(F110:AI110, "16.5")</f>
        <v>0</v>
      </c>
      <c r="CZ110" s="24">
        <f t="shared" ref="CZ110" si="711">CY110*8.5</f>
        <v>0</v>
      </c>
      <c r="DA110" s="24">
        <f>COUNTIF(F110:AI110, "17")</f>
        <v>0</v>
      </c>
      <c r="DB110" s="24">
        <f t="shared" ref="DB110" si="712">DA110*9</f>
        <v>0</v>
      </c>
      <c r="DC110" s="24">
        <f>COUNTIF(F110:AI110, "17.5")</f>
        <v>0</v>
      </c>
      <c r="DD110" s="24">
        <f t="shared" ref="DD110" si="713">DC110*9.5</f>
        <v>0</v>
      </c>
      <c r="DE110" s="24">
        <f>COUNTIF(F110:AI110, "18")</f>
        <v>0</v>
      </c>
      <c r="DF110" s="24">
        <f t="shared" ref="DF110" si="714">DE110*10</f>
        <v>0</v>
      </c>
      <c r="DG110" s="24">
        <f>COUNTIF(F110:AI110, "18.5")</f>
        <v>0</v>
      </c>
      <c r="DH110" s="24">
        <f t="shared" ref="DH110" si="715">DG110*10.5</f>
        <v>0</v>
      </c>
      <c r="DI110" s="24">
        <f>COUNTIF(F110:AI110, "19")</f>
        <v>0</v>
      </c>
      <c r="DJ110" s="24">
        <f t="shared" ref="DJ110" si="716">DI110*11</f>
        <v>0</v>
      </c>
      <c r="DK110" s="24">
        <f>COUNTIF(F110:AI110, "19.5")</f>
        <v>0</v>
      </c>
      <c r="DL110" s="24">
        <f t="shared" ref="DL110" si="717">DK110*11.5</f>
        <v>0</v>
      </c>
      <c r="DM110" s="24">
        <f>COUNTIF(F110:AI110, "20")</f>
        <v>0</v>
      </c>
      <c r="DN110" s="24">
        <f t="shared" ref="DN110" si="718">DM110*12</f>
        <v>0</v>
      </c>
      <c r="DO110" s="24">
        <f>COUNTIF(F110:AI110, "20.5")</f>
        <v>0</v>
      </c>
      <c r="DP110" s="24">
        <f t="shared" ref="DP110" si="719">DO110*12.5</f>
        <v>0</v>
      </c>
      <c r="DQ110" s="24">
        <f>COUNTIF(F110:AI110, "21")</f>
        <v>0</v>
      </c>
      <c r="DR110" s="24">
        <f t="shared" ref="DR110" si="720">DQ110*13</f>
        <v>0</v>
      </c>
      <c r="DS110" s="24">
        <f>COUNTIF(F110:AI110, "21.5")</f>
        <v>0</v>
      </c>
      <c r="DT110" s="24">
        <f t="shared" ref="DT110" si="721">DS110*13.5</f>
        <v>0</v>
      </c>
      <c r="DU110" s="24">
        <f>COUNTIF(F110:AI110, "22")</f>
        <v>0</v>
      </c>
      <c r="DV110" s="24">
        <f t="shared" ref="DV110" si="722">DU110*14</f>
        <v>0</v>
      </c>
      <c r="DW110" s="24">
        <f>COUNTIF(F110:AI110, "22.5")</f>
        <v>0</v>
      </c>
      <c r="DX110" s="24">
        <f t="shared" ref="DX110" si="723">DW110*14.5</f>
        <v>0</v>
      </c>
      <c r="DY110" s="24">
        <f>COUNTIF(F110:AI110, "23")</f>
        <v>0</v>
      </c>
      <c r="DZ110" s="24">
        <f t="shared" ref="DZ110" si="724">DY110*15</f>
        <v>0</v>
      </c>
      <c r="EA110" s="24">
        <f>COUNTIF(F110:AI110, "23.5")</f>
        <v>0</v>
      </c>
      <c r="EB110" s="24">
        <f t="shared" ref="EB110" si="725">EA110*15.5</f>
        <v>0</v>
      </c>
      <c r="EC110" s="24">
        <f>COUNTIF(F110:AI110, "24")</f>
        <v>0</v>
      </c>
      <c r="ED110" s="24">
        <f t="shared" ref="ED110" si="726">EC110*16</f>
        <v>0</v>
      </c>
      <c r="EE110" s="25"/>
    </row>
    <row r="111" spans="1:135" x14ac:dyDescent="0.25">
      <c r="F111" s="88"/>
      <c r="G111" s="88"/>
      <c r="H111" s="88"/>
      <c r="I111" s="88"/>
      <c r="J111" s="88"/>
      <c r="K111" s="89"/>
      <c r="L111" s="88"/>
      <c r="M111" s="88"/>
      <c r="N111" s="88"/>
      <c r="O111" s="88"/>
      <c r="P111" s="88"/>
      <c r="Q111" s="88"/>
      <c r="R111" s="89"/>
      <c r="S111" s="89"/>
      <c r="T111" s="88"/>
      <c r="U111" s="88"/>
      <c r="V111" s="88"/>
      <c r="W111" s="88"/>
      <c r="X111" s="88"/>
      <c r="Y111" s="88"/>
      <c r="Z111" s="88"/>
      <c r="AA111" s="88"/>
      <c r="AB111" s="88"/>
      <c r="AC111" s="89"/>
      <c r="AD111" s="89"/>
      <c r="AE111" s="89"/>
      <c r="AF111" s="89"/>
      <c r="AG111" s="89"/>
      <c r="AH111" s="89"/>
      <c r="AI111" s="89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</row>
    <row r="112" spans="1:135" x14ac:dyDescent="0.25">
      <c r="B112" s="114" t="s">
        <v>148</v>
      </c>
      <c r="C112" s="55" t="s">
        <v>419</v>
      </c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7"/>
      <c r="AK112" s="7"/>
      <c r="AL112" s="7"/>
      <c r="AM112" s="7"/>
      <c r="AN112" s="7"/>
      <c r="AO112" s="7"/>
      <c r="AP112" s="4"/>
      <c r="AQ112" s="4"/>
      <c r="AR112" s="4"/>
      <c r="AS112" s="4"/>
      <c r="AT112" s="4"/>
      <c r="AU112" s="4"/>
      <c r="AV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</row>
    <row r="113" spans="2:134" x14ac:dyDescent="0.25">
      <c r="B113" s="114" t="s">
        <v>427</v>
      </c>
      <c r="C113" s="55" t="s">
        <v>171</v>
      </c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</row>
    <row r="114" spans="2:134" x14ac:dyDescent="0.25">
      <c r="B114" s="115" t="s">
        <v>418</v>
      </c>
      <c r="C114" s="55" t="s">
        <v>302</v>
      </c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"/>
      <c r="AK114" s="7"/>
      <c r="AL114" s="7"/>
      <c r="AM114" s="7"/>
      <c r="AN114" s="7"/>
      <c r="AO114" s="7"/>
      <c r="AP114" s="7"/>
      <c r="AQ114" s="7"/>
      <c r="AR114" s="7"/>
      <c r="AS114" s="4"/>
      <c r="AT114" s="4"/>
      <c r="AU114" s="4"/>
      <c r="AV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</row>
    <row r="115" spans="2:134" x14ac:dyDescent="0.25">
      <c r="B115" s="116" t="s">
        <v>417</v>
      </c>
      <c r="C115" s="55" t="s">
        <v>172</v>
      </c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</row>
    <row r="116" spans="2:134" x14ac:dyDescent="0.25">
      <c r="B116" s="117"/>
      <c r="C116" s="55" t="s">
        <v>373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</row>
    <row r="117" spans="2:134" x14ac:dyDescent="0.25">
      <c r="B117" s="118"/>
      <c r="C117" s="55" t="s">
        <v>374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</row>
    <row r="118" spans="2:134" x14ac:dyDescent="0.25">
      <c r="B118" s="114" t="s">
        <v>473</v>
      </c>
      <c r="C118" s="55" t="s">
        <v>474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</row>
    <row r="119" spans="2:134" x14ac:dyDescent="0.25"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</row>
    <row r="121" spans="2:134" x14ac:dyDescent="0.25">
      <c r="C121" s="3"/>
    </row>
    <row r="122" spans="2:134" x14ac:dyDescent="0.25">
      <c r="C122" s="143"/>
    </row>
    <row r="123" spans="2:134" x14ac:dyDescent="0.25">
      <c r="C123" s="144"/>
    </row>
    <row r="124" spans="2:134" x14ac:dyDescent="0.25">
      <c r="C124" s="144"/>
    </row>
    <row r="125" spans="2:134" x14ac:dyDescent="0.25">
      <c r="C125" s="144"/>
    </row>
    <row r="126" spans="2:134" x14ac:dyDescent="0.25">
      <c r="C126" s="144"/>
    </row>
    <row r="127" spans="2:134" x14ac:dyDescent="0.25">
      <c r="C127" s="144"/>
    </row>
    <row r="128" spans="2:134" x14ac:dyDescent="0.25">
      <c r="C128" s="144"/>
    </row>
    <row r="129" spans="3:3" x14ac:dyDescent="0.25">
      <c r="C129" s="144"/>
    </row>
    <row r="130" spans="3:3" x14ac:dyDescent="0.25">
      <c r="C130" s="144"/>
    </row>
    <row r="131" spans="3:3" x14ac:dyDescent="0.25">
      <c r="C131" s="144"/>
    </row>
    <row r="132" spans="3:3" x14ac:dyDescent="0.25">
      <c r="C132" s="144"/>
    </row>
    <row r="133" spans="3:3" x14ac:dyDescent="0.25">
      <c r="C133" s="144"/>
    </row>
    <row r="134" spans="3:3" x14ac:dyDescent="0.25">
      <c r="C134" s="144"/>
    </row>
    <row r="135" spans="3:3" x14ac:dyDescent="0.25">
      <c r="C135" s="144"/>
    </row>
    <row r="136" spans="3:3" x14ac:dyDescent="0.25">
      <c r="C136" s="144"/>
    </row>
    <row r="137" spans="3:3" x14ac:dyDescent="0.25">
      <c r="C137" s="144"/>
    </row>
    <row r="138" spans="3:3" x14ac:dyDescent="0.25">
      <c r="C138" s="144"/>
    </row>
    <row r="139" spans="3:3" x14ac:dyDescent="0.25">
      <c r="C139" s="144"/>
    </row>
    <row r="140" spans="3:3" x14ac:dyDescent="0.25">
      <c r="C140" s="144"/>
    </row>
    <row r="141" spans="3:3" x14ac:dyDescent="0.25">
      <c r="C141" s="144"/>
    </row>
    <row r="142" spans="3:3" x14ac:dyDescent="0.25">
      <c r="C142" s="144"/>
    </row>
    <row r="143" spans="3:3" x14ac:dyDescent="0.25">
      <c r="C143" s="144"/>
    </row>
    <row r="144" spans="3:3" x14ac:dyDescent="0.25">
      <c r="C144" s="144"/>
    </row>
    <row r="145" spans="3:3" x14ac:dyDescent="0.25">
      <c r="C145" s="144"/>
    </row>
    <row r="146" spans="3:3" x14ac:dyDescent="0.25">
      <c r="C146" s="144"/>
    </row>
    <row r="147" spans="3:3" x14ac:dyDescent="0.25">
      <c r="C147" s="144"/>
    </row>
    <row r="148" spans="3:3" x14ac:dyDescent="0.25">
      <c r="C148" s="144"/>
    </row>
    <row r="149" spans="3:3" x14ac:dyDescent="0.25">
      <c r="C149" s="144"/>
    </row>
    <row r="150" spans="3:3" x14ac:dyDescent="0.25">
      <c r="C150" s="144"/>
    </row>
    <row r="151" spans="3:3" x14ac:dyDescent="0.25">
      <c r="C151" s="144"/>
    </row>
    <row r="152" spans="3:3" x14ac:dyDescent="0.25">
      <c r="C152" s="144"/>
    </row>
    <row r="153" spans="3:3" x14ac:dyDescent="0.25">
      <c r="C153" s="144"/>
    </row>
    <row r="154" spans="3:3" x14ac:dyDescent="0.25">
      <c r="C154" s="144"/>
    </row>
    <row r="155" spans="3:3" x14ac:dyDescent="0.25">
      <c r="C155" s="144"/>
    </row>
    <row r="156" spans="3:3" x14ac:dyDescent="0.25">
      <c r="C156" s="144"/>
    </row>
    <row r="157" spans="3:3" x14ac:dyDescent="0.25">
      <c r="C157" s="144"/>
    </row>
    <row r="158" spans="3:3" x14ac:dyDescent="0.25">
      <c r="C158" s="144"/>
    </row>
    <row r="159" spans="3:3" x14ac:dyDescent="0.25">
      <c r="C159" s="144"/>
    </row>
    <row r="160" spans="3:3" x14ac:dyDescent="0.25">
      <c r="C160" s="144"/>
    </row>
    <row r="161" spans="3:3" x14ac:dyDescent="0.25">
      <c r="C161" s="144"/>
    </row>
    <row r="162" spans="3:3" x14ac:dyDescent="0.25">
      <c r="C162" s="144"/>
    </row>
    <row r="163" spans="3:3" x14ac:dyDescent="0.25">
      <c r="C163" s="144"/>
    </row>
    <row r="164" spans="3:3" x14ac:dyDescent="0.25">
      <c r="C164" s="144"/>
    </row>
    <row r="165" spans="3:3" x14ac:dyDescent="0.25">
      <c r="C165" s="144"/>
    </row>
    <row r="166" spans="3:3" x14ac:dyDescent="0.25">
      <c r="C166" s="144"/>
    </row>
    <row r="167" spans="3:3" x14ac:dyDescent="0.25">
      <c r="C167" s="144"/>
    </row>
    <row r="168" spans="3:3" x14ac:dyDescent="0.25">
      <c r="C168" s="144"/>
    </row>
    <row r="169" spans="3:3" x14ac:dyDescent="0.25">
      <c r="C169" s="144"/>
    </row>
    <row r="170" spans="3:3" x14ac:dyDescent="0.25">
      <c r="C170" s="144"/>
    </row>
    <row r="171" spans="3:3" x14ac:dyDescent="0.25">
      <c r="C171" s="144"/>
    </row>
    <row r="172" spans="3:3" x14ac:dyDescent="0.25">
      <c r="C172" s="144"/>
    </row>
    <row r="173" spans="3:3" x14ac:dyDescent="0.25">
      <c r="C173" s="144"/>
    </row>
    <row r="174" spans="3:3" x14ac:dyDescent="0.25">
      <c r="C174" s="144"/>
    </row>
    <row r="175" spans="3:3" x14ac:dyDescent="0.25">
      <c r="C175" s="144"/>
    </row>
    <row r="176" spans="3:3" x14ac:dyDescent="0.25">
      <c r="C176" s="144"/>
    </row>
    <row r="177" spans="3:3" x14ac:dyDescent="0.25">
      <c r="C177" s="144"/>
    </row>
    <row r="178" spans="3:3" x14ac:dyDescent="0.25">
      <c r="C178" s="144"/>
    </row>
    <row r="179" spans="3:3" x14ac:dyDescent="0.25">
      <c r="C179" s="144"/>
    </row>
    <row r="180" spans="3:3" x14ac:dyDescent="0.25">
      <c r="C180" s="144"/>
    </row>
    <row r="181" spans="3:3" x14ac:dyDescent="0.25">
      <c r="C181" s="144"/>
    </row>
    <row r="182" spans="3:3" x14ac:dyDescent="0.25">
      <c r="C182" s="144"/>
    </row>
    <row r="183" spans="3:3" x14ac:dyDescent="0.25">
      <c r="C183" s="144"/>
    </row>
    <row r="184" spans="3:3" x14ac:dyDescent="0.25">
      <c r="C184" s="144"/>
    </row>
    <row r="185" spans="3:3" x14ac:dyDescent="0.25">
      <c r="C185" s="144"/>
    </row>
    <row r="186" spans="3:3" x14ac:dyDescent="0.25">
      <c r="C186" s="144"/>
    </row>
    <row r="187" spans="3:3" x14ac:dyDescent="0.25">
      <c r="C187" s="144"/>
    </row>
    <row r="188" spans="3:3" x14ac:dyDescent="0.25">
      <c r="C188" s="144"/>
    </row>
    <row r="189" spans="3:3" x14ac:dyDescent="0.25">
      <c r="C189" s="144"/>
    </row>
    <row r="190" spans="3:3" x14ac:dyDescent="0.25">
      <c r="C190" s="144"/>
    </row>
    <row r="191" spans="3:3" x14ac:dyDescent="0.25">
      <c r="C191" s="144"/>
    </row>
    <row r="192" spans="3:3" x14ac:dyDescent="0.25">
      <c r="C192" s="144"/>
    </row>
    <row r="193" spans="3:3" x14ac:dyDescent="0.25">
      <c r="C193" s="144"/>
    </row>
    <row r="194" spans="3:3" x14ac:dyDescent="0.25">
      <c r="C194" s="144"/>
    </row>
    <row r="195" spans="3:3" x14ac:dyDescent="0.25">
      <c r="C195" s="144"/>
    </row>
    <row r="196" spans="3:3" x14ac:dyDescent="0.25">
      <c r="C196" s="144"/>
    </row>
    <row r="197" spans="3:3" x14ac:dyDescent="0.25">
      <c r="C197" s="144"/>
    </row>
    <row r="198" spans="3:3" x14ac:dyDescent="0.25">
      <c r="C198" s="144"/>
    </row>
    <row r="199" spans="3:3" x14ac:dyDescent="0.25">
      <c r="C199" s="144"/>
    </row>
    <row r="200" spans="3:3" x14ac:dyDescent="0.25">
      <c r="C200" s="144"/>
    </row>
    <row r="201" spans="3:3" x14ac:dyDescent="0.25">
      <c r="C201" s="144"/>
    </row>
    <row r="202" spans="3:3" x14ac:dyDescent="0.25">
      <c r="C202" s="144"/>
    </row>
    <row r="203" spans="3:3" x14ac:dyDescent="0.25">
      <c r="C203" s="144"/>
    </row>
    <row r="204" spans="3:3" x14ac:dyDescent="0.25">
      <c r="C204" s="144"/>
    </row>
    <row r="205" spans="3:3" x14ac:dyDescent="0.25">
      <c r="C205" s="144"/>
    </row>
    <row r="206" spans="3:3" x14ac:dyDescent="0.25">
      <c r="C206" s="144"/>
    </row>
    <row r="207" spans="3:3" x14ac:dyDescent="0.25">
      <c r="C207" s="144"/>
    </row>
    <row r="208" spans="3:3" x14ac:dyDescent="0.25">
      <c r="C208" s="144"/>
    </row>
    <row r="209" spans="3:3" x14ac:dyDescent="0.25">
      <c r="C209" s="144"/>
    </row>
    <row r="210" spans="3:3" x14ac:dyDescent="0.25">
      <c r="C210" s="144"/>
    </row>
    <row r="211" spans="3:3" x14ac:dyDescent="0.25">
      <c r="C211" s="144"/>
    </row>
    <row r="212" spans="3:3" x14ac:dyDescent="0.25">
      <c r="C212" s="144"/>
    </row>
    <row r="213" spans="3:3" x14ac:dyDescent="0.25">
      <c r="C213" s="144"/>
    </row>
    <row r="214" spans="3:3" x14ac:dyDescent="0.25">
      <c r="C214" s="144"/>
    </row>
    <row r="215" spans="3:3" x14ac:dyDescent="0.25">
      <c r="C215" s="144"/>
    </row>
    <row r="216" spans="3:3" x14ac:dyDescent="0.25">
      <c r="C216" s="144"/>
    </row>
    <row r="217" spans="3:3" x14ac:dyDescent="0.25">
      <c r="C217" s="144"/>
    </row>
  </sheetData>
  <mergeCells count="42">
    <mergeCell ref="AZ1:BR1"/>
    <mergeCell ref="BQ2:BQ3"/>
    <mergeCell ref="BR2:BR3"/>
    <mergeCell ref="BK2:BK3"/>
    <mergeCell ref="BL2:BL3"/>
    <mergeCell ref="BM2:BM3"/>
    <mergeCell ref="BN2:BN3"/>
    <mergeCell ref="BO2:BO3"/>
    <mergeCell ref="BP2:BP3"/>
    <mergeCell ref="BG2:BG3"/>
    <mergeCell ref="BH2:BH3"/>
    <mergeCell ref="BI2:BI3"/>
    <mergeCell ref="AR2:AR3"/>
    <mergeCell ref="AS2:AS3"/>
    <mergeCell ref="AQ2:AQ3"/>
    <mergeCell ref="AV2:AV3"/>
    <mergeCell ref="BJ2:BJ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AK2:AK3"/>
    <mergeCell ref="AM2:AM3"/>
    <mergeCell ref="A1:AY1"/>
    <mergeCell ref="A2:A3"/>
    <mergeCell ref="B2:B3"/>
    <mergeCell ref="C2:C3"/>
    <mergeCell ref="D2:D3"/>
    <mergeCell ref="AW2:AW3"/>
    <mergeCell ref="E2:E3"/>
    <mergeCell ref="AJ2:AJ3"/>
    <mergeCell ref="AL2:AL3"/>
    <mergeCell ref="AN2:AN3"/>
    <mergeCell ref="AO2:AO3"/>
    <mergeCell ref="AT2:AT3"/>
    <mergeCell ref="AU2:AU3"/>
    <mergeCell ref="AP2:AP3"/>
  </mergeCells>
  <conditionalFormatting sqref="B1:B9 B11:B1048576">
    <cfRule type="duplicateValues" dxfId="976" priority="73680"/>
  </conditionalFormatting>
  <conditionalFormatting sqref="B1:B1048576">
    <cfRule type="duplicateValues" dxfId="975" priority="200"/>
    <cfRule type="duplicateValues" dxfId="974" priority="201"/>
    <cfRule type="duplicateValues" dxfId="973" priority="429"/>
  </conditionalFormatting>
  <conditionalFormatting sqref="B7">
    <cfRule type="duplicateValues" dxfId="972" priority="6023"/>
  </conditionalFormatting>
  <conditionalFormatting sqref="B9">
    <cfRule type="duplicateValues" dxfId="971" priority="4823"/>
  </conditionalFormatting>
  <conditionalFormatting sqref="B10">
    <cfRule type="duplicateValues" dxfId="970" priority="442"/>
    <cfRule type="duplicateValues" dxfId="969" priority="439"/>
    <cfRule type="duplicateValues" dxfId="968" priority="438"/>
    <cfRule type="duplicateValues" dxfId="967" priority="437"/>
    <cfRule type="duplicateValues" dxfId="966" priority="436"/>
    <cfRule type="duplicateValues" dxfId="965" priority="430"/>
    <cfRule type="duplicateValues" dxfId="964" priority="431"/>
    <cfRule type="duplicateValues" dxfId="963" priority="432"/>
    <cfRule type="duplicateValues" dxfId="962" priority="448"/>
    <cfRule type="duplicateValues" dxfId="961" priority="447"/>
    <cfRule type="duplicateValues" dxfId="960" priority="446"/>
    <cfRule type="duplicateValues" dxfId="959" priority="445"/>
    <cfRule type="duplicateValues" dxfId="958" priority="444"/>
    <cfRule type="duplicateValues" dxfId="957" priority="443"/>
    <cfRule type="duplicateValues" dxfId="956" priority="433"/>
    <cfRule type="duplicateValues" dxfId="955" priority="441"/>
    <cfRule type="duplicateValues" dxfId="954" priority="440"/>
    <cfRule type="duplicateValues" dxfId="953" priority="434"/>
    <cfRule type="duplicateValues" dxfId="952" priority="435"/>
  </conditionalFormatting>
  <conditionalFormatting sqref="B11">
    <cfRule type="duplicateValues" dxfId="951" priority="4995"/>
  </conditionalFormatting>
  <conditionalFormatting sqref="B12">
    <cfRule type="duplicateValues" dxfId="950" priority="50125"/>
    <cfRule type="duplicateValues" dxfId="949" priority="50124"/>
    <cfRule type="duplicateValues" dxfId="948" priority="50123"/>
    <cfRule type="duplicateValues" dxfId="947" priority="50122"/>
    <cfRule type="duplicateValues" dxfId="946" priority="50121"/>
    <cfRule type="duplicateValues" dxfId="945" priority="50127"/>
    <cfRule type="duplicateValues" dxfId="944" priority="50126"/>
    <cfRule type="duplicateValues" dxfId="943" priority="50131"/>
    <cfRule type="duplicateValues" dxfId="942" priority="50132"/>
    <cfRule type="duplicateValues" dxfId="941" priority="50130"/>
    <cfRule type="duplicateValues" dxfId="940" priority="50129"/>
    <cfRule type="duplicateValues" dxfId="939" priority="50128"/>
  </conditionalFormatting>
  <conditionalFormatting sqref="B13">
    <cfRule type="duplicateValues" dxfId="938" priority="4881"/>
  </conditionalFormatting>
  <conditionalFormatting sqref="B14">
    <cfRule type="duplicateValues" dxfId="937" priority="5566"/>
  </conditionalFormatting>
  <conditionalFormatting sqref="B15">
    <cfRule type="duplicateValues" dxfId="936" priority="4325"/>
    <cfRule type="duplicateValues" dxfId="935" priority="54535"/>
    <cfRule type="duplicateValues" dxfId="934" priority="54534"/>
    <cfRule type="duplicateValues" dxfId="933" priority="4328"/>
    <cfRule type="duplicateValues" dxfId="932" priority="4327"/>
    <cfRule type="duplicateValues" dxfId="931" priority="4326"/>
    <cfRule type="duplicateValues" dxfId="930" priority="4324"/>
    <cfRule type="duplicateValues" dxfId="929" priority="4305"/>
    <cfRule type="duplicateValues" dxfId="928" priority="4304"/>
  </conditionalFormatting>
  <conditionalFormatting sqref="B16">
    <cfRule type="duplicateValues" dxfId="927" priority="4248"/>
    <cfRule type="duplicateValues" dxfId="926" priority="4272"/>
    <cfRule type="duplicateValues" dxfId="925" priority="4249"/>
    <cfRule type="duplicateValues" dxfId="924" priority="4250"/>
    <cfRule type="duplicateValues" dxfId="923" priority="4251"/>
    <cfRule type="duplicateValues" dxfId="922" priority="4252"/>
    <cfRule type="duplicateValues" dxfId="921" priority="4271"/>
    <cfRule type="duplicateValues" dxfId="920" priority="4273"/>
    <cfRule type="duplicateValues" dxfId="919" priority="4275"/>
    <cfRule type="duplicateValues" dxfId="918" priority="4274"/>
  </conditionalFormatting>
  <conditionalFormatting sqref="B17">
    <cfRule type="duplicateValues" dxfId="917" priority="3801"/>
    <cfRule type="duplicateValues" dxfId="916" priority="3793"/>
    <cfRule type="duplicateValues" dxfId="915" priority="3802"/>
    <cfRule type="duplicateValues" dxfId="914" priority="3800"/>
    <cfRule type="duplicateValues" dxfId="913" priority="3799"/>
    <cfRule type="duplicateValues" dxfId="912" priority="3798"/>
    <cfRule type="duplicateValues" dxfId="911" priority="3797"/>
    <cfRule type="duplicateValues" dxfId="910" priority="3796"/>
    <cfRule type="duplicateValues" dxfId="909" priority="3795"/>
    <cfRule type="duplicateValues" dxfId="908" priority="3794"/>
    <cfRule type="duplicateValues" dxfId="907" priority="3792"/>
  </conditionalFormatting>
  <conditionalFormatting sqref="B18">
    <cfRule type="duplicateValues" dxfId="906" priority="3431"/>
    <cfRule type="duplicateValues" dxfId="905" priority="3430"/>
    <cfRule type="duplicateValues" dxfId="904" priority="3429"/>
    <cfRule type="duplicateValues" dxfId="903" priority="3427"/>
    <cfRule type="duplicateValues" dxfId="902" priority="3433"/>
    <cfRule type="duplicateValues" dxfId="901" priority="3386"/>
    <cfRule type="duplicateValues" dxfId="900" priority="3428"/>
    <cfRule type="duplicateValues" dxfId="899" priority="3432"/>
    <cfRule type="duplicateValues" dxfId="898" priority="3423"/>
    <cfRule type="duplicateValues" dxfId="897" priority="3424"/>
    <cfRule type="duplicateValues" dxfId="896" priority="3425"/>
    <cfRule type="duplicateValues" dxfId="895" priority="3426"/>
  </conditionalFormatting>
  <conditionalFormatting sqref="B19">
    <cfRule type="duplicateValues" dxfId="894" priority="3254"/>
    <cfRule type="duplicateValues" dxfId="893" priority="3253"/>
    <cfRule type="duplicateValues" dxfId="892" priority="3252"/>
    <cfRule type="duplicateValues" dxfId="891" priority="3251"/>
    <cfRule type="duplicateValues" dxfId="890" priority="3249"/>
    <cfRule type="duplicateValues" dxfId="889" priority="3248"/>
    <cfRule type="duplicateValues" dxfId="888" priority="3211"/>
    <cfRule type="duplicateValues" dxfId="887" priority="3255"/>
    <cfRule type="duplicateValues" dxfId="886" priority="3250"/>
    <cfRule type="duplicateValues" dxfId="885" priority="3258"/>
    <cfRule type="duplicateValues" dxfId="884" priority="3257"/>
    <cfRule type="duplicateValues" dxfId="883" priority="3256"/>
  </conditionalFormatting>
  <conditionalFormatting sqref="B20">
    <cfRule type="duplicateValues" dxfId="882" priority="3538"/>
    <cfRule type="duplicateValues" dxfId="881" priority="3545"/>
    <cfRule type="duplicateValues" dxfId="880" priority="3546"/>
    <cfRule type="duplicateValues" dxfId="879" priority="3544"/>
    <cfRule type="duplicateValues" dxfId="878" priority="3543"/>
    <cfRule type="duplicateValues" dxfId="877" priority="3542"/>
    <cfRule type="duplicateValues" dxfId="876" priority="3541"/>
    <cfRule type="duplicateValues" dxfId="875" priority="3537"/>
    <cfRule type="duplicateValues" dxfId="874" priority="3547"/>
    <cfRule type="duplicateValues" dxfId="873" priority="3539"/>
    <cfRule type="duplicateValues" dxfId="872" priority="3500"/>
    <cfRule type="duplicateValues" dxfId="871" priority="3540"/>
  </conditionalFormatting>
  <conditionalFormatting sqref="B21">
    <cfRule type="duplicateValues" dxfId="870" priority="3597"/>
    <cfRule type="duplicateValues" dxfId="869" priority="3600"/>
    <cfRule type="duplicateValues" dxfId="868" priority="3599"/>
    <cfRule type="duplicateValues" dxfId="867" priority="3598"/>
    <cfRule type="duplicateValues" dxfId="866" priority="3596"/>
    <cfRule type="duplicateValues" dxfId="865" priority="3602"/>
    <cfRule type="duplicateValues" dxfId="864" priority="3603"/>
    <cfRule type="duplicateValues" dxfId="863" priority="3604"/>
    <cfRule type="duplicateValues" dxfId="862" priority="3557"/>
    <cfRule type="duplicateValues" dxfId="861" priority="3594"/>
    <cfRule type="duplicateValues" dxfId="860" priority="3601"/>
    <cfRule type="duplicateValues" dxfId="859" priority="3595"/>
  </conditionalFormatting>
  <conditionalFormatting sqref="B22">
    <cfRule type="duplicateValues" dxfId="858" priority="3661"/>
    <cfRule type="duplicateValues" dxfId="857" priority="3660"/>
    <cfRule type="duplicateValues" dxfId="856" priority="3659"/>
    <cfRule type="duplicateValues" dxfId="855" priority="3658"/>
    <cfRule type="duplicateValues" dxfId="854" priority="3657"/>
    <cfRule type="duplicateValues" dxfId="853" priority="3614"/>
    <cfRule type="duplicateValues" dxfId="852" priority="3651"/>
    <cfRule type="duplicateValues" dxfId="851" priority="3652"/>
    <cfRule type="duplicateValues" dxfId="850" priority="3653"/>
    <cfRule type="duplicateValues" dxfId="849" priority="3654"/>
    <cfRule type="duplicateValues" dxfId="848" priority="3655"/>
    <cfRule type="duplicateValues" dxfId="847" priority="3656"/>
  </conditionalFormatting>
  <conditionalFormatting sqref="B23">
    <cfRule type="duplicateValues" dxfId="846" priority="3140"/>
    <cfRule type="duplicateValues" dxfId="845" priority="3141"/>
    <cfRule type="duplicateValues" dxfId="844" priority="3149"/>
    <cfRule type="duplicateValues" dxfId="843" priority="3147"/>
    <cfRule type="duplicateValues" dxfId="842" priority="3146"/>
    <cfRule type="duplicateValues" dxfId="841" priority="3145"/>
    <cfRule type="duplicateValues" dxfId="840" priority="3144"/>
    <cfRule type="duplicateValues" dxfId="839" priority="3143"/>
    <cfRule type="duplicateValues" dxfId="838" priority="3142"/>
    <cfRule type="duplicateValues" dxfId="837" priority="3138"/>
    <cfRule type="duplicateValues" dxfId="836" priority="3139"/>
    <cfRule type="duplicateValues" dxfId="835" priority="3148"/>
  </conditionalFormatting>
  <conditionalFormatting sqref="B26">
    <cfRule type="duplicateValues" dxfId="834" priority="5166"/>
  </conditionalFormatting>
  <conditionalFormatting sqref="B27">
    <cfRule type="duplicateValues" dxfId="833" priority="4404"/>
    <cfRule type="duplicateValues" dxfId="832" priority="4405"/>
    <cfRule type="duplicateValues" dxfId="831" priority="4406"/>
    <cfRule type="duplicateValues" dxfId="830" priority="4407"/>
    <cfRule type="duplicateValues" dxfId="829" priority="4403"/>
  </conditionalFormatting>
  <conditionalFormatting sqref="B29">
    <cfRule type="duplicateValues" dxfId="828" priority="4652"/>
  </conditionalFormatting>
  <conditionalFormatting sqref="B31:B35 B37">
    <cfRule type="duplicateValues" dxfId="827" priority="3126"/>
    <cfRule type="duplicateValues" dxfId="826" priority="3127"/>
    <cfRule type="duplicateValues" dxfId="825" priority="3128"/>
    <cfRule type="duplicateValues" dxfId="824" priority="3129"/>
    <cfRule type="duplicateValues" dxfId="823" priority="3131"/>
    <cfRule type="duplicateValues" dxfId="822" priority="3132"/>
    <cfRule type="duplicateValues" dxfId="821" priority="3133"/>
    <cfRule type="duplicateValues" dxfId="820" priority="3134"/>
    <cfRule type="duplicateValues" dxfId="819" priority="3135"/>
    <cfRule type="duplicateValues" dxfId="818" priority="3136"/>
    <cfRule type="duplicateValues" dxfId="817" priority="3137"/>
    <cfRule type="duplicateValues" dxfId="816" priority="3130"/>
  </conditionalFormatting>
  <conditionalFormatting sqref="B36">
    <cfRule type="duplicateValues" dxfId="815" priority="203"/>
  </conditionalFormatting>
  <conditionalFormatting sqref="B39 B14">
    <cfRule type="duplicateValues" dxfId="814" priority="54998"/>
  </conditionalFormatting>
  <conditionalFormatting sqref="B39">
    <cfRule type="duplicateValues" dxfId="813" priority="5509"/>
  </conditionalFormatting>
  <conditionalFormatting sqref="B40">
    <cfRule type="duplicateValues" dxfId="812" priority="3316"/>
    <cfRule type="duplicateValues" dxfId="811" priority="3315"/>
    <cfRule type="duplicateValues" dxfId="810" priority="3313"/>
    <cfRule type="duplicateValues" dxfId="809" priority="3312"/>
    <cfRule type="duplicateValues" dxfId="808" priority="3311"/>
    <cfRule type="duplicateValues" dxfId="807" priority="3310"/>
    <cfRule type="duplicateValues" dxfId="806" priority="3309"/>
    <cfRule type="duplicateValues" dxfId="805" priority="3308"/>
    <cfRule type="duplicateValues" dxfId="804" priority="3307"/>
    <cfRule type="duplicateValues" dxfId="803" priority="3270"/>
    <cfRule type="duplicateValues" dxfId="802" priority="3314"/>
    <cfRule type="duplicateValues" dxfId="801" priority="3317"/>
  </conditionalFormatting>
  <conditionalFormatting sqref="B42">
    <cfRule type="duplicateValues" dxfId="800" priority="2671"/>
    <cfRule type="duplicateValues" dxfId="799" priority="2674"/>
  </conditionalFormatting>
  <conditionalFormatting sqref="B43">
    <cfRule type="duplicateValues" dxfId="798" priority="2664"/>
    <cfRule type="duplicateValues" dxfId="797" priority="2665"/>
    <cfRule type="duplicateValues" dxfId="796" priority="2666"/>
    <cfRule type="duplicateValues" dxfId="795" priority="2667"/>
    <cfRule type="duplicateValues" dxfId="794" priority="2668"/>
    <cfRule type="duplicateValues" dxfId="793" priority="2669"/>
    <cfRule type="duplicateValues" dxfId="792" priority="2670"/>
    <cfRule type="duplicateValues" dxfId="791" priority="2672"/>
    <cfRule type="duplicateValues" dxfId="790" priority="2673"/>
  </conditionalFormatting>
  <conditionalFormatting sqref="B44">
    <cfRule type="duplicateValues" dxfId="789" priority="2640"/>
    <cfRule type="duplicateValues" dxfId="788" priority="2641"/>
    <cfRule type="duplicateValues" dxfId="787" priority="2642"/>
    <cfRule type="duplicateValues" dxfId="786" priority="2651"/>
    <cfRule type="duplicateValues" dxfId="785" priority="2650"/>
    <cfRule type="duplicateValues" dxfId="784" priority="2649"/>
    <cfRule type="duplicateValues" dxfId="783" priority="2648"/>
    <cfRule type="duplicateValues" dxfId="782" priority="2647"/>
    <cfRule type="duplicateValues" dxfId="781" priority="2646"/>
    <cfRule type="duplicateValues" dxfId="780" priority="2645"/>
    <cfRule type="duplicateValues" dxfId="779" priority="2644"/>
    <cfRule type="duplicateValues" dxfId="778" priority="2643"/>
  </conditionalFormatting>
  <conditionalFormatting sqref="B44:B45">
    <cfRule type="duplicateValues" dxfId="777" priority="2639"/>
    <cfRule type="duplicateValues" dxfId="776" priority="2638"/>
  </conditionalFormatting>
  <conditionalFormatting sqref="B45">
    <cfRule type="duplicateValues" dxfId="775" priority="2653"/>
    <cfRule type="duplicateValues" dxfId="774" priority="2652"/>
    <cfRule type="duplicateValues" dxfId="773" priority="2654"/>
    <cfRule type="duplicateValues" dxfId="772" priority="2661"/>
    <cfRule type="duplicateValues" dxfId="771" priority="2662"/>
    <cfRule type="duplicateValues" dxfId="770" priority="2655"/>
    <cfRule type="duplicateValues" dxfId="769" priority="2663"/>
    <cfRule type="duplicateValues" dxfId="768" priority="2659"/>
    <cfRule type="duplicateValues" dxfId="767" priority="2658"/>
    <cfRule type="duplicateValues" dxfId="766" priority="2660"/>
    <cfRule type="duplicateValues" dxfId="765" priority="2657"/>
    <cfRule type="duplicateValues" dxfId="764" priority="2656"/>
  </conditionalFormatting>
  <conditionalFormatting sqref="B95 B103:B104 B106 B9 B36 B29">
    <cfRule type="duplicateValues" dxfId="763" priority="67899"/>
  </conditionalFormatting>
  <conditionalFormatting sqref="B95">
    <cfRule type="duplicateValues" dxfId="762" priority="204"/>
  </conditionalFormatting>
  <conditionalFormatting sqref="B97 B26 B101 B13 B11">
    <cfRule type="duplicateValues" dxfId="761" priority="80908"/>
  </conditionalFormatting>
  <conditionalFormatting sqref="B97">
    <cfRule type="duplicateValues" dxfId="760" priority="5223"/>
  </conditionalFormatting>
  <conditionalFormatting sqref="B98 B19">
    <cfRule type="duplicateValues" dxfId="759" priority="3153"/>
    <cfRule type="duplicateValues" dxfId="758" priority="3152"/>
  </conditionalFormatting>
  <conditionalFormatting sqref="B98">
    <cfRule type="duplicateValues" dxfId="757" priority="3154"/>
    <cfRule type="duplicateValues" dxfId="756" priority="3191"/>
    <cfRule type="duplicateValues" dxfId="755" priority="3192"/>
    <cfRule type="duplicateValues" dxfId="754" priority="3193"/>
    <cfRule type="duplicateValues" dxfId="753" priority="3194"/>
    <cfRule type="duplicateValues" dxfId="752" priority="3195"/>
    <cfRule type="duplicateValues" dxfId="751" priority="3196"/>
    <cfRule type="duplicateValues" dxfId="750" priority="3197"/>
    <cfRule type="duplicateValues" dxfId="749" priority="3198"/>
    <cfRule type="duplicateValues" dxfId="748" priority="3199"/>
    <cfRule type="duplicateValues" dxfId="747" priority="3200"/>
    <cfRule type="duplicateValues" dxfId="746" priority="3201"/>
  </conditionalFormatting>
  <conditionalFormatting sqref="B99 B88 B108 B47:B63">
    <cfRule type="duplicateValues" dxfId="745" priority="81162"/>
    <cfRule type="duplicateValues" dxfId="744" priority="81163"/>
    <cfRule type="duplicateValues" dxfId="743" priority="81164"/>
    <cfRule type="duplicateValues" dxfId="742" priority="81165"/>
    <cfRule type="duplicateValues" dxfId="741" priority="81166"/>
    <cfRule type="duplicateValues" dxfId="740" priority="81167"/>
    <cfRule type="duplicateValues" dxfId="739" priority="81168"/>
    <cfRule type="duplicateValues" dxfId="738" priority="81169"/>
    <cfRule type="duplicateValues" dxfId="737" priority="81170"/>
    <cfRule type="duplicateValues" dxfId="736" priority="81172"/>
    <cfRule type="duplicateValues" dxfId="735" priority="81173"/>
    <cfRule type="duplicateValues" dxfId="734" priority="81174"/>
    <cfRule type="duplicateValues" dxfId="733" priority="81175"/>
    <cfRule type="duplicateValues" dxfId="732" priority="81176"/>
    <cfRule type="duplicateValues" dxfId="731" priority="81177"/>
    <cfRule type="duplicateValues" dxfId="730" priority="81178"/>
    <cfRule type="duplicateValues" dxfId="729" priority="81179"/>
    <cfRule type="duplicateValues" dxfId="728" priority="81171"/>
  </conditionalFormatting>
  <conditionalFormatting sqref="B100 B24:B25">
    <cfRule type="duplicateValues" dxfId="727" priority="46732"/>
    <cfRule type="duplicateValues" dxfId="726" priority="46727"/>
    <cfRule type="duplicateValues" dxfId="725" priority="46731"/>
    <cfRule type="duplicateValues" dxfId="724" priority="46723"/>
    <cfRule type="duplicateValues" dxfId="723" priority="46724"/>
    <cfRule type="duplicateValues" dxfId="722" priority="46725"/>
    <cfRule type="duplicateValues" dxfId="721" priority="46726"/>
    <cfRule type="duplicateValues" dxfId="720" priority="46728"/>
    <cfRule type="duplicateValues" dxfId="719" priority="46729"/>
    <cfRule type="duplicateValues" dxfId="718" priority="46730"/>
    <cfRule type="duplicateValues" dxfId="717" priority="46735"/>
    <cfRule type="duplicateValues" dxfId="716" priority="46736"/>
    <cfRule type="duplicateValues" dxfId="715" priority="46734"/>
    <cfRule type="duplicateValues" dxfId="714" priority="46733"/>
  </conditionalFormatting>
  <conditionalFormatting sqref="B101">
    <cfRule type="duplicateValues" dxfId="713" priority="4938"/>
  </conditionalFormatting>
  <conditionalFormatting sqref="B102">
    <cfRule type="duplicateValues" dxfId="712" priority="6080"/>
  </conditionalFormatting>
  <conditionalFormatting sqref="B103">
    <cfRule type="duplicateValues" dxfId="711" priority="202"/>
  </conditionalFormatting>
  <conditionalFormatting sqref="B104">
    <cfRule type="duplicateValues" dxfId="710" priority="4709"/>
  </conditionalFormatting>
  <conditionalFormatting sqref="B105">
    <cfRule type="duplicateValues" dxfId="709" priority="3118"/>
    <cfRule type="duplicateValues" dxfId="708" priority="3119"/>
    <cfRule type="duplicateValues" dxfId="707" priority="3120"/>
    <cfRule type="duplicateValues" dxfId="706" priority="3121"/>
    <cfRule type="duplicateValues" dxfId="705" priority="3124"/>
    <cfRule type="duplicateValues" dxfId="704" priority="3115"/>
    <cfRule type="duplicateValues" dxfId="703" priority="3123"/>
    <cfRule type="duplicateValues" dxfId="702" priority="3122"/>
    <cfRule type="duplicateValues" dxfId="701" priority="3125"/>
    <cfRule type="duplicateValues" dxfId="700" priority="3114"/>
    <cfRule type="duplicateValues" dxfId="699" priority="3116"/>
    <cfRule type="duplicateValues" dxfId="698" priority="3117"/>
  </conditionalFormatting>
  <conditionalFormatting sqref="B106">
    <cfRule type="duplicateValues" dxfId="697" priority="4481"/>
  </conditionalFormatting>
  <conditionalFormatting sqref="B107 B40">
    <cfRule type="duplicateValues" dxfId="696" priority="68090"/>
    <cfRule type="duplicateValues" dxfId="695" priority="68091"/>
  </conditionalFormatting>
  <conditionalFormatting sqref="B107">
    <cfRule type="duplicateValues" dxfId="694" priority="3364"/>
    <cfRule type="duplicateValues" dxfId="693" priority="3365"/>
    <cfRule type="duplicateValues" dxfId="692" priority="3366"/>
    <cfRule type="duplicateValues" dxfId="691" priority="3367"/>
    <cfRule type="duplicateValues" dxfId="690" priority="3371"/>
    <cfRule type="duplicateValues" dxfId="689" priority="3368"/>
    <cfRule type="duplicateValues" dxfId="688" priority="3369"/>
    <cfRule type="duplicateValues" dxfId="687" priority="3370"/>
    <cfRule type="duplicateValues" dxfId="686" priority="3372"/>
    <cfRule type="duplicateValues" dxfId="685" priority="3373"/>
    <cfRule type="duplicateValues" dxfId="684" priority="3374"/>
    <cfRule type="duplicateValues" dxfId="683" priority="3327"/>
  </conditionalFormatting>
  <conditionalFormatting sqref="B110:B111 B41 B117 B46 B28 B30 B119:B1048576 B38 B1:B6 B96 B8 B64:B87 B89:B94">
    <cfRule type="duplicateValues" dxfId="682" priority="73689"/>
  </conditionalFormatting>
  <conditionalFormatting sqref="B110:B111 B41 B117 B46 B28 B30 B119:B1048576 B38 B1:B8 B96 B102 B64:B87 B89:B94">
    <cfRule type="duplicateValues" dxfId="681" priority="73705"/>
  </conditionalFormatting>
  <conditionalFormatting sqref="B110:B117 B119:B1048576 B1:B9 B11:B46 B100:B107 B64:B87 B89:B98">
    <cfRule type="duplicateValues" dxfId="680" priority="77595"/>
  </conditionalFormatting>
  <conditionalFormatting sqref="B112">
    <cfRule type="containsText" dxfId="679" priority="2797" operator="containsText" text="ID">
      <formula>NOT(ISERROR(SEARCH("ID",B112)))</formula>
    </cfRule>
    <cfRule type="containsText" dxfId="678" priority="2799" operator="containsText" text="ID">
      <formula>NOT(ISERROR(SEARCH("ID",B112)))</formula>
    </cfRule>
    <cfRule type="containsText" dxfId="677" priority="2800" operator="containsText" text="S">
      <formula>NOT(ISERROR(SEARCH("S",B112)))</formula>
    </cfRule>
    <cfRule type="containsText" dxfId="676" priority="2801" operator="containsText" text="S">
      <formula>NOT(ISERROR(SEARCH("S",B112)))</formula>
    </cfRule>
    <cfRule type="containsBlanks" dxfId="675" priority="2804">
      <formula>LEN(TRIM(B112))=0</formula>
    </cfRule>
    <cfRule type="containsText" dxfId="674" priority="2803" operator="containsText" text="A">
      <formula>NOT(ISERROR(SEARCH("A",B112)))</formula>
    </cfRule>
    <cfRule type="containsText" dxfId="673" priority="2802" operator="containsText" text="PH">
      <formula>NOT(ISERROR(SEARCH("PH",B112)))</formula>
    </cfRule>
  </conditionalFormatting>
  <conditionalFormatting sqref="B112:B113">
    <cfRule type="containsText" dxfId="672" priority="2789" operator="containsText" text="ML">
      <formula>NOT(ISERROR(SEARCH("ML",B112)))</formula>
    </cfRule>
    <cfRule type="containsText" dxfId="671" priority="2793" operator="containsText" text="ID">
      <formula>NOT(ISERROR(SEARCH("ID",B112)))</formula>
    </cfRule>
  </conditionalFormatting>
  <conditionalFormatting sqref="B113">
    <cfRule type="containsBlanks" dxfId="670" priority="2790">
      <formula>LEN(TRIM(B113))=0</formula>
    </cfRule>
    <cfRule type="containsText" dxfId="669" priority="2788" operator="containsText" text="ABS">
      <formula>NOT(ISERROR(SEARCH("ABS",B113)))</formula>
    </cfRule>
    <cfRule type="containsText" dxfId="668" priority="2792" operator="containsText" text="S">
      <formula>NOT(ISERROR(SEARCH("S",B113)))</formula>
    </cfRule>
    <cfRule type="containsText" dxfId="667" priority="2795" operator="containsText" text="A">
      <formula>NOT(ISERROR(SEARCH("A",B113)))</formula>
    </cfRule>
    <cfRule type="containsText" dxfId="666" priority="2791" operator="containsText" text="OT">
      <formula>NOT(ISERROR(SEARCH("OT",B113)))</formula>
    </cfRule>
    <cfRule type="containsText" dxfId="665" priority="2794" operator="containsText" text="PH">
      <formula>NOT(ISERROR(SEARCH("PH",B113)))</formula>
    </cfRule>
  </conditionalFormatting>
  <conditionalFormatting sqref="B114:B116">
    <cfRule type="duplicateValues" dxfId="664" priority="3067"/>
    <cfRule type="duplicateValues" dxfId="663" priority="3068"/>
    <cfRule type="duplicateValues" dxfId="662" priority="3069"/>
    <cfRule type="duplicateValues" dxfId="661" priority="3070"/>
    <cfRule type="duplicateValues" dxfId="660" priority="3072"/>
    <cfRule type="duplicateValues" dxfId="659" priority="3073"/>
    <cfRule type="duplicateValues" dxfId="658" priority="3074"/>
    <cfRule type="duplicateValues" dxfId="657" priority="3075"/>
    <cfRule type="duplicateValues" dxfId="656" priority="3076"/>
    <cfRule type="duplicateValues" dxfId="655" priority="3071"/>
    <cfRule type="duplicateValues" dxfId="654" priority="3065"/>
    <cfRule type="duplicateValues" dxfId="653" priority="3066"/>
    <cfRule type="duplicateValues" dxfId="652" priority="3062"/>
    <cfRule type="duplicateValues" dxfId="651" priority="3063"/>
    <cfRule type="duplicateValues" dxfId="650" priority="3064"/>
  </conditionalFormatting>
  <conditionalFormatting sqref="B114:B117 B110:B111 B119:B1048576 B1:B9 B11:B46 B100:B107 B64:B87 B89:B98">
    <cfRule type="duplicateValues" dxfId="649" priority="77603"/>
  </conditionalFormatting>
  <conditionalFormatting sqref="B116">
    <cfRule type="duplicateValues" dxfId="648" priority="3041"/>
    <cfRule type="duplicateValues" dxfId="647" priority="3042"/>
    <cfRule type="duplicateValues" dxfId="646" priority="3046"/>
    <cfRule type="duplicateValues" dxfId="645" priority="3043"/>
    <cfRule type="duplicateValues" dxfId="644" priority="3044"/>
    <cfRule type="duplicateValues" dxfId="643" priority="3045"/>
    <cfRule type="duplicateValues" dxfId="642" priority="3047"/>
  </conditionalFormatting>
  <conditionalFormatting sqref="B117 B13:B14 B41:B42 B46 B110:B111 B119:B1048576 B11 B36 B28:B30 B106 B38:B39 B1:B9 B26 B101:B104 B64:B87 B89:B97">
    <cfRule type="duplicateValues" dxfId="641" priority="81543"/>
    <cfRule type="duplicateValues" dxfId="640" priority="81541"/>
    <cfRule type="duplicateValues" dxfId="639" priority="81542"/>
  </conditionalFormatting>
  <conditionalFormatting sqref="B117 B13:B14 B41:B42 B46 B110:B111 B119:B1048576 B11 B36 B106 B38:B39 B1:B9 B26:B30 B101:B104 B64:B87 B89:B97">
    <cfRule type="duplicateValues" dxfId="638" priority="73874"/>
    <cfRule type="duplicateValues" dxfId="637" priority="73873"/>
  </conditionalFormatting>
  <conditionalFormatting sqref="B117 B13:B15 B41:B43 B110:B111 B46 B119:B1048576 B11 B36 B106 B38:B39 B1:B9 B26:B30 B101:B104 B64:B87 B89:B97">
    <cfRule type="duplicateValues" dxfId="636" priority="73903"/>
  </conditionalFormatting>
  <conditionalFormatting sqref="B117 B13:B16 B41:B43 B110:B111 B46 B119:B1048576 B11 B36 B106 B38:B39 B1:B9 B26:B30 B101:B104 B64:B87 B89:B97">
    <cfRule type="duplicateValues" dxfId="635" priority="73918"/>
  </conditionalFormatting>
  <conditionalFormatting sqref="B117 B13:B17 B41:B43 B110:B111 B46 B119:B1048576 B11 B36 B106 B38:B39 B1:B9 B26:B30 B101:B104 B64:B87 B89:B97">
    <cfRule type="duplicateValues" dxfId="634" priority="73933"/>
  </conditionalFormatting>
  <conditionalFormatting sqref="B117 B41:B43 B110:B111 B46 B119:B1048576 B11:B18 B20:B23 B1:B9 B26:B39 B101:B106 B64:B87 B89:B97">
    <cfRule type="duplicateValues" dxfId="633" priority="81097"/>
    <cfRule type="duplicateValues" dxfId="632" priority="81098"/>
  </conditionalFormatting>
  <conditionalFormatting sqref="B117 B110:B111 B119:B1048576 B11:B23 B1:B9 B26:B46 B101:B107 B64:B87 B89:B98">
    <cfRule type="duplicateValues" dxfId="631" priority="77761"/>
    <cfRule type="duplicateValues" dxfId="630" priority="77762"/>
  </conditionalFormatting>
  <conditionalFormatting sqref="B117 B119:B1048576">
    <cfRule type="duplicateValues" dxfId="629" priority="48195"/>
    <cfRule type="duplicateValues" dxfId="628" priority="48194"/>
  </conditionalFormatting>
  <conditionalFormatting sqref="B118">
    <cfRule type="containsText" dxfId="627" priority="2039" operator="containsText" text="A">
      <formula>NOT(ISERROR(SEARCH("A",B118)))</formula>
    </cfRule>
    <cfRule type="containsBlanks" dxfId="626" priority="2040">
      <formula>LEN(TRIM(B118))=0</formula>
    </cfRule>
    <cfRule type="containsText" dxfId="625" priority="2041" operator="containsText" text="PH">
      <formula>NOT(ISERROR(SEARCH("PH",B118)))</formula>
    </cfRule>
    <cfRule type="containsText" dxfId="624" priority="2042" operator="containsText" text="A">
      <formula>NOT(ISERROR(SEARCH("A",B118)))</formula>
    </cfRule>
    <cfRule type="containsBlanks" dxfId="623" priority="2043">
      <formula>LEN(TRIM(B118))=0</formula>
    </cfRule>
    <cfRule type="containsText" dxfId="622" priority="2044" operator="containsText" text="S">
      <formula>NOT(ISERROR(SEARCH("S",B118)))</formula>
    </cfRule>
    <cfRule type="containsText" dxfId="621" priority="2045" operator="containsText" text="S">
      <formula>NOT(ISERROR(SEARCH("S",B118)))</formula>
    </cfRule>
    <cfRule type="containsText" dxfId="620" priority="2046" operator="containsText" text="PH">
      <formula>NOT(ISERROR(SEARCH("PH",B118)))</formula>
    </cfRule>
    <cfRule type="containsText" dxfId="619" priority="2047" operator="containsText" text="A">
      <formula>NOT(ISERROR(SEARCH("A",B118)))</formula>
    </cfRule>
    <cfRule type="containsBlanks" dxfId="618" priority="2048">
      <formula>LEN(TRIM(B118))=0</formula>
    </cfRule>
    <cfRule type="containsText" dxfId="617" priority="2049" operator="containsText" text="ML">
      <formula>NOT(ISERROR(SEARCH("ML",B118)))</formula>
    </cfRule>
    <cfRule type="containsText" dxfId="616" priority="2050" operator="containsText" text="ID">
      <formula>NOT(ISERROR(SEARCH("ID",B118)))</formula>
    </cfRule>
    <cfRule type="containsText" dxfId="615" priority="2051" operator="containsText" text="ID">
      <formula>NOT(ISERROR(SEARCH("ID",B118)))</formula>
    </cfRule>
    <cfRule type="containsText" dxfId="614" priority="2052" operator="containsText" text="ID">
      <formula>NOT(ISERROR(SEARCH("ID",B118)))</formula>
    </cfRule>
    <cfRule type="containsText" dxfId="613" priority="2053" operator="containsText" text="S">
      <formula>NOT(ISERROR(SEARCH("S",B118)))</formula>
    </cfRule>
    <cfRule type="containsText" dxfId="612" priority="2054" operator="containsText" text="S">
      <formula>NOT(ISERROR(SEARCH("S",B118)))</formula>
    </cfRule>
    <cfRule type="containsText" dxfId="611" priority="2055" operator="containsText" text="PH">
      <formula>NOT(ISERROR(SEARCH("PH",B118)))</formula>
    </cfRule>
    <cfRule type="containsText" dxfId="610" priority="2056" operator="containsText" text="A">
      <formula>NOT(ISERROR(SEARCH("A",B118)))</formula>
    </cfRule>
    <cfRule type="containsBlanks" dxfId="609" priority="2057">
      <formula>LEN(TRIM(B118))=0</formula>
    </cfRule>
    <cfRule type="containsText" dxfId="608" priority="2058" operator="containsText" text="S">
      <formula>NOT(ISERROR(SEARCH("S",B118)))</formula>
    </cfRule>
    <cfRule type="containsText" dxfId="607" priority="2059" operator="containsText" text="ML">
      <formula>NOT(ISERROR(SEARCH("ML",B118)))</formula>
    </cfRule>
    <cfRule type="containsText" dxfId="606" priority="2060" operator="containsText" text="ID">
      <formula>NOT(ISERROR(SEARCH("ID",B118)))</formula>
    </cfRule>
    <cfRule type="containsText" dxfId="605" priority="2061" operator="containsText" text="PH">
      <formula>NOT(ISERROR(SEARCH("PH",B118)))</formula>
    </cfRule>
    <cfRule type="containsText" dxfId="604" priority="2062" operator="containsText" text="S">
      <formula>NOT(ISERROR(SEARCH("S",B118)))</formula>
    </cfRule>
    <cfRule type="containsText" dxfId="603" priority="2063" operator="containsText" text="ML">
      <formula>NOT(ISERROR(SEARCH("ML",B118)))</formula>
    </cfRule>
    <cfRule type="containsText" dxfId="602" priority="2064" operator="containsText" text="ID">
      <formula>NOT(ISERROR(SEARCH("ID",B118)))</formula>
    </cfRule>
    <cfRule type="containsText" dxfId="601" priority="2065" operator="containsText" text="ID">
      <formula>NOT(ISERROR(SEARCH("ID",B118)))</formula>
    </cfRule>
    <cfRule type="containsText" dxfId="600" priority="2066" operator="containsText" text="S">
      <formula>NOT(ISERROR(SEARCH("S",B118)))</formula>
    </cfRule>
    <cfRule type="containsText" dxfId="599" priority="2067" operator="containsText" text="S">
      <formula>NOT(ISERROR(SEARCH("S",B118)))</formula>
    </cfRule>
    <cfRule type="containsText" dxfId="598" priority="2068" operator="containsText" text="PH">
      <formula>NOT(ISERROR(SEARCH("PH",B118)))</formula>
    </cfRule>
    <cfRule type="containsText" dxfId="597" priority="2069" operator="containsText" text="A">
      <formula>NOT(ISERROR(SEARCH("A",B118)))</formula>
    </cfRule>
    <cfRule type="containsBlanks" dxfId="596" priority="2070">
      <formula>LEN(TRIM(B118))=0</formula>
    </cfRule>
    <cfRule type="containsText" dxfId="595" priority="2071" operator="containsText" text="ID">
      <formula>NOT(ISERROR(SEARCH("ID",B118)))</formula>
    </cfRule>
    <cfRule type="containsText" dxfId="594" priority="2072" operator="containsText" text="PH">
      <formula>NOT(ISERROR(SEARCH("PH",B118)))</formula>
    </cfRule>
    <cfRule type="containsText" dxfId="593" priority="2073" operator="containsText" text="A">
      <formula>NOT(ISERROR(SEARCH("A",B118)))</formula>
    </cfRule>
    <cfRule type="containsBlanks" dxfId="592" priority="2074">
      <formula>LEN(TRIM(B118))=0</formula>
    </cfRule>
    <cfRule type="containsText" dxfId="591" priority="2075" operator="containsText" text="A">
      <formula>NOT(ISERROR(SEARCH("A",B118)))</formula>
    </cfRule>
    <cfRule type="containsBlanks" dxfId="590" priority="2076">
      <formula>LEN(TRIM(B118))=0</formula>
    </cfRule>
    <cfRule type="containsText" dxfId="589" priority="2077" operator="containsText" text="ID">
      <formula>NOT(ISERROR(SEARCH("ID",B118)))</formula>
    </cfRule>
    <cfRule type="containsText" dxfId="588" priority="2078" operator="containsText" text="ID">
      <formula>NOT(ISERROR(SEARCH("ID",B118)))</formula>
    </cfRule>
    <cfRule type="containsText" dxfId="587" priority="2079" operator="containsText" text="ID">
      <formula>NOT(ISERROR(SEARCH("ID",B118)))</formula>
    </cfRule>
    <cfRule type="containsText" dxfId="586" priority="1990" operator="containsText" text="v">
      <formula>NOT(ISERROR(SEARCH("v",B118)))</formula>
    </cfRule>
    <cfRule type="containsText" dxfId="585" priority="1991" operator="containsText" text="S">
      <formula>NOT(ISERROR(SEARCH("S",B118)))</formula>
    </cfRule>
    <cfRule type="containsText" dxfId="584" priority="1992" operator="containsText" text="ID">
      <formula>NOT(ISERROR(SEARCH("ID",B118)))</formula>
    </cfRule>
    <cfRule type="containsText" dxfId="583" priority="1993" operator="containsText" text="ML">
      <formula>NOT(ISERROR(SEARCH("ML",B118)))</formula>
    </cfRule>
    <cfRule type="containsText" dxfId="582" priority="1994" operator="containsText" text="ID">
      <formula>NOT(ISERROR(SEARCH("ID",B118)))</formula>
    </cfRule>
    <cfRule type="containsText" dxfId="581" priority="1996" operator="containsText" text="ID">
      <formula>NOT(ISERROR(SEARCH("ID",B118)))</formula>
    </cfRule>
    <cfRule type="containsText" dxfId="580" priority="1997" operator="containsText" text="S">
      <formula>NOT(ISERROR(SEARCH("S",B118)))</formula>
    </cfRule>
    <cfRule type="containsText" dxfId="579" priority="1998" operator="containsText" text="S">
      <formula>NOT(ISERROR(SEARCH("S",B118)))</formula>
    </cfRule>
    <cfRule type="containsText" dxfId="578" priority="1999" operator="containsText" text="PH">
      <formula>NOT(ISERROR(SEARCH("PH",B118)))</formula>
    </cfRule>
    <cfRule type="containsText" dxfId="577" priority="2000" operator="containsText" text="A">
      <formula>NOT(ISERROR(SEARCH("A",B118)))</formula>
    </cfRule>
    <cfRule type="containsBlanks" dxfId="576" priority="2001">
      <formula>LEN(TRIM(B118))=0</formula>
    </cfRule>
    <cfRule type="containsText" dxfId="575" priority="2002" operator="containsText" text="S">
      <formula>NOT(ISERROR(SEARCH("S",B118)))</formula>
    </cfRule>
    <cfRule type="containsText" dxfId="574" priority="2003" operator="containsText" text="ID">
      <formula>NOT(ISERROR(SEARCH("ID",B118)))</formula>
    </cfRule>
    <cfRule type="containsText" dxfId="573" priority="2004" operator="containsText" text="ID">
      <formula>NOT(ISERROR(SEARCH("ID",B118)))</formula>
    </cfRule>
    <cfRule type="containsText" dxfId="572" priority="2005" operator="containsText" text="ID">
      <formula>NOT(ISERROR(SEARCH("ID",B118)))</formula>
    </cfRule>
    <cfRule type="containsText" dxfId="571" priority="2006" operator="containsText" text="S">
      <formula>NOT(ISERROR(SEARCH("S",B118)))</formula>
    </cfRule>
    <cfRule type="containsText" dxfId="570" priority="2007" operator="containsText" text="S">
      <formula>NOT(ISERROR(SEARCH("S",B118)))</formula>
    </cfRule>
    <cfRule type="containsText" dxfId="569" priority="2008" operator="containsText" text="PH">
      <formula>NOT(ISERROR(SEARCH("PH",B118)))</formula>
    </cfRule>
    <cfRule type="containsText" dxfId="568" priority="2009" operator="containsText" text="A">
      <formula>NOT(ISERROR(SEARCH("A",B118)))</formula>
    </cfRule>
    <cfRule type="containsBlanks" dxfId="567" priority="2010">
      <formula>LEN(TRIM(B118))=0</formula>
    </cfRule>
    <cfRule type="containsText" dxfId="566" priority="2011" operator="containsText" text="PH">
      <formula>NOT(ISERROR(SEARCH("PH",B118)))</formula>
    </cfRule>
    <cfRule type="containsText" dxfId="565" priority="2012" operator="containsText" text="A">
      <formula>NOT(ISERROR(SEARCH("A",B118)))</formula>
    </cfRule>
    <cfRule type="containsBlanks" dxfId="564" priority="2013">
      <formula>LEN(TRIM(B118))=0</formula>
    </cfRule>
    <cfRule type="containsText" dxfId="563" priority="2014" operator="containsText" text="ID">
      <formula>NOT(ISERROR(SEARCH("ID",B118)))</formula>
    </cfRule>
    <cfRule type="containsText" dxfId="562" priority="2015" operator="containsText" text="ML">
      <formula>NOT(ISERROR(SEARCH("ML",B118)))</formula>
    </cfRule>
    <cfRule type="containsText" dxfId="561" priority="2016" operator="containsText" text="S">
      <formula>NOT(ISERROR(SEARCH("S",B118)))</formula>
    </cfRule>
    <cfRule type="containsText" dxfId="560" priority="2017" operator="containsText" text="CL">
      <formula>NOT(ISERROR(SEARCH("CL",B118)))</formula>
    </cfRule>
    <cfRule type="containsText" dxfId="559" priority="2018" operator="containsText" text="EL">
      <formula>NOT(ISERROR(SEARCH("EL",B118)))</formula>
    </cfRule>
    <cfRule type="containsText" dxfId="558" priority="2019" operator="containsText" text="ID">
      <formula>NOT(ISERROR(SEARCH("ID",B118)))</formula>
    </cfRule>
    <cfRule type="containsText" dxfId="557" priority="2020" operator="containsText" text="ID">
      <formula>NOT(ISERROR(SEARCH("ID",B118)))</formula>
    </cfRule>
    <cfRule type="containsText" dxfId="556" priority="2021" operator="containsText" text="S">
      <formula>NOT(ISERROR(SEARCH("S",B118)))</formula>
    </cfRule>
    <cfRule type="containsText" dxfId="555" priority="2022" operator="containsText" text="S">
      <formula>NOT(ISERROR(SEARCH("S",B118)))</formula>
    </cfRule>
    <cfRule type="containsText" dxfId="554" priority="2023" operator="containsText" text="PH">
      <formula>NOT(ISERROR(SEARCH("PH",B118)))</formula>
    </cfRule>
    <cfRule type="containsText" dxfId="553" priority="2024" operator="containsText" text="A">
      <formula>NOT(ISERROR(SEARCH("A",B118)))</formula>
    </cfRule>
    <cfRule type="containsBlanks" dxfId="552" priority="2025">
      <formula>LEN(TRIM(B118))=0</formula>
    </cfRule>
    <cfRule type="containsText" dxfId="551" priority="2026" operator="containsText" text="ID">
      <formula>NOT(ISERROR(SEARCH("ID",B118)))</formula>
    </cfRule>
    <cfRule type="containsText" dxfId="550" priority="2027" operator="containsText" text="S">
      <formula>NOT(ISERROR(SEARCH("S",B118)))</formula>
    </cfRule>
    <cfRule type="containsText" dxfId="549" priority="2028" operator="containsText" text="ML">
      <formula>NOT(ISERROR(SEARCH("ML",B118)))</formula>
    </cfRule>
    <cfRule type="containsText" dxfId="548" priority="2029" operator="containsText" text="ID">
      <formula>NOT(ISERROR(SEARCH("ID",B118)))</formula>
    </cfRule>
    <cfRule type="containsText" dxfId="547" priority="2030" operator="containsText" text="S">
      <formula>NOT(ISERROR(SEARCH("S",B118)))</formula>
    </cfRule>
    <cfRule type="containsText" dxfId="546" priority="2031" operator="containsText" text="S">
      <formula>NOT(ISERROR(SEARCH("S",B118)))</formula>
    </cfRule>
    <cfRule type="containsText" dxfId="545" priority="2032" operator="containsText" text="PH">
      <formula>NOT(ISERROR(SEARCH("PH",B118)))</formula>
    </cfRule>
    <cfRule type="containsText" dxfId="544" priority="2033" operator="containsText" text="A">
      <formula>NOT(ISERROR(SEARCH("A",B118)))</formula>
    </cfRule>
    <cfRule type="containsBlanks" dxfId="543" priority="2034">
      <formula>LEN(TRIM(B118))=0</formula>
    </cfRule>
    <cfRule type="containsText" dxfId="542" priority="2035" operator="containsText" text="ID">
      <formula>NOT(ISERROR(SEARCH("ID",B118)))</formula>
    </cfRule>
    <cfRule type="containsText" dxfId="541" priority="2036" operator="containsText" text="S">
      <formula>NOT(ISERROR(SEARCH("S",B118)))</formula>
    </cfRule>
    <cfRule type="containsText" dxfId="540" priority="2037" operator="containsText" text="S">
      <formula>NOT(ISERROR(SEARCH("S",B118)))</formula>
    </cfRule>
    <cfRule type="containsText" dxfId="539" priority="2038" operator="containsText" text="PH">
      <formula>NOT(ISERROR(SEARCH("PH",B118)))</formula>
    </cfRule>
  </conditionalFormatting>
  <conditionalFormatting sqref="C10">
    <cfRule type="duplicateValues" dxfId="538" priority="449"/>
  </conditionalFormatting>
  <conditionalFormatting sqref="C99 C88 C108 C47:C63">
    <cfRule type="duplicateValues" dxfId="537" priority="81447"/>
  </conditionalFormatting>
  <conditionalFormatting sqref="C100 C24:C25">
    <cfRule type="duplicateValues" dxfId="536" priority="46827"/>
  </conditionalFormatting>
  <conditionalFormatting sqref="F4:AI93 F94:AC94 AF94:AI94 F95:AI108">
    <cfRule type="containsBlanks" dxfId="535" priority="235">
      <formula>LEN(TRIM(F4))=0</formula>
    </cfRule>
    <cfRule type="containsText" dxfId="534" priority="234" operator="containsText" text="A">
      <formula>NOT(ISERROR(SEARCH("A",F4)))</formula>
    </cfRule>
    <cfRule type="containsText" dxfId="533" priority="233" operator="containsText" text="PH">
      <formula>NOT(ISERROR(SEARCH("PH",F4)))</formula>
    </cfRule>
    <cfRule type="containsText" dxfId="532" priority="232" operator="containsText" text="S">
      <formula>NOT(ISERROR(SEARCH("S",F4)))</formula>
    </cfRule>
    <cfRule type="containsText" dxfId="531" priority="231" operator="containsText" text="EL">
      <formula>NOT(ISERROR(SEARCH("EL",F4)))</formula>
    </cfRule>
    <cfRule type="containsText" dxfId="530" priority="230" operator="containsText" text="CL">
      <formula>NOT(ISERROR(SEARCH("CL",F4)))</formula>
    </cfRule>
    <cfRule type="containsText" dxfId="529" priority="229" operator="containsText" text="S">
      <formula>NOT(ISERROR(SEARCH("S",F4)))</formula>
    </cfRule>
    <cfRule type="containsText" dxfId="528" priority="228" operator="containsText" text="ML">
      <formula>NOT(ISERROR(SEARCH("ML",F4)))</formula>
    </cfRule>
    <cfRule type="containsText" dxfId="527" priority="227" operator="containsText" text="ID">
      <formula>NOT(ISERROR(SEARCH("ID",F4)))</formula>
    </cfRule>
    <cfRule type="containsText" dxfId="526" priority="273" operator="containsText" text="S">
      <formula>NOT(ISERROR(SEARCH("S",F4)))</formula>
    </cfRule>
    <cfRule type="containsBlanks" dxfId="525" priority="226">
      <formula>LEN(TRIM(F4))=0</formula>
    </cfRule>
    <cfRule type="containsText" dxfId="524" priority="225" operator="containsText" text="A">
      <formula>NOT(ISERROR(SEARCH("A",F4)))</formula>
    </cfRule>
    <cfRule type="containsText" dxfId="523" priority="224" operator="containsText" text="PH">
      <formula>NOT(ISERROR(SEARCH("PH",F4)))</formula>
    </cfRule>
    <cfRule type="containsBlanks" dxfId="522" priority="223">
      <formula>LEN(TRIM(F4))=0</formula>
    </cfRule>
    <cfRule type="containsText" dxfId="521" priority="222" operator="containsText" text="A">
      <formula>NOT(ISERROR(SEARCH("A",F4)))</formula>
    </cfRule>
    <cfRule type="containsText" dxfId="520" priority="221" operator="containsText" text="PH">
      <formula>NOT(ISERROR(SEARCH("PH",F4)))</formula>
    </cfRule>
    <cfRule type="containsText" dxfId="519" priority="220" operator="containsText" text="S">
      <formula>NOT(ISERROR(SEARCH("S",F4)))</formula>
    </cfRule>
    <cfRule type="containsText" dxfId="518" priority="219" operator="containsText" text="S">
      <formula>NOT(ISERROR(SEARCH("S",F4)))</formula>
    </cfRule>
    <cfRule type="containsText" dxfId="517" priority="218" operator="containsText" text="ID">
      <formula>NOT(ISERROR(SEARCH("ID",F4)))</formula>
    </cfRule>
    <cfRule type="containsText" dxfId="516" priority="217" operator="containsText" text="ID">
      <formula>NOT(ISERROR(SEARCH("ID",F4)))</formula>
    </cfRule>
    <cfRule type="containsText" dxfId="515" priority="216" operator="containsText" text="ID">
      <formula>NOT(ISERROR(SEARCH("ID",F4)))</formula>
    </cfRule>
    <cfRule type="containsText" dxfId="514" priority="215" operator="containsText" text="S">
      <formula>NOT(ISERROR(SEARCH("S",F4)))</formula>
    </cfRule>
    <cfRule type="containsBlanks" dxfId="513" priority="214">
      <formula>LEN(TRIM(F4))=0</formula>
    </cfRule>
    <cfRule type="containsText" dxfId="512" priority="213" operator="containsText" text="A">
      <formula>NOT(ISERROR(SEARCH("A",F4)))</formula>
    </cfRule>
    <cfRule type="containsText" dxfId="511" priority="212" operator="containsText" text="PH">
      <formula>NOT(ISERROR(SEARCH("PH",F4)))</formula>
    </cfRule>
    <cfRule type="containsText" dxfId="510" priority="211" operator="containsText" text="S">
      <formula>NOT(ISERROR(SEARCH("S",F4)))</formula>
    </cfRule>
    <cfRule type="containsText" dxfId="509" priority="210" operator="containsText" text="ID">
      <formula>NOT(ISERROR(SEARCH("ID",F4)))</formula>
    </cfRule>
    <cfRule type="containsText" dxfId="508" priority="209" operator="containsText" text="ID">
      <formula>NOT(ISERROR(SEARCH("ID",F4)))</formula>
    </cfRule>
    <cfRule type="containsText" dxfId="507" priority="208" operator="containsText" text="S">
      <formula>NOT(ISERROR(SEARCH("S",F4)))</formula>
    </cfRule>
    <cfRule type="containsText" dxfId="506" priority="207" operator="containsText" text="ID">
      <formula>NOT(ISERROR(SEARCH("ID",F4)))</formula>
    </cfRule>
    <cfRule type="containsText" dxfId="505" priority="269" operator="containsText" text="S">
      <formula>NOT(ISERROR(SEARCH("S",F4)))</formula>
    </cfRule>
    <cfRule type="containsBlanks" dxfId="504" priority="277">
      <formula>LEN(TRIM(F4))=0</formula>
    </cfRule>
    <cfRule type="containsText" dxfId="503" priority="238" operator="containsText" text="S">
      <formula>NOT(ISERROR(SEARCH("S",F4)))</formula>
    </cfRule>
    <cfRule type="containsText" dxfId="502" priority="279" operator="containsText" text="A">
      <formula>NOT(ISERROR(SEARCH("A",F4)))</formula>
    </cfRule>
    <cfRule type="containsText" dxfId="501" priority="236" operator="containsText" text="ML">
      <formula>NOT(ISERROR(SEARCH("ML",F4)))</formula>
    </cfRule>
    <cfRule type="containsBlanks" dxfId="500" priority="280">
      <formula>LEN(TRIM(F4))=0</formula>
    </cfRule>
    <cfRule type="containsText" dxfId="499" priority="281" operator="containsText" text="ID">
      <formula>NOT(ISERROR(SEARCH("ID",F4)))</formula>
    </cfRule>
    <cfRule type="containsText" dxfId="498" priority="282" operator="containsText" text="S">
      <formula>NOT(ISERROR(SEARCH("S",F4)))</formula>
    </cfRule>
    <cfRule type="containsText" dxfId="497" priority="283" operator="containsText" text="ID">
      <formula>NOT(ISERROR(SEARCH("ID",F4)))</formula>
    </cfRule>
    <cfRule type="containsText" dxfId="496" priority="237" operator="containsText" text="ID">
      <formula>NOT(ISERROR(SEARCH("ID",F4)))</formula>
    </cfRule>
    <cfRule type="containsText" dxfId="495" priority="270" operator="containsText" text="ML">
      <formula>NOT(ISERROR(SEARCH("ML",F4)))</formula>
    </cfRule>
    <cfRule type="containsText" dxfId="494" priority="278" operator="containsText" text="PH">
      <formula>NOT(ISERROR(SEARCH("PH",F4)))</formula>
    </cfRule>
    <cfRule type="containsText" dxfId="493" priority="276" operator="containsText" text="A">
      <formula>NOT(ISERROR(SEARCH("A",F4)))</formula>
    </cfRule>
    <cfRule type="containsText" dxfId="492" priority="275" operator="containsText" text="PH">
      <formula>NOT(ISERROR(SEARCH("PH",F4)))</formula>
    </cfRule>
    <cfRule type="containsText" dxfId="491" priority="274" operator="containsText" text="S">
      <formula>NOT(ISERROR(SEARCH("S",F4)))</formula>
    </cfRule>
    <cfRule type="containsText" dxfId="490" priority="272" operator="containsText" text="ID">
      <formula>NOT(ISERROR(SEARCH("ID",F4)))</formula>
    </cfRule>
    <cfRule type="containsText" dxfId="489" priority="271" operator="containsText" text="ID">
      <formula>NOT(ISERROR(SEARCH("ID",F4)))</formula>
    </cfRule>
    <cfRule type="containsText" dxfId="488" priority="268" operator="containsText" text="ID">
      <formula>NOT(ISERROR(SEARCH("ID",F4)))</formula>
    </cfRule>
    <cfRule type="containsText" dxfId="487" priority="267" operator="containsText" text="ML">
      <formula>NOT(ISERROR(SEARCH("ML",F4)))</formula>
    </cfRule>
    <cfRule type="containsBlanks" dxfId="486" priority="266">
      <formula>LEN(TRIM(F4))=0</formula>
    </cfRule>
    <cfRule type="containsText" dxfId="485" priority="265" operator="containsText" text="A">
      <formula>NOT(ISERROR(SEARCH("A",F4)))</formula>
    </cfRule>
    <cfRule type="containsText" dxfId="484" priority="264" operator="containsText" text="PH">
      <formula>NOT(ISERROR(SEARCH("PH",F4)))</formula>
    </cfRule>
    <cfRule type="containsText" dxfId="483" priority="263" operator="containsText" text="S">
      <formula>NOT(ISERROR(SEARCH("S",F4)))</formula>
    </cfRule>
    <cfRule type="containsText" dxfId="482" priority="262" operator="containsText" text="S">
      <formula>NOT(ISERROR(SEARCH("S",F4)))</formula>
    </cfRule>
    <cfRule type="containsText" dxfId="481" priority="261" operator="containsText" text="ID">
      <formula>NOT(ISERROR(SEARCH("ID",F4)))</formula>
    </cfRule>
    <cfRule type="containsText" dxfId="480" priority="260" operator="containsText" text="ID">
      <formula>NOT(ISERROR(SEARCH("ID",F4)))</formula>
    </cfRule>
    <cfRule type="containsText" dxfId="479" priority="259" operator="containsText" text="ID">
      <formula>NOT(ISERROR(SEARCH("ID",F4)))</formula>
    </cfRule>
    <cfRule type="containsText" dxfId="478" priority="258" operator="containsText" text="ML">
      <formula>NOT(ISERROR(SEARCH("ML",F4)))</formula>
    </cfRule>
    <cfRule type="containsBlanks" dxfId="477" priority="257">
      <formula>LEN(TRIM(F4))=0</formula>
    </cfRule>
    <cfRule type="containsText" dxfId="476" priority="256" operator="containsText" text="A">
      <formula>NOT(ISERROR(SEARCH("A",F4)))</formula>
    </cfRule>
    <cfRule type="containsText" dxfId="475" priority="255" operator="containsText" text="PH">
      <formula>NOT(ISERROR(SEARCH("PH",F4)))</formula>
    </cfRule>
    <cfRule type="containsText" dxfId="474" priority="254" operator="containsText" text="S">
      <formula>NOT(ISERROR(SEARCH("S",F4)))</formula>
    </cfRule>
    <cfRule type="containsText" dxfId="473" priority="253" operator="containsText" text="S">
      <formula>NOT(ISERROR(SEARCH("S",F4)))</formula>
    </cfRule>
    <cfRule type="containsText" dxfId="472" priority="252" operator="containsText" text="ID">
      <formula>NOT(ISERROR(SEARCH("ID",F4)))</formula>
    </cfRule>
    <cfRule type="containsBlanks" dxfId="471" priority="251">
      <formula>LEN(TRIM(F4))=0</formula>
    </cfRule>
    <cfRule type="containsText" dxfId="470" priority="250" operator="containsText" text="A">
      <formula>NOT(ISERROR(SEARCH("A",F4)))</formula>
    </cfRule>
    <cfRule type="containsText" dxfId="469" priority="249" operator="containsText" text="PH">
      <formula>NOT(ISERROR(SEARCH("PH",F4)))</formula>
    </cfRule>
    <cfRule type="containsBlanks" dxfId="468" priority="248">
      <formula>LEN(TRIM(F4))=0</formula>
    </cfRule>
    <cfRule type="containsText" dxfId="467" priority="247" operator="containsText" text="A">
      <formula>NOT(ISERROR(SEARCH("A",F4)))</formula>
    </cfRule>
    <cfRule type="containsText" dxfId="466" priority="246" operator="containsText" text="PH">
      <formula>NOT(ISERROR(SEARCH("PH",F4)))</formula>
    </cfRule>
    <cfRule type="containsText" dxfId="465" priority="245" operator="containsText" text="S">
      <formula>NOT(ISERROR(SEARCH("S",F4)))</formula>
    </cfRule>
    <cfRule type="containsText" dxfId="464" priority="244" operator="containsText" text="S">
      <formula>NOT(ISERROR(SEARCH("S",F4)))</formula>
    </cfRule>
    <cfRule type="containsText" dxfId="463" priority="243" operator="containsText" text="ID">
      <formula>NOT(ISERROR(SEARCH("ID",F4)))</formula>
    </cfRule>
    <cfRule type="containsBlanks" dxfId="462" priority="242">
      <formula>LEN(TRIM(F4))=0</formula>
    </cfRule>
    <cfRule type="containsText" dxfId="461" priority="241" operator="containsText" text="A">
      <formula>NOT(ISERROR(SEARCH("A",F4)))</formula>
    </cfRule>
    <cfRule type="containsText" dxfId="460" priority="240" operator="containsText" text="PH">
      <formula>NOT(ISERROR(SEARCH("PH",F4)))</formula>
    </cfRule>
    <cfRule type="containsText" dxfId="459" priority="239" operator="containsText" text="S">
      <formula>NOT(ISERROR(SEARCH("S",F4)))</formula>
    </cfRule>
  </conditionalFormatting>
  <conditionalFormatting sqref="F4:AI108">
    <cfRule type="containsText" dxfId="458" priority="98" operator="containsText" text="v">
      <formula>NOT(ISERROR(SEARCH("v",F4)))</formula>
    </cfRule>
    <cfRule type="containsText" dxfId="457" priority="190" operator="containsText" text="S">
      <formula>NOT(ISERROR(SEARCH("S",F4)))</formula>
    </cfRule>
  </conditionalFormatting>
  <conditionalFormatting sqref="AD94">
    <cfRule type="containsText" dxfId="456" priority="112" operator="containsText" text="PH">
      <formula>NOT(ISERROR(SEARCH("PH",AD94)))</formula>
    </cfRule>
    <cfRule type="containsText" dxfId="455" priority="111" operator="containsText" text="S">
      <formula>NOT(ISERROR(SEARCH("S",AD94)))</formula>
    </cfRule>
    <cfRule type="containsBlanks" dxfId="454" priority="114">
      <formula>LEN(TRIM(AD94))=0</formula>
    </cfRule>
    <cfRule type="containsText" dxfId="453" priority="110" operator="containsText" text="S">
      <formula>NOT(ISERROR(SEARCH("S",AD94)))</formula>
    </cfRule>
    <cfRule type="containsText" dxfId="452" priority="113" operator="containsText" text="A">
      <formula>NOT(ISERROR(SEARCH("A",AD94)))</formula>
    </cfRule>
  </conditionalFormatting>
  <conditionalFormatting sqref="AD94:AE94">
    <cfRule type="containsText" dxfId="451" priority="156" operator="containsText" text="ID">
      <formula>NOT(ISERROR(SEARCH("ID",AD94)))</formula>
    </cfRule>
    <cfRule type="containsBlanks" dxfId="450" priority="155">
      <formula>LEN(TRIM(AD94))=0</formula>
    </cfRule>
    <cfRule type="containsText" dxfId="449" priority="154" operator="containsText" text="A">
      <formula>NOT(ISERROR(SEARCH("A",AD94)))</formula>
    </cfRule>
    <cfRule type="containsText" dxfId="448" priority="153" operator="containsText" text="PH">
      <formula>NOT(ISERROR(SEARCH("PH",AD94)))</formula>
    </cfRule>
    <cfRule type="containsText" dxfId="447" priority="152" operator="containsText" text="S">
      <formula>NOT(ISERROR(SEARCH("S",AD94)))</formula>
    </cfRule>
    <cfRule type="containsText" dxfId="446" priority="151" operator="containsText" text="S">
      <formula>NOT(ISERROR(SEARCH("S",AD94)))</formula>
    </cfRule>
    <cfRule type="containsText" dxfId="445" priority="150" operator="containsText" text="ID">
      <formula>NOT(ISERROR(SEARCH("ID",AD94)))</formula>
    </cfRule>
    <cfRule type="containsBlanks" dxfId="444" priority="149">
      <formula>LEN(TRIM(AD94))=0</formula>
    </cfRule>
    <cfRule type="containsText" dxfId="443" priority="148" operator="containsText" text="A">
      <formula>NOT(ISERROR(SEARCH("A",AD94)))</formula>
    </cfRule>
    <cfRule type="containsText" dxfId="442" priority="147" operator="containsText" text="PH">
      <formula>NOT(ISERROR(SEARCH("PH",AD94)))</formula>
    </cfRule>
    <cfRule type="containsText" dxfId="441" priority="146" operator="containsText" text="S">
      <formula>NOT(ISERROR(SEARCH("S",AD94)))</formula>
    </cfRule>
    <cfRule type="containsText" dxfId="440" priority="145" operator="containsText" text="S">
      <formula>NOT(ISERROR(SEARCH("S",AD94)))</formula>
    </cfRule>
    <cfRule type="containsText" dxfId="439" priority="144" operator="containsText" text="ID">
      <formula>NOT(ISERROR(SEARCH("ID",AD94)))</formula>
    </cfRule>
    <cfRule type="containsText" dxfId="438" priority="143" operator="containsText" text="ID">
      <formula>NOT(ISERROR(SEARCH("ID",AD94)))</formula>
    </cfRule>
    <cfRule type="containsText" dxfId="437" priority="142" operator="containsText" text="ML">
      <formula>NOT(ISERROR(SEARCH("ML",AD94)))</formula>
    </cfRule>
    <cfRule type="containsBlanks" dxfId="436" priority="141">
      <formula>LEN(TRIM(AD94))=0</formula>
    </cfRule>
    <cfRule type="containsText" dxfId="435" priority="140" operator="containsText" text="A">
      <formula>NOT(ISERROR(SEARCH("A",AD94)))</formula>
    </cfRule>
    <cfRule type="containsText" dxfId="434" priority="139" operator="containsText" text="EL">
      <formula>NOT(ISERROR(SEARCH("EL",AD94)))</formula>
    </cfRule>
    <cfRule type="containsText" dxfId="433" priority="138" operator="containsText" text="CL">
      <formula>NOT(ISERROR(SEARCH("CL",AD94)))</formula>
    </cfRule>
    <cfRule type="containsText" dxfId="432" priority="137" operator="containsText" text="S">
      <formula>NOT(ISERROR(SEARCH("S",AD94)))</formula>
    </cfRule>
    <cfRule type="containsText" dxfId="431" priority="136" operator="containsText" text="ML">
      <formula>NOT(ISERROR(SEARCH("ML",AD94)))</formula>
    </cfRule>
    <cfRule type="containsText" dxfId="430" priority="135" operator="containsText" text="ID">
      <formula>NOT(ISERROR(SEARCH("ID",AD94)))</formula>
    </cfRule>
    <cfRule type="containsBlanks" dxfId="429" priority="134">
      <formula>LEN(TRIM(AD94))=0</formula>
    </cfRule>
    <cfRule type="containsText" dxfId="428" priority="133" operator="containsText" text="A">
      <formula>NOT(ISERROR(SEARCH("A",AD94)))</formula>
    </cfRule>
    <cfRule type="containsText" dxfId="427" priority="132" operator="containsText" text="PH">
      <formula>NOT(ISERROR(SEARCH("PH",AD94)))</formula>
    </cfRule>
    <cfRule type="containsBlanks" dxfId="426" priority="131">
      <formula>LEN(TRIM(AD94))=0</formula>
    </cfRule>
    <cfRule type="containsText" dxfId="425" priority="130" operator="containsText" text="A">
      <formula>NOT(ISERROR(SEARCH("A",AD94)))</formula>
    </cfRule>
    <cfRule type="containsText" dxfId="424" priority="129" operator="containsText" text="PH">
      <formula>NOT(ISERROR(SEARCH("PH",AD94)))</formula>
    </cfRule>
    <cfRule type="containsText" dxfId="423" priority="128" operator="containsText" text="S">
      <formula>NOT(ISERROR(SEARCH("S",AD94)))</formula>
    </cfRule>
    <cfRule type="containsText" dxfId="422" priority="127" operator="containsText" text="S">
      <formula>NOT(ISERROR(SEARCH("S",AD94)))</formula>
    </cfRule>
    <cfRule type="containsText" dxfId="421" priority="126" operator="containsText" text="ID">
      <formula>NOT(ISERROR(SEARCH("ID",AD94)))</formula>
    </cfRule>
    <cfRule type="containsText" dxfId="420" priority="125" operator="containsText" text="ID">
      <formula>NOT(ISERROR(SEARCH("ID",AD94)))</formula>
    </cfRule>
    <cfRule type="containsText" dxfId="419" priority="124" operator="containsText" text="ID">
      <formula>NOT(ISERROR(SEARCH("ID",AD94)))</formula>
    </cfRule>
    <cfRule type="containsText" dxfId="418" priority="123" operator="containsText" text="S">
      <formula>NOT(ISERROR(SEARCH("S",AD94)))</formula>
    </cfRule>
    <cfRule type="containsBlanks" dxfId="417" priority="122">
      <formula>LEN(TRIM(AD94))=0</formula>
    </cfRule>
    <cfRule type="containsText" dxfId="416" priority="121" operator="containsText" text="A">
      <formula>NOT(ISERROR(SEARCH("A",AD94)))</formula>
    </cfRule>
    <cfRule type="containsText" dxfId="415" priority="120" operator="containsText" text="PH">
      <formula>NOT(ISERROR(SEARCH("PH",AD94)))</formula>
    </cfRule>
    <cfRule type="containsText" dxfId="414" priority="119" operator="containsText" text="S">
      <formula>NOT(ISERROR(SEARCH("S",AD94)))</formula>
    </cfRule>
    <cfRule type="containsText" dxfId="413" priority="118" operator="containsText" text="ID">
      <formula>NOT(ISERROR(SEARCH("ID",AD94)))</formula>
    </cfRule>
    <cfRule type="containsText" dxfId="412" priority="117" operator="containsText" text="ID">
      <formula>NOT(ISERROR(SEARCH("ID",AD94)))</formula>
    </cfRule>
    <cfRule type="containsText" dxfId="411" priority="116" operator="containsText" text="ID">
      <formula>NOT(ISERROR(SEARCH("ID",AD94)))</formula>
    </cfRule>
    <cfRule type="containsText" dxfId="410" priority="115" operator="containsText" text="ML">
      <formula>NOT(ISERROR(SEARCH("ML",AD94)))</formula>
    </cfRule>
    <cfRule type="containsBlanks" dxfId="409" priority="108">
      <formula>LEN(TRIM(AD94))=0</formula>
    </cfRule>
    <cfRule type="containsText" dxfId="408" priority="107" operator="containsText" text="A">
      <formula>NOT(ISERROR(SEARCH("A",AD94)))</formula>
    </cfRule>
    <cfRule type="containsText" dxfId="407" priority="106" operator="containsText" text="PH">
      <formula>NOT(ISERROR(SEARCH("PH",AD94)))</formula>
    </cfRule>
    <cfRule type="containsText" dxfId="406" priority="105" operator="containsText" text="ID">
      <formula>NOT(ISERROR(SEARCH("ID",AD94)))</formula>
    </cfRule>
    <cfRule type="containsBlanks" dxfId="405" priority="104">
      <formula>LEN(TRIM(AD94))=0</formula>
    </cfRule>
    <cfRule type="containsText" dxfId="404" priority="103" operator="containsText" text="A">
      <formula>NOT(ISERROR(SEARCH("A",AD94)))</formula>
    </cfRule>
    <cfRule type="containsText" dxfId="403" priority="102" operator="containsText" text="PH">
      <formula>NOT(ISERROR(SEARCH("PH",AD94)))</formula>
    </cfRule>
    <cfRule type="containsText" dxfId="402" priority="101" operator="containsText" text="S">
      <formula>NOT(ISERROR(SEARCH("S",AD94)))</formula>
    </cfRule>
    <cfRule type="containsText" dxfId="401" priority="100" operator="containsText" text="S">
      <formula>NOT(ISERROR(SEARCH("S",AD94)))</formula>
    </cfRule>
    <cfRule type="containsText" dxfId="400" priority="99" operator="containsText" text="ID">
      <formula>NOT(ISERROR(SEARCH("ID",AD94)))</formula>
    </cfRule>
    <cfRule type="containsText" dxfId="399" priority="195" operator="containsText" text="S">
      <formula>NOT(ISERROR(SEARCH("S",AD94)))</formula>
    </cfRule>
    <cfRule type="containsText" dxfId="398" priority="180" operator="containsText" text="S">
      <formula>NOT(ISERROR(SEARCH("S",AD94)))</formula>
    </cfRule>
    <cfRule type="containsText" dxfId="397" priority="38" operator="containsText" text="ID">
      <formula>NOT(ISERROR(SEARCH("ID",AD94)))</formula>
    </cfRule>
    <cfRule type="containsText" dxfId="396" priority="37" operator="containsText" text="ID">
      <formula>NOT(ISERROR(SEARCH("ID",AD94)))</formula>
    </cfRule>
    <cfRule type="containsText" dxfId="395" priority="36" operator="containsText" text="S">
      <formula>NOT(ISERROR(SEARCH("S",AD94)))</formula>
    </cfRule>
    <cfRule type="containsText" dxfId="394" priority="35" operator="containsText" text="ID">
      <formula>NOT(ISERROR(SEARCH("ID",AD94)))</formula>
    </cfRule>
    <cfRule type="containsText" dxfId="393" priority="34" operator="containsText" text="ML">
      <formula>NOT(ISERROR(SEARCH("ML",AD94)))</formula>
    </cfRule>
    <cfRule type="containsText" dxfId="392" priority="33" operator="containsText" text="S">
      <formula>NOT(ISERROR(SEARCH("S",AD94)))</formula>
    </cfRule>
    <cfRule type="containsText" dxfId="391" priority="32" operator="containsText" text="S">
      <formula>NOT(ISERROR(SEARCH("S",AD94)))</formula>
    </cfRule>
    <cfRule type="containsBlanks" dxfId="390" priority="31">
      <formula>LEN(TRIM(AD94))=0</formula>
    </cfRule>
    <cfRule type="containsText" dxfId="389" priority="30" operator="containsText" text="ID">
      <formula>NOT(ISERROR(SEARCH("ID",AD94)))</formula>
    </cfRule>
    <cfRule type="containsText" dxfId="388" priority="29" operator="containsText" text="S">
      <formula>NOT(ISERROR(SEARCH("S",AD94)))</formula>
    </cfRule>
    <cfRule type="containsText" dxfId="387" priority="28" operator="containsText" text="PH">
      <formula>NOT(ISERROR(SEARCH("PH",AD94)))</formula>
    </cfRule>
    <cfRule type="containsText" dxfId="386" priority="27" operator="containsText" text="ID">
      <formula>NOT(ISERROR(SEARCH("ID",AD94)))</formula>
    </cfRule>
    <cfRule type="containsText" dxfId="385" priority="26" operator="containsText" text="ML">
      <formula>NOT(ISERROR(SEARCH("ML",AD94)))</formula>
    </cfRule>
    <cfRule type="containsBlanks" dxfId="384" priority="25">
      <formula>LEN(TRIM(AD94))=0</formula>
    </cfRule>
    <cfRule type="containsText" dxfId="383" priority="24" operator="containsText" text="A">
      <formula>NOT(ISERROR(SEARCH("A",AD94)))</formula>
    </cfRule>
    <cfRule type="containsText" dxfId="382" priority="23" operator="containsText" text="PH">
      <formula>NOT(ISERROR(SEARCH("PH",AD94)))</formula>
    </cfRule>
    <cfRule type="containsText" dxfId="381" priority="22" operator="containsText" text="S">
      <formula>NOT(ISERROR(SEARCH("S",AD94)))</formula>
    </cfRule>
    <cfRule type="containsText" dxfId="380" priority="21" operator="containsText" text="S">
      <formula>NOT(ISERROR(SEARCH("S",AD94)))</formula>
    </cfRule>
    <cfRule type="containsText" dxfId="379" priority="20" operator="containsText" text="ID">
      <formula>NOT(ISERROR(SEARCH("ID",AD94)))</formula>
    </cfRule>
    <cfRule type="containsText" dxfId="378" priority="18" operator="containsText" text="ML">
      <formula>NOT(ISERROR(SEARCH("ML",AD94)))</formula>
    </cfRule>
    <cfRule type="containsText" dxfId="377" priority="17" operator="containsText" text="A">
      <formula>NOT(ISERROR(SEARCH("A",AD94)))</formula>
    </cfRule>
    <cfRule type="containsText" dxfId="376" priority="16" operator="containsText" text="S">
      <formula>NOT(ISERROR(SEARCH("S",AD94)))</formula>
    </cfRule>
    <cfRule type="containsText" dxfId="375" priority="15" operator="containsText" text="ML">
      <formula>NOT(ISERROR(SEARCH("ML",AD94)))</formula>
    </cfRule>
    <cfRule type="containsText" dxfId="374" priority="14" operator="containsText" text="v">
      <formula>NOT(ISERROR(SEARCH("v",AD94)))</formula>
    </cfRule>
    <cfRule type="containsText" dxfId="373" priority="13" operator="containsText" text="ID">
      <formula>NOT(ISERROR(SEARCH("ID",AD94)))</formula>
    </cfRule>
    <cfRule type="containsBlanks" dxfId="372" priority="12">
      <formula>LEN(TRIM(AD94))=0</formula>
    </cfRule>
    <cfRule type="containsText" dxfId="371" priority="11" operator="containsText" text="A">
      <formula>NOT(ISERROR(SEARCH("A",AD94)))</formula>
    </cfRule>
    <cfRule type="containsText" dxfId="370" priority="10" operator="containsText" text="PH">
      <formula>NOT(ISERROR(SEARCH("PH",AD94)))</formula>
    </cfRule>
    <cfRule type="containsText" dxfId="369" priority="9" operator="containsText" text="S">
      <formula>NOT(ISERROR(SEARCH("S",AD94)))</formula>
    </cfRule>
    <cfRule type="containsBlanks" dxfId="368" priority="8">
      <formula>LEN(TRIM(AD94))=0</formula>
    </cfRule>
    <cfRule type="containsText" dxfId="367" priority="7" operator="containsText" text="A">
      <formula>NOT(ISERROR(SEARCH("A",AD94)))</formula>
    </cfRule>
    <cfRule type="containsText" dxfId="366" priority="6" operator="containsText" text="s">
      <formula>NOT(ISERROR(SEARCH("s",AD94)))</formula>
    </cfRule>
    <cfRule type="containsText" dxfId="365" priority="5" operator="containsText" text="ML">
      <formula>NOT(ISERROR(SEARCH("ML",AD94)))</formula>
    </cfRule>
    <cfRule type="containsText" dxfId="364" priority="4" operator="containsText" text="S">
      <formula>NOT(ISERROR(SEARCH("S",AD94)))</formula>
    </cfRule>
    <cfRule type="containsText" dxfId="363" priority="3" operator="containsText" text="ID">
      <formula>NOT(ISERROR(SEARCH("ID",AD94)))</formula>
    </cfRule>
    <cfRule type="containsText" dxfId="362" priority="2" operator="containsText" text="ID">
      <formula>NOT(ISERROR(SEARCH("ID",AD94)))</formula>
    </cfRule>
    <cfRule type="containsText" dxfId="361" priority="1" operator="containsText" text="ID">
      <formula>NOT(ISERROR(SEARCH("ID",AD94)))</formula>
    </cfRule>
    <cfRule type="containsText" dxfId="360" priority="199" operator="containsText" text="A">
      <formula>NOT(ISERROR(SEARCH("A",AD94)))</formula>
    </cfRule>
    <cfRule type="containsBlanks" dxfId="359" priority="198">
      <formula>LEN(TRIM(AD94))=0</formula>
    </cfRule>
    <cfRule type="containsText" dxfId="358" priority="197" operator="containsText" text="A">
      <formula>NOT(ISERROR(SEARCH("A",AD94)))</formula>
    </cfRule>
    <cfRule type="containsText" dxfId="357" priority="196" operator="containsText" text="PH">
      <formula>NOT(ISERROR(SEARCH("PH",AD94)))</formula>
    </cfRule>
    <cfRule type="containsBlanks" dxfId="356" priority="194">
      <formula>LEN(TRIM(AD94))=0</formula>
    </cfRule>
    <cfRule type="containsText" dxfId="355" priority="193" operator="containsText" text="A">
      <formula>NOT(ISERROR(SEARCH("A",AD94)))</formula>
    </cfRule>
    <cfRule type="containsText" dxfId="354" priority="192" operator="containsText" text="PH">
      <formula>NOT(ISERROR(SEARCH("PH",AD94)))</formula>
    </cfRule>
    <cfRule type="containsText" dxfId="353" priority="191" operator="containsText" text="S">
      <formula>NOT(ISERROR(SEARCH("S",AD94)))</formula>
    </cfRule>
    <cfRule type="containsText" dxfId="352" priority="189" operator="containsText" text="ID">
      <formula>NOT(ISERROR(SEARCH("ID",AD94)))</formula>
    </cfRule>
    <cfRule type="containsText" dxfId="351" priority="188" operator="containsText" text="ID">
      <formula>NOT(ISERROR(SEARCH("ID",AD94)))</formula>
    </cfRule>
    <cfRule type="containsText" dxfId="350" priority="187" operator="containsText" text="ML">
      <formula>NOT(ISERROR(SEARCH("ML",AD94)))</formula>
    </cfRule>
    <cfRule type="containsText" dxfId="349" priority="186" operator="containsText" text="S">
      <formula>NOT(ISERROR(SEARCH("S",AD94)))</formula>
    </cfRule>
    <cfRule type="containsText" dxfId="348" priority="185" operator="containsText" text="S">
      <formula>NOT(ISERROR(SEARCH("S",AD94)))</formula>
    </cfRule>
    <cfRule type="containsText" dxfId="347" priority="184" operator="containsText" text="ID">
      <formula>NOT(ISERROR(SEARCH("ID",AD94)))</formula>
    </cfRule>
    <cfRule type="containsBlanks" dxfId="346" priority="183">
      <formula>LEN(TRIM(AD94))=0</formula>
    </cfRule>
    <cfRule type="containsText" dxfId="345" priority="182" operator="containsText" text="A">
      <formula>NOT(ISERROR(SEARCH("A",AD94)))</formula>
    </cfRule>
    <cfRule type="containsText" dxfId="344" priority="181" operator="containsText" text="PH">
      <formula>NOT(ISERROR(SEARCH("PH",AD94)))</formula>
    </cfRule>
    <cfRule type="containsText" dxfId="343" priority="179" operator="containsText" text="S">
      <formula>NOT(ISERROR(SEARCH("S",AD94)))</formula>
    </cfRule>
    <cfRule type="containsText" dxfId="342" priority="178" operator="containsText" text="ID">
      <formula>NOT(ISERROR(SEARCH("ID",AD94)))</formula>
    </cfRule>
    <cfRule type="containsText" dxfId="341" priority="177" operator="containsText" text="ID">
      <formula>NOT(ISERROR(SEARCH("ID",AD94)))</formula>
    </cfRule>
    <cfRule type="containsText" dxfId="340" priority="176" operator="containsText" text="ID">
      <formula>NOT(ISERROR(SEARCH("ID",AD94)))</formula>
    </cfRule>
    <cfRule type="containsText" dxfId="339" priority="175" operator="containsText" text="ML">
      <formula>NOT(ISERROR(SEARCH("ML",AD94)))</formula>
    </cfRule>
    <cfRule type="containsBlanks" dxfId="338" priority="174">
      <formula>LEN(TRIM(AD94))=0</formula>
    </cfRule>
    <cfRule type="containsText" dxfId="337" priority="173" operator="containsText" text="A">
      <formula>NOT(ISERROR(SEARCH("A",AD94)))</formula>
    </cfRule>
    <cfRule type="containsText" dxfId="336" priority="172" operator="containsText" text="PH">
      <formula>NOT(ISERROR(SEARCH("PH",AD94)))</formula>
    </cfRule>
    <cfRule type="containsText" dxfId="335" priority="171" operator="containsText" text="S">
      <formula>NOT(ISERROR(SEARCH("S",AD94)))</formula>
    </cfRule>
    <cfRule type="containsText" dxfId="334" priority="170" operator="containsText" text="S">
      <formula>NOT(ISERROR(SEARCH("S",AD94)))</formula>
    </cfRule>
    <cfRule type="containsBlanks" dxfId="333" priority="169">
      <formula>LEN(TRIM(AD94))=0</formula>
    </cfRule>
    <cfRule type="containsText" dxfId="332" priority="168" operator="containsText" text="A">
      <formula>NOT(ISERROR(SEARCH("A",AD94)))</formula>
    </cfRule>
    <cfRule type="containsText" dxfId="331" priority="167" operator="containsText" text="S">
      <formula>NOT(ISERROR(SEARCH("S",AD94)))</formula>
    </cfRule>
    <cfRule type="containsText" dxfId="330" priority="165" operator="containsText" text="PH">
      <formula>NOT(ISERROR(SEARCH("PH",AD94)))</formula>
    </cfRule>
    <cfRule type="containsText" dxfId="329" priority="164" operator="containsText" text="ID">
      <formula>NOT(ISERROR(SEARCH("ID",AD94)))</formula>
    </cfRule>
    <cfRule type="containsText" dxfId="328" priority="163" operator="containsText" text="ML">
      <formula>NOT(ISERROR(SEARCH("ML",AD94)))</formula>
    </cfRule>
    <cfRule type="containsBlanks" dxfId="327" priority="162">
      <formula>LEN(TRIM(AD94))=0</formula>
    </cfRule>
    <cfRule type="containsText" dxfId="326" priority="161" operator="containsText" text="A">
      <formula>NOT(ISERROR(SEARCH("A",AD94)))</formula>
    </cfRule>
    <cfRule type="containsText" dxfId="325" priority="160" operator="containsText" text="PH">
      <formula>NOT(ISERROR(SEARCH("PH",AD94)))</formula>
    </cfRule>
    <cfRule type="containsText" dxfId="324" priority="159" operator="containsText" text="S">
      <formula>NOT(ISERROR(SEARCH("S",AD94)))</formula>
    </cfRule>
    <cfRule type="containsText" dxfId="323" priority="158" operator="containsText" text="S">
      <formula>NOT(ISERROR(SEARCH("S",AD94)))</formula>
    </cfRule>
    <cfRule type="containsText" dxfId="322" priority="157" operator="containsText" text="ID">
      <formula>NOT(ISERROR(SEARCH("ID",AD94)))</formula>
    </cfRule>
    <cfRule type="containsText" dxfId="321" priority="19" operator="containsText" text="ID">
      <formula>NOT(ISERROR(SEARCH("ID",AD94)))</formula>
    </cfRule>
  </conditionalFormatting>
  <conditionalFormatting sqref="AE94">
    <cfRule type="containsText" dxfId="320" priority="59" operator="containsText" text="A">
      <formula>NOT(ISERROR(SEARCH("A",AE94)))</formula>
    </cfRule>
    <cfRule type="containsText" dxfId="319" priority="58" operator="containsText" text="PH">
      <formula>NOT(ISERROR(SEARCH("PH",AE94)))</formula>
    </cfRule>
    <cfRule type="containsText" dxfId="318" priority="91" operator="containsText" text="ID">
      <formula>NOT(ISERROR(SEARCH("ID",AE94)))</formula>
    </cfRule>
    <cfRule type="containsText" dxfId="317" priority="57" operator="containsText" text="S">
      <formula>NOT(ISERROR(SEARCH("S",AE94)))</formula>
    </cfRule>
    <cfRule type="containsText" dxfId="316" priority="56" operator="containsText" text="S">
      <formula>NOT(ISERROR(SEARCH("S",AE94)))</formula>
    </cfRule>
    <cfRule type="containsText" dxfId="315" priority="55" operator="containsText" text="ID">
      <formula>NOT(ISERROR(SEARCH("ID",AE94)))</formula>
    </cfRule>
    <cfRule type="containsText" dxfId="314" priority="54" operator="containsText" text="ID">
      <formula>NOT(ISERROR(SEARCH("ID",AE94)))</formula>
    </cfRule>
    <cfRule type="containsBlanks" dxfId="313" priority="53">
      <formula>LEN(TRIM(AE94))=0</formula>
    </cfRule>
    <cfRule type="containsText" dxfId="312" priority="52" operator="containsText" text="A">
      <formula>NOT(ISERROR(SEARCH("A",AE94)))</formula>
    </cfRule>
    <cfRule type="containsText" dxfId="311" priority="51" operator="containsText" text="PH">
      <formula>NOT(ISERROR(SEARCH("PH",AE94)))</formula>
    </cfRule>
    <cfRule type="containsText" dxfId="310" priority="50" operator="containsText" text="S">
      <formula>NOT(ISERROR(SEARCH("S",AE94)))</formula>
    </cfRule>
    <cfRule type="containsText" dxfId="309" priority="92" operator="containsText" text="ID">
      <formula>NOT(ISERROR(SEARCH("ID",AE94)))</formula>
    </cfRule>
    <cfRule type="containsText" dxfId="308" priority="93" operator="containsText" text="ID">
      <formula>NOT(ISERROR(SEARCH("ID",AE94)))</formula>
    </cfRule>
    <cfRule type="containsText" dxfId="307" priority="94" operator="containsText" text="S">
      <formula>NOT(ISERROR(SEARCH("S",AE94)))</formula>
    </cfRule>
    <cfRule type="containsText" dxfId="306" priority="95" operator="containsText" text="S">
      <formula>NOT(ISERROR(SEARCH("S",AE94)))</formula>
    </cfRule>
    <cfRule type="containsText" dxfId="305" priority="96" operator="containsText" text="PH">
      <formula>NOT(ISERROR(SEARCH("PH",AE94)))</formula>
    </cfRule>
    <cfRule type="containsText" dxfId="304" priority="97" operator="containsText" text="ID">
      <formula>NOT(ISERROR(SEARCH("ID",AE94)))</formula>
    </cfRule>
    <cfRule type="containsBlanks" dxfId="303" priority="166">
      <formula>LEN(TRIM(AE94))=0</formula>
    </cfRule>
    <cfRule type="containsText" dxfId="302" priority="90" operator="containsText" text="ML">
      <formula>NOT(ISERROR(SEARCH("ML",AE94)))</formula>
    </cfRule>
    <cfRule type="containsText" dxfId="301" priority="49" operator="containsText" text="S">
      <formula>NOT(ISERROR(SEARCH("S",AE94)))</formula>
    </cfRule>
    <cfRule type="containsText" dxfId="300" priority="48" operator="containsText" text="ID">
      <formula>NOT(ISERROR(SEARCH("ID",AE94)))</formula>
    </cfRule>
    <cfRule type="containsText" dxfId="299" priority="47" operator="containsText" text="ID">
      <formula>NOT(ISERROR(SEARCH("ID",AE94)))</formula>
    </cfRule>
    <cfRule type="containsText" dxfId="298" priority="46" operator="containsText" text="ID">
      <formula>NOT(ISERROR(SEARCH("ID",AE94)))</formula>
    </cfRule>
    <cfRule type="containsBlanks" dxfId="297" priority="45">
      <formula>LEN(TRIM(AE94))=0</formula>
    </cfRule>
    <cfRule type="containsText" dxfId="296" priority="44" operator="containsText" text="A">
      <formula>NOT(ISERROR(SEARCH("A",AE94)))</formula>
    </cfRule>
    <cfRule type="containsText" dxfId="295" priority="88" operator="containsText" text="ID">
      <formula>NOT(ISERROR(SEARCH("ID",AE94)))</formula>
    </cfRule>
    <cfRule type="containsText" dxfId="294" priority="43" operator="containsText" text="PH">
      <formula>NOT(ISERROR(SEARCH("PH",AE94)))</formula>
    </cfRule>
    <cfRule type="containsText" dxfId="293" priority="42" operator="containsText" text="S">
      <formula>NOT(ISERROR(SEARCH("S",AE94)))</formula>
    </cfRule>
    <cfRule type="containsText" dxfId="292" priority="41" operator="containsText" text="S">
      <formula>NOT(ISERROR(SEARCH("S",AE94)))</formula>
    </cfRule>
    <cfRule type="containsText" dxfId="291" priority="40" operator="containsText" text="ID">
      <formula>NOT(ISERROR(SEARCH("ID",AE94)))</formula>
    </cfRule>
    <cfRule type="containsText" dxfId="290" priority="87" operator="containsText" text="ID">
      <formula>NOT(ISERROR(SEARCH("ID",AE94)))</formula>
    </cfRule>
    <cfRule type="containsText" dxfId="289" priority="39" operator="containsText" text="ID">
      <formula>NOT(ISERROR(SEARCH("ID",AE94)))</formula>
    </cfRule>
    <cfRule type="containsBlanks" dxfId="288" priority="86">
      <formula>LEN(TRIM(AE94))=0</formula>
    </cfRule>
    <cfRule type="containsText" dxfId="287" priority="85" operator="containsText" text="A">
      <formula>NOT(ISERROR(SEARCH("A",AE94)))</formula>
    </cfRule>
    <cfRule type="containsText" dxfId="286" priority="84" operator="containsText" text="PH">
      <formula>NOT(ISERROR(SEARCH("PH",AE94)))</formula>
    </cfRule>
    <cfRule type="containsText" dxfId="285" priority="83" operator="containsText" text="S">
      <formula>NOT(ISERROR(SEARCH("S",AE94)))</formula>
    </cfRule>
    <cfRule type="containsText" dxfId="284" priority="82" operator="containsText" text="S">
      <formula>NOT(ISERROR(SEARCH("S",AE94)))</formula>
    </cfRule>
    <cfRule type="containsText" dxfId="283" priority="81" operator="containsText" text="ID">
      <formula>NOT(ISERROR(SEARCH("ID",AE94)))</formula>
    </cfRule>
    <cfRule type="containsText" dxfId="282" priority="80" operator="containsText" text="ID">
      <formula>NOT(ISERROR(SEARCH("ID",AE94)))</formula>
    </cfRule>
    <cfRule type="containsText" dxfId="281" priority="79" operator="containsText" text="ML">
      <formula>NOT(ISERROR(SEARCH("ML",AE94)))</formula>
    </cfRule>
    <cfRule type="containsText" dxfId="280" priority="78" operator="containsText" text="S">
      <formula>NOT(ISERROR(SEARCH("S",AE94)))</formula>
    </cfRule>
    <cfRule type="containsText" dxfId="279" priority="77" operator="containsText" text="v">
      <formula>NOT(ISERROR(SEARCH("v",AE94)))</formula>
    </cfRule>
    <cfRule type="containsBlanks" dxfId="278" priority="76">
      <formula>LEN(TRIM(AE94))=0</formula>
    </cfRule>
    <cfRule type="containsText" dxfId="277" priority="75" operator="containsText" text="A">
      <formula>NOT(ISERROR(SEARCH("A",AE94)))</formula>
    </cfRule>
    <cfRule type="containsText" dxfId="276" priority="74" operator="containsText" text="PH">
      <formula>NOT(ISERROR(SEARCH("PH",AE94)))</formula>
    </cfRule>
    <cfRule type="containsText" dxfId="275" priority="73" operator="containsText" text="S">
      <formula>NOT(ISERROR(SEARCH("S",AE94)))</formula>
    </cfRule>
    <cfRule type="containsText" dxfId="274" priority="72" operator="containsText" text="S">
      <formula>NOT(ISERROR(SEARCH("S",AE94)))</formula>
    </cfRule>
    <cfRule type="containsText" dxfId="273" priority="71" operator="containsText" text="ID">
      <formula>NOT(ISERROR(SEARCH("ID",AE94)))</formula>
    </cfRule>
    <cfRule type="containsText" dxfId="272" priority="70" operator="containsText" text="ID">
      <formula>NOT(ISERROR(SEARCH("ID",AE94)))</formula>
    </cfRule>
    <cfRule type="containsText" dxfId="271" priority="69" operator="containsText" text="ID">
      <formula>NOT(ISERROR(SEARCH("ID",AE94)))</formula>
    </cfRule>
    <cfRule type="containsBlanks" dxfId="270" priority="68">
      <formula>LEN(TRIM(AE94))=0</formula>
    </cfRule>
    <cfRule type="containsText" dxfId="269" priority="89" operator="containsText" text="S">
      <formula>NOT(ISERROR(SEARCH("S",AE94)))</formula>
    </cfRule>
    <cfRule type="containsText" dxfId="268" priority="67" operator="containsText" text="A">
      <formula>NOT(ISERROR(SEARCH("A",AE94)))</formula>
    </cfRule>
    <cfRule type="containsText" dxfId="267" priority="66" operator="containsText" text="PH">
      <formula>NOT(ISERROR(SEARCH("PH",AE94)))</formula>
    </cfRule>
    <cfRule type="containsText" dxfId="266" priority="65" operator="containsText" text="S">
      <formula>NOT(ISERROR(SEARCH("S",AE94)))</formula>
    </cfRule>
    <cfRule type="containsText" dxfId="265" priority="64" operator="containsText" text="S">
      <formula>NOT(ISERROR(SEARCH("S",AE94)))</formula>
    </cfRule>
    <cfRule type="containsText" dxfId="264" priority="63" operator="containsText" text="ID">
      <formula>NOT(ISERROR(SEARCH("ID",AE94)))</formula>
    </cfRule>
    <cfRule type="containsText" dxfId="263" priority="62" operator="containsText" text="ID">
      <formula>NOT(ISERROR(SEARCH("ID",AE94)))</formula>
    </cfRule>
    <cfRule type="containsText" dxfId="262" priority="61" operator="containsText" text="ID">
      <formula>NOT(ISERROR(SEARCH("ID",AE94)))</formula>
    </cfRule>
    <cfRule type="containsBlanks" dxfId="261" priority="60">
      <formula>LEN(TRIM(AE94))=0</formula>
    </cfRule>
  </conditionalFormatting>
  <pageMargins left="0.25" right="0.25" top="0.35" bottom="0.52" header="0.3" footer="0.3"/>
  <pageSetup paperSize="8" scale="47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102"/>
  <sheetViews>
    <sheetView zoomScaleNormal="100" zoomScaleSheetLayoutView="100" workbookViewId="0">
      <pane xSplit="5" ySplit="3" topLeftCell="F4" activePane="bottomRight" state="frozen"/>
      <selection pane="topRight" activeCell="L1" sqref="L1"/>
      <selection pane="bottomLeft" activeCell="A4" sqref="A4"/>
      <selection pane="bottomRight" activeCell="C4" sqref="C4"/>
    </sheetView>
  </sheetViews>
  <sheetFormatPr defaultColWidth="9.28515625" defaultRowHeight="12.75" x14ac:dyDescent="0.2"/>
  <cols>
    <col min="1" max="1" width="3.7109375" style="25" customWidth="1"/>
    <col min="2" max="2" width="4.7109375" style="54" customWidth="1"/>
    <col min="3" max="3" width="17.85546875" style="55" bestFit="1" customWidth="1"/>
    <col min="4" max="4" width="6.5703125" style="54" customWidth="1"/>
    <col min="5" max="5" width="8" style="54" customWidth="1"/>
    <col min="6" max="10" width="4.28515625" style="10" customWidth="1"/>
    <col min="11" max="11" width="4.28515625" style="56" customWidth="1"/>
    <col min="12" max="18" width="4.28515625" style="10" customWidth="1"/>
    <col min="19" max="20" width="4.28515625" style="56" customWidth="1"/>
    <col min="21" max="25" width="4.28515625" style="10" customWidth="1"/>
    <col min="26" max="35" width="4.28515625" style="56" customWidth="1"/>
    <col min="36" max="36" width="7.42578125" style="57" customWidth="1"/>
    <col min="37" max="37" width="7.85546875" style="10" customWidth="1"/>
    <col min="38" max="38" width="5.85546875" style="10" customWidth="1"/>
    <col min="39" max="39" width="5.28515625" style="10" customWidth="1"/>
    <col min="40" max="40" width="8.28515625" style="10" customWidth="1"/>
    <col min="41" max="41" width="10.7109375" style="10" bestFit="1" customWidth="1"/>
    <col min="42" max="42" width="10.7109375" style="10" customWidth="1"/>
    <col min="43" max="43" width="7.5703125" style="10" customWidth="1"/>
    <col min="44" max="46" width="10.7109375" style="10" customWidth="1"/>
    <col min="47" max="48" width="7.5703125" style="10" customWidth="1"/>
    <col min="49" max="57" width="10.7109375" style="10" customWidth="1"/>
    <col min="58" max="58" width="23.7109375" style="10" bestFit="1" customWidth="1"/>
    <col min="59" max="16384" width="9.28515625" style="10"/>
  </cols>
  <sheetData>
    <row r="1" spans="1:58" ht="28.5" customHeight="1" thickBot="1" x14ac:dyDescent="0.25">
      <c r="A1" s="204" t="s">
        <v>16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6"/>
      <c r="AN1" s="210" t="s">
        <v>602</v>
      </c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2"/>
    </row>
    <row r="2" spans="1:58" ht="54" customHeight="1" x14ac:dyDescent="0.2">
      <c r="A2" s="177" t="s">
        <v>3</v>
      </c>
      <c r="B2" s="160" t="s">
        <v>4</v>
      </c>
      <c r="C2" s="179" t="s">
        <v>0</v>
      </c>
      <c r="D2" s="179" t="s">
        <v>314</v>
      </c>
      <c r="E2" s="179" t="s">
        <v>1</v>
      </c>
      <c r="F2" s="58">
        <v>45901</v>
      </c>
      <c r="G2" s="58">
        <v>45902</v>
      </c>
      <c r="H2" s="58">
        <v>45903</v>
      </c>
      <c r="I2" s="58">
        <v>45904</v>
      </c>
      <c r="J2" s="140">
        <v>45905</v>
      </c>
      <c r="K2" s="58">
        <v>45906</v>
      </c>
      <c r="L2" s="59">
        <v>45907</v>
      </c>
      <c r="M2" s="58">
        <v>45908</v>
      </c>
      <c r="N2" s="58">
        <v>45909</v>
      </c>
      <c r="O2" s="58">
        <v>45910</v>
      </c>
      <c r="P2" s="58">
        <v>45911</v>
      </c>
      <c r="Q2" s="58">
        <v>45912</v>
      </c>
      <c r="R2" s="58">
        <v>45913</v>
      </c>
      <c r="S2" s="59">
        <v>45914</v>
      </c>
      <c r="T2" s="58">
        <v>45915</v>
      </c>
      <c r="U2" s="58">
        <v>45916</v>
      </c>
      <c r="V2" s="58">
        <v>45917</v>
      </c>
      <c r="W2" s="58">
        <v>45918</v>
      </c>
      <c r="X2" s="58">
        <v>45919</v>
      </c>
      <c r="Y2" s="58">
        <v>45920</v>
      </c>
      <c r="Z2" s="59">
        <v>45921</v>
      </c>
      <c r="AA2" s="58">
        <v>45922</v>
      </c>
      <c r="AB2" s="58">
        <v>45923</v>
      </c>
      <c r="AC2" s="58">
        <v>45924</v>
      </c>
      <c r="AD2" s="58">
        <v>45925</v>
      </c>
      <c r="AE2" s="58">
        <v>45926</v>
      </c>
      <c r="AF2" s="58">
        <v>45927</v>
      </c>
      <c r="AG2" s="59">
        <v>45928</v>
      </c>
      <c r="AH2" s="58">
        <v>45929</v>
      </c>
      <c r="AI2" s="58">
        <v>45930</v>
      </c>
      <c r="AJ2" s="190" t="s">
        <v>150</v>
      </c>
      <c r="AK2" s="160" t="s">
        <v>6</v>
      </c>
      <c r="AL2" s="160" t="s">
        <v>7</v>
      </c>
      <c r="AM2" s="194" t="s">
        <v>320</v>
      </c>
      <c r="AN2" s="207" t="s">
        <v>47</v>
      </c>
      <c r="AO2" s="164" t="s">
        <v>48</v>
      </c>
      <c r="AP2" s="164" t="s">
        <v>151</v>
      </c>
      <c r="AQ2" s="158" t="s">
        <v>47</v>
      </c>
      <c r="AR2" s="158" t="s">
        <v>48</v>
      </c>
      <c r="AS2" s="158" t="s">
        <v>151</v>
      </c>
      <c r="AT2" s="158" t="s">
        <v>152</v>
      </c>
      <c r="AU2" s="158" t="s">
        <v>105</v>
      </c>
      <c r="AV2" s="158" t="s">
        <v>106</v>
      </c>
      <c r="AW2" s="199" t="s">
        <v>301</v>
      </c>
      <c r="AX2" s="158" t="s">
        <v>51</v>
      </c>
      <c r="AY2" s="156" t="s">
        <v>52</v>
      </c>
      <c r="AZ2" s="156" t="s">
        <v>149</v>
      </c>
      <c r="BA2" s="158" t="s">
        <v>53</v>
      </c>
      <c r="BB2" s="158" t="s">
        <v>54</v>
      </c>
      <c r="BC2" s="156" t="s">
        <v>55</v>
      </c>
      <c r="BD2" s="156" t="s">
        <v>56</v>
      </c>
      <c r="BE2" s="154" t="s">
        <v>57</v>
      </c>
    </row>
    <row r="3" spans="1:58" ht="20.25" customHeight="1" x14ac:dyDescent="0.2">
      <c r="A3" s="178"/>
      <c r="B3" s="161"/>
      <c r="C3" s="180"/>
      <c r="D3" s="180"/>
      <c r="E3" s="180"/>
      <c r="F3" s="13" t="s">
        <v>12</v>
      </c>
      <c r="G3" s="13" t="s">
        <v>13</v>
      </c>
      <c r="H3" s="13" t="s">
        <v>14</v>
      </c>
      <c r="I3" s="13" t="s">
        <v>13</v>
      </c>
      <c r="J3" s="141" t="s">
        <v>2</v>
      </c>
      <c r="K3" s="13" t="s">
        <v>15</v>
      </c>
      <c r="L3" s="14" t="s">
        <v>15</v>
      </c>
      <c r="M3" s="13" t="s">
        <v>12</v>
      </c>
      <c r="N3" s="13" t="s">
        <v>13</v>
      </c>
      <c r="O3" s="13" t="s">
        <v>14</v>
      </c>
      <c r="P3" s="13" t="s">
        <v>13</v>
      </c>
      <c r="Q3" s="13" t="s">
        <v>2</v>
      </c>
      <c r="R3" s="13" t="s">
        <v>15</v>
      </c>
      <c r="S3" s="14" t="s">
        <v>15</v>
      </c>
      <c r="T3" s="13" t="s">
        <v>12</v>
      </c>
      <c r="U3" s="13" t="s">
        <v>13</v>
      </c>
      <c r="V3" s="13" t="s">
        <v>14</v>
      </c>
      <c r="W3" s="13" t="s">
        <v>13</v>
      </c>
      <c r="X3" s="13" t="s">
        <v>2</v>
      </c>
      <c r="Y3" s="13" t="s">
        <v>15</v>
      </c>
      <c r="Z3" s="14" t="s">
        <v>15</v>
      </c>
      <c r="AA3" s="13" t="s">
        <v>12</v>
      </c>
      <c r="AB3" s="13" t="s">
        <v>13</v>
      </c>
      <c r="AC3" s="13" t="s">
        <v>14</v>
      </c>
      <c r="AD3" s="13" t="s">
        <v>13</v>
      </c>
      <c r="AE3" s="13" t="s">
        <v>2</v>
      </c>
      <c r="AF3" s="13" t="s">
        <v>15</v>
      </c>
      <c r="AG3" s="14" t="s">
        <v>15</v>
      </c>
      <c r="AH3" s="13" t="s">
        <v>12</v>
      </c>
      <c r="AI3" s="13" t="s">
        <v>13</v>
      </c>
      <c r="AJ3" s="203"/>
      <c r="AK3" s="161"/>
      <c r="AL3" s="161"/>
      <c r="AM3" s="209"/>
      <c r="AN3" s="208"/>
      <c r="AO3" s="165"/>
      <c r="AP3" s="165"/>
      <c r="AQ3" s="159"/>
      <c r="AR3" s="159"/>
      <c r="AS3" s="159"/>
      <c r="AT3" s="159"/>
      <c r="AU3" s="159"/>
      <c r="AV3" s="159"/>
      <c r="AW3" s="200"/>
      <c r="AX3" s="159"/>
      <c r="AY3" s="157"/>
      <c r="AZ3" s="157"/>
      <c r="BA3" s="159"/>
      <c r="BB3" s="159"/>
      <c r="BC3" s="157"/>
      <c r="BD3" s="157"/>
      <c r="BE3" s="155"/>
    </row>
    <row r="4" spans="1:58" s="25" customFormat="1" ht="18" customHeight="1" x14ac:dyDescent="0.25">
      <c r="A4" s="15">
        <v>1</v>
      </c>
      <c r="B4" s="47" t="s">
        <v>121</v>
      </c>
      <c r="C4" s="17" t="s">
        <v>122</v>
      </c>
      <c r="D4" s="16" t="s">
        <v>120</v>
      </c>
      <c r="E4" s="48">
        <v>44992</v>
      </c>
      <c r="F4" s="19" t="s">
        <v>554</v>
      </c>
      <c r="G4" s="19" t="s">
        <v>554</v>
      </c>
      <c r="H4" s="19" t="s">
        <v>554</v>
      </c>
      <c r="I4" s="19" t="s">
        <v>554</v>
      </c>
      <c r="J4" s="19" t="s">
        <v>603</v>
      </c>
      <c r="K4" s="19" t="s">
        <v>554</v>
      </c>
      <c r="L4" s="19" t="s">
        <v>15</v>
      </c>
      <c r="M4" s="19" t="s">
        <v>554</v>
      </c>
      <c r="N4" s="19" t="s">
        <v>554</v>
      </c>
      <c r="O4" s="19" t="s">
        <v>554</v>
      </c>
      <c r="P4" s="19" t="s">
        <v>554</v>
      </c>
      <c r="Q4" s="19" t="s">
        <v>554</v>
      </c>
      <c r="R4" s="19" t="s">
        <v>554</v>
      </c>
      <c r="S4" s="19" t="s">
        <v>15</v>
      </c>
      <c r="T4" s="19" t="s">
        <v>554</v>
      </c>
      <c r="U4" s="19" t="s">
        <v>554</v>
      </c>
      <c r="V4" s="19" t="s">
        <v>554</v>
      </c>
      <c r="W4" s="19" t="s">
        <v>554</v>
      </c>
      <c r="X4" s="19" t="s">
        <v>554</v>
      </c>
      <c r="Y4" s="19" t="s">
        <v>554</v>
      </c>
      <c r="Z4" s="19" t="s">
        <v>15</v>
      </c>
      <c r="AA4" s="19" t="s">
        <v>554</v>
      </c>
      <c r="AB4" s="19" t="s">
        <v>554</v>
      </c>
      <c r="AC4" s="19" t="s">
        <v>554</v>
      </c>
      <c r="AD4" s="19" t="s">
        <v>554</v>
      </c>
      <c r="AE4" s="19" t="s">
        <v>554</v>
      </c>
      <c r="AF4" s="19" t="s">
        <v>554</v>
      </c>
      <c r="AG4" s="19" t="s">
        <v>15</v>
      </c>
      <c r="AH4" s="19" t="s">
        <v>554</v>
      </c>
      <c r="AI4" s="19" t="s">
        <v>554</v>
      </c>
      <c r="AJ4" s="19">
        <f t="shared" ref="AJ4:AJ35" si="0">COUNTIF(F4:AI4, "OT")</f>
        <v>0</v>
      </c>
      <c r="AK4" s="16">
        <f t="shared" ref="AK4:AK35" si="1">COUNTIF(F4:AI4,"P")+COUNTIF(F4:AI4,"S")+COUNTIF(F4:AI4,"PH")+COUNTIF(F4:AI4,"OT")+COUNTIF(F4:AI4,"ML")</f>
        <v>30</v>
      </c>
      <c r="AL4" s="16">
        <f t="shared" ref="AL4:AL35" si="2">COUNTIF(F4:AI4,"A")</f>
        <v>0</v>
      </c>
      <c r="AM4" s="38">
        <f t="shared" ref="AM4:AM35" si="3">COUNTIF(F4:AI4,"ID")</f>
        <v>0</v>
      </c>
      <c r="AN4" s="68">
        <v>550</v>
      </c>
      <c r="AO4" s="21">
        <v>100</v>
      </c>
      <c r="AP4" s="21">
        <v>350</v>
      </c>
      <c r="AQ4" s="19">
        <f>MROUND(AN4/30*AK4, 1)</f>
        <v>550</v>
      </c>
      <c r="AR4" s="19">
        <f>MROUND(AO4/30*AK4, 1)</f>
        <v>100</v>
      </c>
      <c r="AS4" s="19">
        <f>MROUND(AP4/30*AK4, 1)</f>
        <v>350</v>
      </c>
      <c r="AT4" s="19">
        <f t="shared" ref="AT4" si="4">25*AJ4</f>
        <v>0</v>
      </c>
      <c r="AU4" s="19">
        <f>MROUND(AN4/30*AM4, 1)</f>
        <v>0</v>
      </c>
      <c r="AV4" s="19">
        <f>MROUND(AO4/30*AM4, 1)</f>
        <v>0</v>
      </c>
      <c r="AW4" s="19">
        <v>0</v>
      </c>
      <c r="AX4" s="19">
        <f t="shared" ref="AX4:AX52" si="5">SUM(AQ4:AW4)</f>
        <v>1000</v>
      </c>
      <c r="AY4" s="19">
        <v>0</v>
      </c>
      <c r="AZ4" s="19">
        <v>0</v>
      </c>
      <c r="BA4" s="19">
        <f t="shared" ref="BA4" si="6">AY4+AZ4</f>
        <v>0</v>
      </c>
      <c r="BB4" s="19">
        <f t="shared" ref="BB4" si="7">AX4-BA4</f>
        <v>1000</v>
      </c>
      <c r="BC4" s="19">
        <v>0</v>
      </c>
      <c r="BD4" s="19">
        <v>0</v>
      </c>
      <c r="BE4" s="22">
        <f t="shared" ref="BE4" si="8">SUM(BB4:BC4)-BD4</f>
        <v>1000</v>
      </c>
    </row>
    <row r="5" spans="1:58" s="25" customFormat="1" ht="18" customHeight="1" x14ac:dyDescent="0.25">
      <c r="A5" s="15">
        <v>2</v>
      </c>
      <c r="B5" s="47" t="s">
        <v>123</v>
      </c>
      <c r="C5" s="17" t="s">
        <v>124</v>
      </c>
      <c r="D5" s="16" t="s">
        <v>120</v>
      </c>
      <c r="E5" s="48">
        <v>44992</v>
      </c>
      <c r="F5" s="19" t="s">
        <v>554</v>
      </c>
      <c r="G5" s="19" t="s">
        <v>554</v>
      </c>
      <c r="H5" s="19" t="s">
        <v>554</v>
      </c>
      <c r="I5" s="19" t="s">
        <v>554</v>
      </c>
      <c r="J5" s="19" t="s">
        <v>603</v>
      </c>
      <c r="K5" s="19" t="s">
        <v>554</v>
      </c>
      <c r="L5" s="19" t="s">
        <v>15</v>
      </c>
      <c r="M5" s="19" t="s">
        <v>554</v>
      </c>
      <c r="N5" s="19" t="s">
        <v>554</v>
      </c>
      <c r="O5" s="19" t="s">
        <v>554</v>
      </c>
      <c r="P5" s="19" t="s">
        <v>554</v>
      </c>
      <c r="Q5" s="19" t="s">
        <v>554</v>
      </c>
      <c r="R5" s="19" t="s">
        <v>554</v>
      </c>
      <c r="S5" s="19" t="s">
        <v>15</v>
      </c>
      <c r="T5" s="19" t="s">
        <v>554</v>
      </c>
      <c r="U5" s="19" t="s">
        <v>554</v>
      </c>
      <c r="V5" s="19" t="s">
        <v>554</v>
      </c>
      <c r="W5" s="19" t="s">
        <v>554</v>
      </c>
      <c r="X5" s="19" t="s">
        <v>554</v>
      </c>
      <c r="Y5" s="19" t="s">
        <v>554</v>
      </c>
      <c r="Z5" s="19" t="s">
        <v>15</v>
      </c>
      <c r="AA5" s="19" t="s">
        <v>554</v>
      </c>
      <c r="AB5" s="19" t="s">
        <v>554</v>
      </c>
      <c r="AC5" s="19" t="s">
        <v>554</v>
      </c>
      <c r="AD5" s="19" t="s">
        <v>554</v>
      </c>
      <c r="AE5" s="19" t="s">
        <v>554</v>
      </c>
      <c r="AF5" s="19" t="s">
        <v>554</v>
      </c>
      <c r="AG5" s="19" t="s">
        <v>15</v>
      </c>
      <c r="AH5" s="19" t="s">
        <v>554</v>
      </c>
      <c r="AI5" s="19" t="s">
        <v>554</v>
      </c>
      <c r="AJ5" s="19">
        <f t="shared" si="0"/>
        <v>0</v>
      </c>
      <c r="AK5" s="16">
        <f t="shared" si="1"/>
        <v>30</v>
      </c>
      <c r="AL5" s="16">
        <f t="shared" si="2"/>
        <v>0</v>
      </c>
      <c r="AM5" s="38">
        <f t="shared" si="3"/>
        <v>0</v>
      </c>
      <c r="AN5" s="68">
        <v>550</v>
      </c>
      <c r="AO5" s="21">
        <v>100</v>
      </c>
      <c r="AP5" s="21">
        <v>350</v>
      </c>
      <c r="AQ5" s="19">
        <f t="shared" ref="AQ5:AQ52" si="9">MROUND(AN5/30*AK5, 1)</f>
        <v>550</v>
      </c>
      <c r="AR5" s="19">
        <f t="shared" ref="AR5:AR52" si="10">MROUND(AO5/30*AK5, 1)</f>
        <v>100</v>
      </c>
      <c r="AS5" s="19">
        <f t="shared" ref="AS5:AS52" si="11">MROUND(AP5/30*AK5, 1)</f>
        <v>350</v>
      </c>
      <c r="AT5" s="19">
        <f t="shared" ref="AT5:AT52" si="12">25*AJ5</f>
        <v>0</v>
      </c>
      <c r="AU5" s="19">
        <f t="shared" ref="AU5:AU52" si="13">MROUND(AN5/30*AM5, 1)</f>
        <v>0</v>
      </c>
      <c r="AV5" s="19">
        <f t="shared" ref="AV5:AV52" si="14">MROUND(AO5/30*AM5, 1)</f>
        <v>0</v>
      </c>
      <c r="AW5" s="19">
        <v>0</v>
      </c>
      <c r="AX5" s="19">
        <f t="shared" si="5"/>
        <v>1000</v>
      </c>
      <c r="AY5" s="19">
        <v>0</v>
      </c>
      <c r="AZ5" s="19">
        <v>0</v>
      </c>
      <c r="BA5" s="19">
        <f t="shared" ref="BA5:BA52" si="15">AY5+AZ5</f>
        <v>0</v>
      </c>
      <c r="BB5" s="19">
        <f t="shared" ref="BB5:BB52" si="16">AX5-BA5</f>
        <v>1000</v>
      </c>
      <c r="BC5" s="19">
        <v>0</v>
      </c>
      <c r="BD5" s="19">
        <v>0</v>
      </c>
      <c r="BE5" s="22">
        <f t="shared" ref="BE5:BE52" si="17">SUM(BB5:BC5)-BD5</f>
        <v>1000</v>
      </c>
    </row>
    <row r="6" spans="1:58" s="25" customFormat="1" ht="18" customHeight="1" x14ac:dyDescent="0.25">
      <c r="A6" s="15">
        <v>3</v>
      </c>
      <c r="B6" s="47" t="s">
        <v>127</v>
      </c>
      <c r="C6" s="17" t="s">
        <v>128</v>
      </c>
      <c r="D6" s="16" t="s">
        <v>120</v>
      </c>
      <c r="E6" s="48">
        <v>44992</v>
      </c>
      <c r="F6" s="19" t="s">
        <v>554</v>
      </c>
      <c r="G6" s="19" t="s">
        <v>554</v>
      </c>
      <c r="H6" s="19" t="s">
        <v>554</v>
      </c>
      <c r="I6" s="19" t="s">
        <v>554</v>
      </c>
      <c r="J6" s="19" t="s">
        <v>603</v>
      </c>
      <c r="K6" s="19" t="s">
        <v>554</v>
      </c>
      <c r="L6" s="19" t="s">
        <v>15</v>
      </c>
      <c r="M6" s="19" t="s">
        <v>554</v>
      </c>
      <c r="N6" s="19" t="s">
        <v>554</v>
      </c>
      <c r="O6" s="19" t="s">
        <v>554</v>
      </c>
      <c r="P6" s="19" t="s">
        <v>554</v>
      </c>
      <c r="Q6" s="19" t="s">
        <v>554</v>
      </c>
      <c r="R6" s="19" t="s">
        <v>554</v>
      </c>
      <c r="S6" s="19" t="s">
        <v>15</v>
      </c>
      <c r="T6" s="19" t="s">
        <v>554</v>
      </c>
      <c r="U6" s="19" t="s">
        <v>554</v>
      </c>
      <c r="V6" s="19" t="s">
        <v>554</v>
      </c>
      <c r="W6" s="19" t="s">
        <v>554</v>
      </c>
      <c r="X6" s="19" t="s">
        <v>554</v>
      </c>
      <c r="Y6" s="19" t="s">
        <v>554</v>
      </c>
      <c r="Z6" s="19" t="s">
        <v>15</v>
      </c>
      <c r="AA6" s="19" t="s">
        <v>554</v>
      </c>
      <c r="AB6" s="19" t="s">
        <v>554</v>
      </c>
      <c r="AC6" s="19" t="s">
        <v>554</v>
      </c>
      <c r="AD6" s="19" t="s">
        <v>554</v>
      </c>
      <c r="AE6" s="19" t="s">
        <v>554</v>
      </c>
      <c r="AF6" s="19" t="s">
        <v>554</v>
      </c>
      <c r="AG6" s="19" t="s">
        <v>15</v>
      </c>
      <c r="AH6" s="19" t="s">
        <v>554</v>
      </c>
      <c r="AI6" s="19" t="s">
        <v>554</v>
      </c>
      <c r="AJ6" s="19">
        <f t="shared" si="0"/>
        <v>0</v>
      </c>
      <c r="AK6" s="16">
        <f t="shared" si="1"/>
        <v>30</v>
      </c>
      <c r="AL6" s="16">
        <f t="shared" si="2"/>
        <v>0</v>
      </c>
      <c r="AM6" s="38">
        <f t="shared" si="3"/>
        <v>0</v>
      </c>
      <c r="AN6" s="68">
        <v>550</v>
      </c>
      <c r="AO6" s="21">
        <v>100</v>
      </c>
      <c r="AP6" s="21">
        <v>350</v>
      </c>
      <c r="AQ6" s="19">
        <f t="shared" si="9"/>
        <v>550</v>
      </c>
      <c r="AR6" s="19">
        <f t="shared" si="10"/>
        <v>100</v>
      </c>
      <c r="AS6" s="19">
        <f t="shared" si="11"/>
        <v>350</v>
      </c>
      <c r="AT6" s="19">
        <f t="shared" si="12"/>
        <v>0</v>
      </c>
      <c r="AU6" s="19">
        <f t="shared" si="13"/>
        <v>0</v>
      </c>
      <c r="AV6" s="19">
        <f t="shared" si="14"/>
        <v>0</v>
      </c>
      <c r="AW6" s="19">
        <v>0</v>
      </c>
      <c r="AX6" s="19">
        <f t="shared" si="5"/>
        <v>1000</v>
      </c>
      <c r="AY6" s="19">
        <v>0</v>
      </c>
      <c r="AZ6" s="19">
        <v>0</v>
      </c>
      <c r="BA6" s="19">
        <f t="shared" si="15"/>
        <v>0</v>
      </c>
      <c r="BB6" s="19">
        <f t="shared" si="16"/>
        <v>1000</v>
      </c>
      <c r="BC6" s="19">
        <v>0</v>
      </c>
      <c r="BD6" s="19">
        <v>0</v>
      </c>
      <c r="BE6" s="22">
        <f t="shared" si="17"/>
        <v>1000</v>
      </c>
    </row>
    <row r="7" spans="1:58" s="25" customFormat="1" ht="18" customHeight="1" x14ac:dyDescent="0.25">
      <c r="A7" s="15">
        <v>4</v>
      </c>
      <c r="B7" s="47" t="s">
        <v>142</v>
      </c>
      <c r="C7" s="17" t="s">
        <v>143</v>
      </c>
      <c r="D7" s="16" t="s">
        <v>120</v>
      </c>
      <c r="E7" s="48">
        <v>45003</v>
      </c>
      <c r="F7" s="19" t="s">
        <v>554</v>
      </c>
      <c r="G7" s="19" t="s">
        <v>554</v>
      </c>
      <c r="H7" s="19" t="s">
        <v>554</v>
      </c>
      <c r="I7" s="19" t="s">
        <v>554</v>
      </c>
      <c r="J7" s="19" t="s">
        <v>603</v>
      </c>
      <c r="K7" s="19" t="s">
        <v>554</v>
      </c>
      <c r="L7" s="19" t="s">
        <v>15</v>
      </c>
      <c r="M7" s="19" t="s">
        <v>554</v>
      </c>
      <c r="N7" s="19" t="s">
        <v>554</v>
      </c>
      <c r="O7" s="19" t="s">
        <v>554</v>
      </c>
      <c r="P7" s="19" t="s">
        <v>554</v>
      </c>
      <c r="Q7" s="19" t="s">
        <v>554</v>
      </c>
      <c r="R7" s="19" t="s">
        <v>554</v>
      </c>
      <c r="S7" s="19" t="s">
        <v>15</v>
      </c>
      <c r="T7" s="19" t="s">
        <v>554</v>
      </c>
      <c r="U7" s="19" t="s">
        <v>554</v>
      </c>
      <c r="V7" s="19" t="s">
        <v>554</v>
      </c>
      <c r="W7" s="19" t="s">
        <v>554</v>
      </c>
      <c r="X7" s="19" t="s">
        <v>554</v>
      </c>
      <c r="Y7" s="19" t="s">
        <v>554</v>
      </c>
      <c r="Z7" s="19" t="s">
        <v>15</v>
      </c>
      <c r="AA7" s="19" t="s">
        <v>554</v>
      </c>
      <c r="AB7" s="19" t="s">
        <v>554</v>
      </c>
      <c r="AC7" s="19" t="s">
        <v>554</v>
      </c>
      <c r="AD7" s="19" t="s">
        <v>554</v>
      </c>
      <c r="AE7" s="19" t="s">
        <v>554</v>
      </c>
      <c r="AF7" s="19" t="s">
        <v>554</v>
      </c>
      <c r="AG7" s="19" t="s">
        <v>15</v>
      </c>
      <c r="AH7" s="19" t="s">
        <v>554</v>
      </c>
      <c r="AI7" s="19" t="s">
        <v>554</v>
      </c>
      <c r="AJ7" s="19">
        <f t="shared" si="0"/>
        <v>0</v>
      </c>
      <c r="AK7" s="16">
        <f t="shared" si="1"/>
        <v>30</v>
      </c>
      <c r="AL7" s="16">
        <f t="shared" si="2"/>
        <v>0</v>
      </c>
      <c r="AM7" s="38">
        <f t="shared" si="3"/>
        <v>0</v>
      </c>
      <c r="AN7" s="68">
        <v>550</v>
      </c>
      <c r="AO7" s="21">
        <v>100</v>
      </c>
      <c r="AP7" s="21">
        <v>350</v>
      </c>
      <c r="AQ7" s="19">
        <f t="shared" si="9"/>
        <v>550</v>
      </c>
      <c r="AR7" s="19">
        <f t="shared" si="10"/>
        <v>100</v>
      </c>
      <c r="AS7" s="19">
        <f t="shared" si="11"/>
        <v>350</v>
      </c>
      <c r="AT7" s="19">
        <f t="shared" si="12"/>
        <v>0</v>
      </c>
      <c r="AU7" s="19">
        <f t="shared" si="13"/>
        <v>0</v>
      </c>
      <c r="AV7" s="19">
        <f t="shared" si="14"/>
        <v>0</v>
      </c>
      <c r="AW7" s="19">
        <v>0</v>
      </c>
      <c r="AX7" s="19">
        <f t="shared" si="5"/>
        <v>1000</v>
      </c>
      <c r="AY7" s="19">
        <v>0</v>
      </c>
      <c r="AZ7" s="19">
        <v>0</v>
      </c>
      <c r="BA7" s="19">
        <f t="shared" si="15"/>
        <v>0</v>
      </c>
      <c r="BB7" s="19">
        <f t="shared" si="16"/>
        <v>1000</v>
      </c>
      <c r="BC7" s="19">
        <v>0</v>
      </c>
      <c r="BD7" s="19">
        <v>0</v>
      </c>
      <c r="BE7" s="22">
        <f t="shared" si="17"/>
        <v>1000</v>
      </c>
    </row>
    <row r="8" spans="1:58" s="25" customFormat="1" ht="18" customHeight="1" x14ac:dyDescent="0.25">
      <c r="A8" s="15">
        <v>5</v>
      </c>
      <c r="B8" s="47" t="s">
        <v>139</v>
      </c>
      <c r="C8" s="17" t="s">
        <v>140</v>
      </c>
      <c r="D8" s="16" t="s">
        <v>120</v>
      </c>
      <c r="E8" s="48">
        <v>44994</v>
      </c>
      <c r="F8" s="19" t="s">
        <v>316</v>
      </c>
      <c r="G8" s="19" t="s">
        <v>554</v>
      </c>
      <c r="H8" s="19" t="s">
        <v>554</v>
      </c>
      <c r="I8" s="19" t="s">
        <v>554</v>
      </c>
      <c r="J8" s="19" t="s">
        <v>603</v>
      </c>
      <c r="K8" s="19" t="s">
        <v>554</v>
      </c>
      <c r="L8" s="19" t="s">
        <v>316</v>
      </c>
      <c r="M8" s="19" t="s">
        <v>554</v>
      </c>
      <c r="N8" s="19" t="s">
        <v>554</v>
      </c>
      <c r="O8" s="19" t="s">
        <v>554</v>
      </c>
      <c r="P8" s="19" t="s">
        <v>554</v>
      </c>
      <c r="Q8" s="19" t="s">
        <v>554</v>
      </c>
      <c r="R8" s="19" t="s">
        <v>554</v>
      </c>
      <c r="S8" s="19" t="s">
        <v>15</v>
      </c>
      <c r="T8" s="19" t="s">
        <v>316</v>
      </c>
      <c r="U8" s="19" t="s">
        <v>316</v>
      </c>
      <c r="V8" s="19" t="s">
        <v>316</v>
      </c>
      <c r="W8" s="19" t="s">
        <v>316</v>
      </c>
      <c r="X8" s="19" t="s">
        <v>554</v>
      </c>
      <c r="Y8" s="19" t="s">
        <v>316</v>
      </c>
      <c r="Z8" s="19" t="s">
        <v>316</v>
      </c>
      <c r="AA8" s="19" t="s">
        <v>554</v>
      </c>
      <c r="AB8" s="19" t="s">
        <v>554</v>
      </c>
      <c r="AC8" s="19" t="s">
        <v>554</v>
      </c>
      <c r="AD8" s="19" t="s">
        <v>554</v>
      </c>
      <c r="AE8" s="19" t="s">
        <v>554</v>
      </c>
      <c r="AF8" s="19" t="s">
        <v>554</v>
      </c>
      <c r="AG8" s="19" t="s">
        <v>15</v>
      </c>
      <c r="AH8" s="19" t="s">
        <v>554</v>
      </c>
      <c r="AI8" s="19" t="s">
        <v>554</v>
      </c>
      <c r="AJ8" s="19">
        <f t="shared" si="0"/>
        <v>0</v>
      </c>
      <c r="AK8" s="16">
        <f t="shared" si="1"/>
        <v>22</v>
      </c>
      <c r="AL8" s="16">
        <f t="shared" si="2"/>
        <v>8</v>
      </c>
      <c r="AM8" s="38">
        <f t="shared" si="3"/>
        <v>0</v>
      </c>
      <c r="AN8" s="68">
        <v>550</v>
      </c>
      <c r="AO8" s="21">
        <v>100</v>
      </c>
      <c r="AP8" s="21">
        <v>350</v>
      </c>
      <c r="AQ8" s="19">
        <f t="shared" si="9"/>
        <v>403</v>
      </c>
      <c r="AR8" s="19">
        <f t="shared" si="10"/>
        <v>73</v>
      </c>
      <c r="AS8" s="19">
        <f t="shared" si="11"/>
        <v>257</v>
      </c>
      <c r="AT8" s="19">
        <f t="shared" si="12"/>
        <v>0</v>
      </c>
      <c r="AU8" s="19">
        <f t="shared" si="13"/>
        <v>0</v>
      </c>
      <c r="AV8" s="19">
        <f t="shared" si="14"/>
        <v>0</v>
      </c>
      <c r="AW8" s="19">
        <v>0</v>
      </c>
      <c r="AX8" s="19">
        <f t="shared" si="5"/>
        <v>733</v>
      </c>
      <c r="AY8" s="19">
        <v>0</v>
      </c>
      <c r="AZ8" s="19">
        <v>0</v>
      </c>
      <c r="BA8" s="19">
        <f t="shared" si="15"/>
        <v>0</v>
      </c>
      <c r="BB8" s="19">
        <f t="shared" si="16"/>
        <v>733</v>
      </c>
      <c r="BC8" s="19">
        <v>0</v>
      </c>
      <c r="BD8" s="19">
        <v>0</v>
      </c>
      <c r="BE8" s="22">
        <f t="shared" si="17"/>
        <v>733</v>
      </c>
    </row>
    <row r="9" spans="1:58" s="25" customFormat="1" ht="18" customHeight="1" x14ac:dyDescent="0.25">
      <c r="A9" s="15">
        <v>6</v>
      </c>
      <c r="B9" s="47" t="s">
        <v>211</v>
      </c>
      <c r="C9" s="17" t="s">
        <v>241</v>
      </c>
      <c r="D9" s="16" t="s">
        <v>120</v>
      </c>
      <c r="E9" s="48">
        <v>45238</v>
      </c>
      <c r="F9" s="19" t="s">
        <v>554</v>
      </c>
      <c r="G9" s="19" t="s">
        <v>554</v>
      </c>
      <c r="H9" s="19" t="s">
        <v>554</v>
      </c>
      <c r="I9" s="19" t="s">
        <v>554</v>
      </c>
      <c r="J9" s="19" t="s">
        <v>603</v>
      </c>
      <c r="K9" s="19" t="s">
        <v>554</v>
      </c>
      <c r="L9" s="19" t="s">
        <v>15</v>
      </c>
      <c r="M9" s="19" t="s">
        <v>554</v>
      </c>
      <c r="N9" s="19" t="s">
        <v>554</v>
      </c>
      <c r="O9" s="19" t="s">
        <v>554</v>
      </c>
      <c r="P9" s="19" t="s">
        <v>554</v>
      </c>
      <c r="Q9" s="19" t="s">
        <v>554</v>
      </c>
      <c r="R9" s="19" t="s">
        <v>554</v>
      </c>
      <c r="S9" s="19" t="s">
        <v>15</v>
      </c>
      <c r="T9" s="19" t="s">
        <v>554</v>
      </c>
      <c r="U9" s="19" t="s">
        <v>554</v>
      </c>
      <c r="V9" s="19" t="s">
        <v>554</v>
      </c>
      <c r="W9" s="19" t="s">
        <v>554</v>
      </c>
      <c r="X9" s="19" t="s">
        <v>554</v>
      </c>
      <c r="Y9" s="19" t="s">
        <v>554</v>
      </c>
      <c r="Z9" s="19" t="s">
        <v>15</v>
      </c>
      <c r="AA9" s="19" t="s">
        <v>554</v>
      </c>
      <c r="AB9" s="19" t="s">
        <v>554</v>
      </c>
      <c r="AC9" s="19" t="s">
        <v>554</v>
      </c>
      <c r="AD9" s="19" t="s">
        <v>554</v>
      </c>
      <c r="AE9" s="19" t="s">
        <v>554</v>
      </c>
      <c r="AF9" s="19" t="s">
        <v>554</v>
      </c>
      <c r="AG9" s="19" t="s">
        <v>15</v>
      </c>
      <c r="AH9" s="19" t="s">
        <v>554</v>
      </c>
      <c r="AI9" s="19" t="s">
        <v>554</v>
      </c>
      <c r="AJ9" s="19">
        <f t="shared" si="0"/>
        <v>0</v>
      </c>
      <c r="AK9" s="16">
        <f t="shared" si="1"/>
        <v>30</v>
      </c>
      <c r="AL9" s="16">
        <f t="shared" si="2"/>
        <v>0</v>
      </c>
      <c r="AM9" s="38">
        <f t="shared" si="3"/>
        <v>0</v>
      </c>
      <c r="AN9" s="69">
        <v>550</v>
      </c>
      <c r="AO9" s="20">
        <v>100</v>
      </c>
      <c r="AP9" s="20">
        <v>250</v>
      </c>
      <c r="AQ9" s="19">
        <f t="shared" si="9"/>
        <v>550</v>
      </c>
      <c r="AR9" s="19">
        <f t="shared" si="10"/>
        <v>100</v>
      </c>
      <c r="AS9" s="19">
        <f t="shared" si="11"/>
        <v>250</v>
      </c>
      <c r="AT9" s="19">
        <f t="shared" si="12"/>
        <v>0</v>
      </c>
      <c r="AU9" s="19">
        <f t="shared" si="13"/>
        <v>0</v>
      </c>
      <c r="AV9" s="19">
        <f t="shared" si="14"/>
        <v>0</v>
      </c>
      <c r="AW9" s="19">
        <v>0</v>
      </c>
      <c r="AX9" s="19">
        <f t="shared" si="5"/>
        <v>900</v>
      </c>
      <c r="AY9" s="19">
        <v>0</v>
      </c>
      <c r="AZ9" s="19">
        <v>0</v>
      </c>
      <c r="BA9" s="19">
        <f t="shared" si="15"/>
        <v>0</v>
      </c>
      <c r="BB9" s="19">
        <f t="shared" si="16"/>
        <v>900</v>
      </c>
      <c r="BC9" s="19">
        <v>0</v>
      </c>
      <c r="BD9" s="19">
        <v>0</v>
      </c>
      <c r="BE9" s="22">
        <f t="shared" si="17"/>
        <v>900</v>
      </c>
    </row>
    <row r="10" spans="1:58" s="25" customFormat="1" ht="18" customHeight="1" x14ac:dyDescent="0.25">
      <c r="A10" s="15">
        <v>7</v>
      </c>
      <c r="B10" s="47" t="s">
        <v>204</v>
      </c>
      <c r="C10" s="17" t="s">
        <v>243</v>
      </c>
      <c r="D10" s="16" t="s">
        <v>120</v>
      </c>
      <c r="E10" s="48">
        <v>45238</v>
      </c>
      <c r="F10" s="19" t="s">
        <v>554</v>
      </c>
      <c r="G10" s="19" t="s">
        <v>554</v>
      </c>
      <c r="H10" s="19" t="s">
        <v>554</v>
      </c>
      <c r="I10" s="19" t="s">
        <v>554</v>
      </c>
      <c r="J10" s="19" t="s">
        <v>603</v>
      </c>
      <c r="K10" s="19" t="s">
        <v>554</v>
      </c>
      <c r="L10" s="19" t="s">
        <v>15</v>
      </c>
      <c r="M10" s="19" t="s">
        <v>554</v>
      </c>
      <c r="N10" s="19" t="s">
        <v>554</v>
      </c>
      <c r="O10" s="19" t="s">
        <v>554</v>
      </c>
      <c r="P10" s="19" t="s">
        <v>554</v>
      </c>
      <c r="Q10" s="19" t="s">
        <v>554</v>
      </c>
      <c r="R10" s="19" t="s">
        <v>554</v>
      </c>
      <c r="S10" s="19" t="s">
        <v>15</v>
      </c>
      <c r="T10" s="19" t="s">
        <v>554</v>
      </c>
      <c r="U10" s="19" t="s">
        <v>554</v>
      </c>
      <c r="V10" s="19" t="s">
        <v>554</v>
      </c>
      <c r="W10" s="19" t="s">
        <v>554</v>
      </c>
      <c r="X10" s="19" t="s">
        <v>554</v>
      </c>
      <c r="Y10" s="19" t="s">
        <v>554</v>
      </c>
      <c r="Z10" s="19" t="s">
        <v>15</v>
      </c>
      <c r="AA10" s="19" t="s">
        <v>554</v>
      </c>
      <c r="AB10" s="19" t="s">
        <v>554</v>
      </c>
      <c r="AC10" s="19" t="s">
        <v>554</v>
      </c>
      <c r="AD10" s="19" t="s">
        <v>554</v>
      </c>
      <c r="AE10" s="19" t="s">
        <v>554</v>
      </c>
      <c r="AF10" s="19" t="s">
        <v>554</v>
      </c>
      <c r="AG10" s="19" t="s">
        <v>15</v>
      </c>
      <c r="AH10" s="19" t="s">
        <v>554</v>
      </c>
      <c r="AI10" s="19" t="s">
        <v>554</v>
      </c>
      <c r="AJ10" s="19">
        <f t="shared" si="0"/>
        <v>0</v>
      </c>
      <c r="AK10" s="16">
        <f t="shared" si="1"/>
        <v>30</v>
      </c>
      <c r="AL10" s="16">
        <f t="shared" si="2"/>
        <v>0</v>
      </c>
      <c r="AM10" s="38">
        <f t="shared" si="3"/>
        <v>0</v>
      </c>
      <c r="AN10" s="68">
        <v>550</v>
      </c>
      <c r="AO10" s="21">
        <v>100</v>
      </c>
      <c r="AP10" s="21">
        <v>250</v>
      </c>
      <c r="AQ10" s="19">
        <f t="shared" si="9"/>
        <v>550</v>
      </c>
      <c r="AR10" s="19">
        <f t="shared" si="10"/>
        <v>100</v>
      </c>
      <c r="AS10" s="19">
        <f t="shared" si="11"/>
        <v>250</v>
      </c>
      <c r="AT10" s="19">
        <f t="shared" si="12"/>
        <v>0</v>
      </c>
      <c r="AU10" s="19">
        <f t="shared" si="13"/>
        <v>0</v>
      </c>
      <c r="AV10" s="19">
        <f t="shared" si="14"/>
        <v>0</v>
      </c>
      <c r="AW10" s="19">
        <v>0</v>
      </c>
      <c r="AX10" s="19">
        <f t="shared" si="5"/>
        <v>900</v>
      </c>
      <c r="AY10" s="19">
        <v>0</v>
      </c>
      <c r="AZ10" s="19">
        <v>0</v>
      </c>
      <c r="BA10" s="19">
        <f t="shared" si="15"/>
        <v>0</v>
      </c>
      <c r="BB10" s="19">
        <f t="shared" si="16"/>
        <v>900</v>
      </c>
      <c r="BC10" s="19">
        <v>0</v>
      </c>
      <c r="BD10" s="19">
        <v>0</v>
      </c>
      <c r="BE10" s="22">
        <f t="shared" si="17"/>
        <v>900</v>
      </c>
      <c r="BF10" s="53"/>
    </row>
    <row r="11" spans="1:58" s="25" customFormat="1" ht="18" customHeight="1" x14ac:dyDescent="0.25">
      <c r="A11" s="15">
        <v>8</v>
      </c>
      <c r="B11" s="47" t="s">
        <v>257</v>
      </c>
      <c r="C11" s="17" t="s">
        <v>266</v>
      </c>
      <c r="D11" s="16" t="s">
        <v>120</v>
      </c>
      <c r="E11" s="48">
        <v>45294</v>
      </c>
      <c r="F11" s="19" t="s">
        <v>554</v>
      </c>
      <c r="G11" s="19" t="s">
        <v>554</v>
      </c>
      <c r="H11" s="19" t="s">
        <v>554</v>
      </c>
      <c r="I11" s="19" t="s">
        <v>554</v>
      </c>
      <c r="J11" s="19" t="s">
        <v>603</v>
      </c>
      <c r="K11" s="19" t="s">
        <v>554</v>
      </c>
      <c r="L11" s="19" t="s">
        <v>15</v>
      </c>
      <c r="M11" s="19" t="s">
        <v>554</v>
      </c>
      <c r="N11" s="19" t="s">
        <v>554</v>
      </c>
      <c r="O11" s="19" t="s">
        <v>554</v>
      </c>
      <c r="P11" s="19" t="s">
        <v>554</v>
      </c>
      <c r="Q11" s="19" t="s">
        <v>554</v>
      </c>
      <c r="R11" s="19" t="s">
        <v>554</v>
      </c>
      <c r="S11" s="19" t="s">
        <v>15</v>
      </c>
      <c r="T11" s="19" t="s">
        <v>554</v>
      </c>
      <c r="U11" s="19" t="s">
        <v>554</v>
      </c>
      <c r="V11" s="19" t="s">
        <v>554</v>
      </c>
      <c r="W11" s="19" t="s">
        <v>554</v>
      </c>
      <c r="X11" s="19" t="s">
        <v>554</v>
      </c>
      <c r="Y11" s="19" t="s">
        <v>554</v>
      </c>
      <c r="Z11" s="19" t="s">
        <v>15</v>
      </c>
      <c r="AA11" s="19" t="s">
        <v>554</v>
      </c>
      <c r="AB11" s="19" t="s">
        <v>554</v>
      </c>
      <c r="AC11" s="19" t="s">
        <v>554</v>
      </c>
      <c r="AD11" s="19" t="s">
        <v>554</v>
      </c>
      <c r="AE11" s="19" t="s">
        <v>554</v>
      </c>
      <c r="AF11" s="19" t="s">
        <v>554</v>
      </c>
      <c r="AG11" s="19" t="s">
        <v>15</v>
      </c>
      <c r="AH11" s="19" t="s">
        <v>554</v>
      </c>
      <c r="AI11" s="19" t="s">
        <v>554</v>
      </c>
      <c r="AJ11" s="19">
        <f t="shared" si="0"/>
        <v>0</v>
      </c>
      <c r="AK11" s="16">
        <f t="shared" si="1"/>
        <v>30</v>
      </c>
      <c r="AL11" s="16">
        <f t="shared" si="2"/>
        <v>0</v>
      </c>
      <c r="AM11" s="38">
        <f t="shared" si="3"/>
        <v>0</v>
      </c>
      <c r="AN11" s="68">
        <v>550</v>
      </c>
      <c r="AO11" s="21">
        <v>100</v>
      </c>
      <c r="AP11" s="21">
        <v>250</v>
      </c>
      <c r="AQ11" s="19">
        <f t="shared" si="9"/>
        <v>550</v>
      </c>
      <c r="AR11" s="19">
        <f t="shared" si="10"/>
        <v>100</v>
      </c>
      <c r="AS11" s="19">
        <f t="shared" si="11"/>
        <v>250</v>
      </c>
      <c r="AT11" s="19">
        <f t="shared" si="12"/>
        <v>0</v>
      </c>
      <c r="AU11" s="19">
        <f t="shared" si="13"/>
        <v>0</v>
      </c>
      <c r="AV11" s="19">
        <f t="shared" si="14"/>
        <v>0</v>
      </c>
      <c r="AW11" s="19">
        <v>0</v>
      </c>
      <c r="AX11" s="19">
        <f t="shared" si="5"/>
        <v>900</v>
      </c>
      <c r="AY11" s="19">
        <v>0</v>
      </c>
      <c r="AZ11" s="19">
        <v>0</v>
      </c>
      <c r="BA11" s="19">
        <f t="shared" si="15"/>
        <v>0</v>
      </c>
      <c r="BB11" s="19">
        <f t="shared" si="16"/>
        <v>900</v>
      </c>
      <c r="BC11" s="19">
        <v>0</v>
      </c>
      <c r="BD11" s="19">
        <v>0</v>
      </c>
      <c r="BE11" s="22">
        <f t="shared" si="17"/>
        <v>900</v>
      </c>
    </row>
    <row r="12" spans="1:58" s="25" customFormat="1" ht="18" customHeight="1" x14ac:dyDescent="0.25">
      <c r="A12" s="15">
        <v>9</v>
      </c>
      <c r="B12" s="47" t="s">
        <v>259</v>
      </c>
      <c r="C12" s="17" t="s">
        <v>267</v>
      </c>
      <c r="D12" s="16" t="s">
        <v>120</v>
      </c>
      <c r="E12" s="48">
        <v>45314</v>
      </c>
      <c r="F12" s="19" t="s">
        <v>554</v>
      </c>
      <c r="G12" s="19" t="s">
        <v>554</v>
      </c>
      <c r="H12" s="19" t="s">
        <v>554</v>
      </c>
      <c r="I12" s="19" t="s">
        <v>554</v>
      </c>
      <c r="J12" s="19" t="s">
        <v>603</v>
      </c>
      <c r="K12" s="19" t="s">
        <v>554</v>
      </c>
      <c r="L12" s="19" t="s">
        <v>15</v>
      </c>
      <c r="M12" s="19" t="s">
        <v>554</v>
      </c>
      <c r="N12" s="19" t="s">
        <v>554</v>
      </c>
      <c r="O12" s="19" t="s">
        <v>554</v>
      </c>
      <c r="P12" s="19" t="s">
        <v>554</v>
      </c>
      <c r="Q12" s="19" t="s">
        <v>554</v>
      </c>
      <c r="R12" s="19" t="s">
        <v>554</v>
      </c>
      <c r="S12" s="19" t="s">
        <v>15</v>
      </c>
      <c r="T12" s="19" t="s">
        <v>554</v>
      </c>
      <c r="U12" s="19" t="s">
        <v>554</v>
      </c>
      <c r="V12" s="19" t="s">
        <v>554</v>
      </c>
      <c r="W12" s="19" t="s">
        <v>554</v>
      </c>
      <c r="X12" s="19" t="s">
        <v>554</v>
      </c>
      <c r="Y12" s="19" t="s">
        <v>554</v>
      </c>
      <c r="Z12" s="19" t="s">
        <v>15</v>
      </c>
      <c r="AA12" s="19" t="s">
        <v>554</v>
      </c>
      <c r="AB12" s="19" t="s">
        <v>554</v>
      </c>
      <c r="AC12" s="19" t="s">
        <v>554</v>
      </c>
      <c r="AD12" s="19" t="s">
        <v>554</v>
      </c>
      <c r="AE12" s="19" t="s">
        <v>554</v>
      </c>
      <c r="AF12" s="19" t="s">
        <v>554</v>
      </c>
      <c r="AG12" s="19" t="s">
        <v>15</v>
      </c>
      <c r="AH12" s="19" t="s">
        <v>554</v>
      </c>
      <c r="AI12" s="19" t="s">
        <v>554</v>
      </c>
      <c r="AJ12" s="19">
        <f t="shared" si="0"/>
        <v>0</v>
      </c>
      <c r="AK12" s="16">
        <f t="shared" si="1"/>
        <v>30</v>
      </c>
      <c r="AL12" s="16">
        <f t="shared" si="2"/>
        <v>0</v>
      </c>
      <c r="AM12" s="38">
        <f t="shared" si="3"/>
        <v>0</v>
      </c>
      <c r="AN12" s="68">
        <v>550</v>
      </c>
      <c r="AO12" s="21">
        <v>100</v>
      </c>
      <c r="AP12" s="21">
        <v>250</v>
      </c>
      <c r="AQ12" s="19">
        <f t="shared" si="9"/>
        <v>550</v>
      </c>
      <c r="AR12" s="19">
        <f t="shared" si="10"/>
        <v>100</v>
      </c>
      <c r="AS12" s="19">
        <f t="shared" si="11"/>
        <v>250</v>
      </c>
      <c r="AT12" s="19">
        <f t="shared" si="12"/>
        <v>0</v>
      </c>
      <c r="AU12" s="19">
        <f t="shared" si="13"/>
        <v>0</v>
      </c>
      <c r="AV12" s="19">
        <f t="shared" si="14"/>
        <v>0</v>
      </c>
      <c r="AW12" s="19">
        <v>0</v>
      </c>
      <c r="AX12" s="19">
        <f t="shared" si="5"/>
        <v>900</v>
      </c>
      <c r="AY12" s="19">
        <v>0</v>
      </c>
      <c r="AZ12" s="19">
        <v>0</v>
      </c>
      <c r="BA12" s="19">
        <f t="shared" si="15"/>
        <v>0</v>
      </c>
      <c r="BB12" s="19">
        <f t="shared" si="16"/>
        <v>900</v>
      </c>
      <c r="BC12" s="19">
        <v>0</v>
      </c>
      <c r="BD12" s="19">
        <v>0</v>
      </c>
      <c r="BE12" s="22">
        <f t="shared" si="17"/>
        <v>900</v>
      </c>
    </row>
    <row r="13" spans="1:58" s="25" customFormat="1" ht="18" customHeight="1" x14ac:dyDescent="0.25">
      <c r="A13" s="15">
        <v>10</v>
      </c>
      <c r="B13" s="47" t="s">
        <v>261</v>
      </c>
      <c r="C13" s="17" t="s">
        <v>269</v>
      </c>
      <c r="D13" s="16" t="s">
        <v>120</v>
      </c>
      <c r="E13" s="48">
        <v>45314</v>
      </c>
      <c r="F13" s="19" t="s">
        <v>554</v>
      </c>
      <c r="G13" s="19" t="s">
        <v>554</v>
      </c>
      <c r="H13" s="19" t="s">
        <v>554</v>
      </c>
      <c r="I13" s="19" t="s">
        <v>554</v>
      </c>
      <c r="J13" s="19" t="s">
        <v>603</v>
      </c>
      <c r="K13" s="19" t="s">
        <v>554</v>
      </c>
      <c r="L13" s="19" t="s">
        <v>15</v>
      </c>
      <c r="M13" s="19" t="s">
        <v>554</v>
      </c>
      <c r="N13" s="19" t="s">
        <v>554</v>
      </c>
      <c r="O13" s="19" t="s">
        <v>554</v>
      </c>
      <c r="P13" s="19" t="s">
        <v>554</v>
      </c>
      <c r="Q13" s="19" t="s">
        <v>554</v>
      </c>
      <c r="R13" s="19" t="s">
        <v>554</v>
      </c>
      <c r="S13" s="19" t="s">
        <v>15</v>
      </c>
      <c r="T13" s="19" t="s">
        <v>554</v>
      </c>
      <c r="U13" s="19" t="s">
        <v>554</v>
      </c>
      <c r="V13" s="19" t="s">
        <v>554</v>
      </c>
      <c r="W13" s="19" t="s">
        <v>554</v>
      </c>
      <c r="X13" s="19" t="s">
        <v>554</v>
      </c>
      <c r="Y13" s="19" t="s">
        <v>554</v>
      </c>
      <c r="Z13" s="19" t="s">
        <v>15</v>
      </c>
      <c r="AA13" s="19" t="s">
        <v>554</v>
      </c>
      <c r="AB13" s="19" t="s">
        <v>554</v>
      </c>
      <c r="AC13" s="19" t="s">
        <v>554</v>
      </c>
      <c r="AD13" s="19" t="s">
        <v>554</v>
      </c>
      <c r="AE13" s="19" t="s">
        <v>554</v>
      </c>
      <c r="AF13" s="19" t="s">
        <v>554</v>
      </c>
      <c r="AG13" s="19" t="s">
        <v>15</v>
      </c>
      <c r="AH13" s="19" t="s">
        <v>554</v>
      </c>
      <c r="AI13" s="19" t="s">
        <v>554</v>
      </c>
      <c r="AJ13" s="19">
        <f t="shared" si="0"/>
        <v>0</v>
      </c>
      <c r="AK13" s="16">
        <f t="shared" si="1"/>
        <v>30</v>
      </c>
      <c r="AL13" s="16">
        <f t="shared" si="2"/>
        <v>0</v>
      </c>
      <c r="AM13" s="38">
        <f t="shared" si="3"/>
        <v>0</v>
      </c>
      <c r="AN13" s="68">
        <v>550</v>
      </c>
      <c r="AO13" s="21">
        <v>100</v>
      </c>
      <c r="AP13" s="21">
        <v>250</v>
      </c>
      <c r="AQ13" s="19">
        <f t="shared" si="9"/>
        <v>550</v>
      </c>
      <c r="AR13" s="19">
        <f t="shared" si="10"/>
        <v>100</v>
      </c>
      <c r="AS13" s="19">
        <f t="shared" si="11"/>
        <v>250</v>
      </c>
      <c r="AT13" s="19">
        <f t="shared" si="12"/>
        <v>0</v>
      </c>
      <c r="AU13" s="19">
        <f t="shared" si="13"/>
        <v>0</v>
      </c>
      <c r="AV13" s="19">
        <f t="shared" si="14"/>
        <v>0</v>
      </c>
      <c r="AW13" s="19">
        <v>0</v>
      </c>
      <c r="AX13" s="19">
        <f t="shared" si="5"/>
        <v>900</v>
      </c>
      <c r="AY13" s="19">
        <v>0</v>
      </c>
      <c r="AZ13" s="19">
        <v>0</v>
      </c>
      <c r="BA13" s="19">
        <f t="shared" si="15"/>
        <v>0</v>
      </c>
      <c r="BB13" s="19">
        <f t="shared" si="16"/>
        <v>900</v>
      </c>
      <c r="BC13" s="19">
        <v>0</v>
      </c>
      <c r="BD13" s="19">
        <v>0</v>
      </c>
      <c r="BE13" s="22">
        <f t="shared" si="17"/>
        <v>900</v>
      </c>
    </row>
    <row r="14" spans="1:58" s="25" customFormat="1" ht="18" customHeight="1" x14ac:dyDescent="0.25">
      <c r="A14" s="15">
        <v>11</v>
      </c>
      <c r="B14" s="47" t="s">
        <v>262</v>
      </c>
      <c r="C14" s="17" t="s">
        <v>270</v>
      </c>
      <c r="D14" s="16" t="s">
        <v>120</v>
      </c>
      <c r="E14" s="48">
        <v>45314</v>
      </c>
      <c r="F14" s="19" t="s">
        <v>554</v>
      </c>
      <c r="G14" s="19" t="s">
        <v>554</v>
      </c>
      <c r="H14" s="19" t="s">
        <v>554</v>
      </c>
      <c r="I14" s="19" t="s">
        <v>554</v>
      </c>
      <c r="J14" s="19" t="s">
        <v>603</v>
      </c>
      <c r="K14" s="19" t="s">
        <v>554</v>
      </c>
      <c r="L14" s="19" t="s">
        <v>15</v>
      </c>
      <c r="M14" s="19" t="s">
        <v>554</v>
      </c>
      <c r="N14" s="19" t="s">
        <v>554</v>
      </c>
      <c r="O14" s="19" t="s">
        <v>554</v>
      </c>
      <c r="P14" s="19" t="s">
        <v>554</v>
      </c>
      <c r="Q14" s="19" t="s">
        <v>554</v>
      </c>
      <c r="R14" s="19" t="s">
        <v>554</v>
      </c>
      <c r="S14" s="19" t="s">
        <v>15</v>
      </c>
      <c r="T14" s="19" t="s">
        <v>554</v>
      </c>
      <c r="U14" s="19" t="s">
        <v>554</v>
      </c>
      <c r="V14" s="19" t="s">
        <v>554</v>
      </c>
      <c r="W14" s="19" t="s">
        <v>554</v>
      </c>
      <c r="X14" s="19" t="s">
        <v>554</v>
      </c>
      <c r="Y14" s="19" t="s">
        <v>554</v>
      </c>
      <c r="Z14" s="19" t="s">
        <v>15</v>
      </c>
      <c r="AA14" s="19" t="s">
        <v>554</v>
      </c>
      <c r="AB14" s="19" t="s">
        <v>554</v>
      </c>
      <c r="AC14" s="19" t="s">
        <v>554</v>
      </c>
      <c r="AD14" s="19" t="s">
        <v>554</v>
      </c>
      <c r="AE14" s="19" t="s">
        <v>554</v>
      </c>
      <c r="AF14" s="19" t="s">
        <v>554</v>
      </c>
      <c r="AG14" s="19" t="s">
        <v>15</v>
      </c>
      <c r="AH14" s="19" t="s">
        <v>554</v>
      </c>
      <c r="AI14" s="19" t="s">
        <v>554</v>
      </c>
      <c r="AJ14" s="19">
        <f t="shared" si="0"/>
        <v>0</v>
      </c>
      <c r="AK14" s="16">
        <f t="shared" si="1"/>
        <v>30</v>
      </c>
      <c r="AL14" s="16">
        <f t="shared" si="2"/>
        <v>0</v>
      </c>
      <c r="AM14" s="38">
        <f t="shared" si="3"/>
        <v>0</v>
      </c>
      <c r="AN14" s="68">
        <v>550</v>
      </c>
      <c r="AO14" s="21">
        <v>100</v>
      </c>
      <c r="AP14" s="21">
        <v>250</v>
      </c>
      <c r="AQ14" s="19">
        <f t="shared" si="9"/>
        <v>550</v>
      </c>
      <c r="AR14" s="19">
        <f t="shared" si="10"/>
        <v>100</v>
      </c>
      <c r="AS14" s="19">
        <f t="shared" si="11"/>
        <v>250</v>
      </c>
      <c r="AT14" s="19">
        <f t="shared" si="12"/>
        <v>0</v>
      </c>
      <c r="AU14" s="19">
        <f t="shared" si="13"/>
        <v>0</v>
      </c>
      <c r="AV14" s="19">
        <f t="shared" si="14"/>
        <v>0</v>
      </c>
      <c r="AW14" s="19">
        <v>0</v>
      </c>
      <c r="AX14" s="19">
        <f t="shared" si="5"/>
        <v>900</v>
      </c>
      <c r="AY14" s="19">
        <v>0</v>
      </c>
      <c r="AZ14" s="19">
        <v>0</v>
      </c>
      <c r="BA14" s="19">
        <f t="shared" si="15"/>
        <v>0</v>
      </c>
      <c r="BB14" s="19">
        <f t="shared" si="16"/>
        <v>900</v>
      </c>
      <c r="BC14" s="19">
        <v>0</v>
      </c>
      <c r="BD14" s="19">
        <v>0</v>
      </c>
      <c r="BE14" s="22">
        <f t="shared" si="17"/>
        <v>900</v>
      </c>
    </row>
    <row r="15" spans="1:58" s="25" customFormat="1" ht="18" customHeight="1" x14ac:dyDescent="0.25">
      <c r="A15" s="15">
        <v>12</v>
      </c>
      <c r="B15" s="47" t="s">
        <v>265</v>
      </c>
      <c r="C15" s="17" t="s">
        <v>273</v>
      </c>
      <c r="D15" s="16" t="s">
        <v>120</v>
      </c>
      <c r="E15" s="48">
        <v>45314</v>
      </c>
      <c r="F15" s="19" t="s">
        <v>554</v>
      </c>
      <c r="G15" s="19" t="s">
        <v>554</v>
      </c>
      <c r="H15" s="19" t="s">
        <v>554</v>
      </c>
      <c r="I15" s="19" t="s">
        <v>554</v>
      </c>
      <c r="J15" s="19" t="s">
        <v>603</v>
      </c>
      <c r="K15" s="19" t="s">
        <v>554</v>
      </c>
      <c r="L15" s="19" t="s">
        <v>15</v>
      </c>
      <c r="M15" s="19" t="s">
        <v>554</v>
      </c>
      <c r="N15" s="19" t="s">
        <v>554</v>
      </c>
      <c r="O15" s="19" t="s">
        <v>554</v>
      </c>
      <c r="P15" s="19" t="s">
        <v>554</v>
      </c>
      <c r="Q15" s="19" t="s">
        <v>554</v>
      </c>
      <c r="R15" s="19" t="s">
        <v>554</v>
      </c>
      <c r="S15" s="19" t="s">
        <v>15</v>
      </c>
      <c r="T15" s="19" t="s">
        <v>554</v>
      </c>
      <c r="U15" s="19" t="s">
        <v>554</v>
      </c>
      <c r="V15" s="19" t="s">
        <v>554</v>
      </c>
      <c r="W15" s="19" t="s">
        <v>554</v>
      </c>
      <c r="X15" s="19" t="s">
        <v>554</v>
      </c>
      <c r="Y15" s="19" t="s">
        <v>554</v>
      </c>
      <c r="Z15" s="19" t="s">
        <v>15</v>
      </c>
      <c r="AA15" s="19" t="s">
        <v>554</v>
      </c>
      <c r="AB15" s="19" t="s">
        <v>554</v>
      </c>
      <c r="AC15" s="19" t="s">
        <v>554</v>
      </c>
      <c r="AD15" s="19" t="s">
        <v>554</v>
      </c>
      <c r="AE15" s="19" t="s">
        <v>554</v>
      </c>
      <c r="AF15" s="19" t="s">
        <v>554</v>
      </c>
      <c r="AG15" s="19" t="s">
        <v>15</v>
      </c>
      <c r="AH15" s="19" t="s">
        <v>554</v>
      </c>
      <c r="AI15" s="19" t="s">
        <v>554</v>
      </c>
      <c r="AJ15" s="19">
        <f t="shared" si="0"/>
        <v>0</v>
      </c>
      <c r="AK15" s="16">
        <f t="shared" si="1"/>
        <v>30</v>
      </c>
      <c r="AL15" s="16">
        <f t="shared" si="2"/>
        <v>0</v>
      </c>
      <c r="AM15" s="38">
        <f t="shared" si="3"/>
        <v>0</v>
      </c>
      <c r="AN15" s="68">
        <v>550</v>
      </c>
      <c r="AO15" s="21">
        <v>100</v>
      </c>
      <c r="AP15" s="21">
        <v>250</v>
      </c>
      <c r="AQ15" s="19">
        <f t="shared" si="9"/>
        <v>550</v>
      </c>
      <c r="AR15" s="19">
        <f t="shared" si="10"/>
        <v>100</v>
      </c>
      <c r="AS15" s="19">
        <f t="shared" si="11"/>
        <v>250</v>
      </c>
      <c r="AT15" s="19">
        <f t="shared" si="12"/>
        <v>0</v>
      </c>
      <c r="AU15" s="19">
        <f t="shared" si="13"/>
        <v>0</v>
      </c>
      <c r="AV15" s="19">
        <f t="shared" si="14"/>
        <v>0</v>
      </c>
      <c r="AW15" s="19">
        <v>0</v>
      </c>
      <c r="AX15" s="19">
        <f t="shared" si="5"/>
        <v>900</v>
      </c>
      <c r="AY15" s="19">
        <v>0</v>
      </c>
      <c r="AZ15" s="19">
        <v>0</v>
      </c>
      <c r="BA15" s="19">
        <f t="shared" si="15"/>
        <v>0</v>
      </c>
      <c r="BB15" s="19">
        <f t="shared" si="16"/>
        <v>900</v>
      </c>
      <c r="BC15" s="19">
        <v>0</v>
      </c>
      <c r="BD15" s="19">
        <v>0</v>
      </c>
      <c r="BE15" s="22">
        <f t="shared" si="17"/>
        <v>900</v>
      </c>
    </row>
    <row r="16" spans="1:58" s="25" customFormat="1" ht="18" customHeight="1" x14ac:dyDescent="0.25">
      <c r="A16" s="15">
        <v>13</v>
      </c>
      <c r="B16" s="47" t="s">
        <v>278</v>
      </c>
      <c r="C16" s="17" t="s">
        <v>289</v>
      </c>
      <c r="D16" s="16" t="s">
        <v>120</v>
      </c>
      <c r="E16" s="48">
        <v>45329</v>
      </c>
      <c r="F16" s="19" t="s">
        <v>554</v>
      </c>
      <c r="G16" s="19" t="s">
        <v>554</v>
      </c>
      <c r="H16" s="19" t="s">
        <v>554</v>
      </c>
      <c r="I16" s="19" t="s">
        <v>554</v>
      </c>
      <c r="J16" s="19" t="s">
        <v>603</v>
      </c>
      <c r="K16" s="19" t="s">
        <v>554</v>
      </c>
      <c r="L16" s="19" t="s">
        <v>15</v>
      </c>
      <c r="M16" s="19" t="s">
        <v>554</v>
      </c>
      <c r="N16" s="19" t="s">
        <v>554</v>
      </c>
      <c r="O16" s="19" t="s">
        <v>554</v>
      </c>
      <c r="P16" s="19" t="s">
        <v>554</v>
      </c>
      <c r="Q16" s="19" t="s">
        <v>554</v>
      </c>
      <c r="R16" s="19" t="s">
        <v>554</v>
      </c>
      <c r="S16" s="19" t="s">
        <v>15</v>
      </c>
      <c r="T16" s="19" t="s">
        <v>554</v>
      </c>
      <c r="U16" s="19" t="s">
        <v>554</v>
      </c>
      <c r="V16" s="19" t="s">
        <v>554</v>
      </c>
      <c r="W16" s="19" t="s">
        <v>554</v>
      </c>
      <c r="X16" s="19" t="s">
        <v>554</v>
      </c>
      <c r="Y16" s="19" t="s">
        <v>554</v>
      </c>
      <c r="Z16" s="19" t="s">
        <v>15</v>
      </c>
      <c r="AA16" s="19" t="s">
        <v>554</v>
      </c>
      <c r="AB16" s="19" t="s">
        <v>554</v>
      </c>
      <c r="AC16" s="19" t="s">
        <v>554</v>
      </c>
      <c r="AD16" s="19" t="s">
        <v>554</v>
      </c>
      <c r="AE16" s="19" t="s">
        <v>554</v>
      </c>
      <c r="AF16" s="19" t="s">
        <v>554</v>
      </c>
      <c r="AG16" s="19" t="s">
        <v>15</v>
      </c>
      <c r="AH16" s="19" t="s">
        <v>554</v>
      </c>
      <c r="AI16" s="19" t="s">
        <v>554</v>
      </c>
      <c r="AJ16" s="19">
        <f t="shared" si="0"/>
        <v>0</v>
      </c>
      <c r="AK16" s="16">
        <f t="shared" si="1"/>
        <v>30</v>
      </c>
      <c r="AL16" s="16">
        <f t="shared" si="2"/>
        <v>0</v>
      </c>
      <c r="AM16" s="38">
        <f t="shared" si="3"/>
        <v>0</v>
      </c>
      <c r="AN16" s="68">
        <v>550</v>
      </c>
      <c r="AO16" s="21">
        <v>100</v>
      </c>
      <c r="AP16" s="21">
        <v>250</v>
      </c>
      <c r="AQ16" s="19">
        <f t="shared" si="9"/>
        <v>550</v>
      </c>
      <c r="AR16" s="19">
        <f t="shared" si="10"/>
        <v>100</v>
      </c>
      <c r="AS16" s="19">
        <f t="shared" si="11"/>
        <v>250</v>
      </c>
      <c r="AT16" s="19">
        <f t="shared" si="12"/>
        <v>0</v>
      </c>
      <c r="AU16" s="19">
        <f t="shared" si="13"/>
        <v>0</v>
      </c>
      <c r="AV16" s="19">
        <f t="shared" si="14"/>
        <v>0</v>
      </c>
      <c r="AW16" s="19">
        <v>0</v>
      </c>
      <c r="AX16" s="19">
        <f t="shared" si="5"/>
        <v>900</v>
      </c>
      <c r="AY16" s="19">
        <v>0</v>
      </c>
      <c r="AZ16" s="19">
        <v>0</v>
      </c>
      <c r="BA16" s="19">
        <f t="shared" si="15"/>
        <v>0</v>
      </c>
      <c r="BB16" s="19">
        <f t="shared" si="16"/>
        <v>900</v>
      </c>
      <c r="BC16" s="19">
        <v>0</v>
      </c>
      <c r="BD16" s="19">
        <v>0</v>
      </c>
      <c r="BE16" s="22">
        <f t="shared" si="17"/>
        <v>900</v>
      </c>
    </row>
    <row r="17" spans="1:58" s="25" customFormat="1" ht="18" customHeight="1" x14ac:dyDescent="0.25">
      <c r="A17" s="15">
        <v>14</v>
      </c>
      <c r="B17" s="47" t="s">
        <v>279</v>
      </c>
      <c r="C17" s="17" t="s">
        <v>290</v>
      </c>
      <c r="D17" s="16" t="s">
        <v>120</v>
      </c>
      <c r="E17" s="48">
        <v>45329</v>
      </c>
      <c r="F17" s="19" t="s">
        <v>554</v>
      </c>
      <c r="G17" s="19" t="s">
        <v>554</v>
      </c>
      <c r="H17" s="19" t="s">
        <v>554</v>
      </c>
      <c r="I17" s="19" t="s">
        <v>554</v>
      </c>
      <c r="J17" s="19" t="s">
        <v>603</v>
      </c>
      <c r="K17" s="19" t="s">
        <v>554</v>
      </c>
      <c r="L17" s="19" t="s">
        <v>15</v>
      </c>
      <c r="M17" s="19" t="s">
        <v>554</v>
      </c>
      <c r="N17" s="19" t="s">
        <v>554</v>
      </c>
      <c r="O17" s="19" t="s">
        <v>554</v>
      </c>
      <c r="P17" s="19" t="s">
        <v>554</v>
      </c>
      <c r="Q17" s="19" t="s">
        <v>554</v>
      </c>
      <c r="R17" s="19" t="s">
        <v>554</v>
      </c>
      <c r="S17" s="19" t="s">
        <v>15</v>
      </c>
      <c r="T17" s="19" t="s">
        <v>554</v>
      </c>
      <c r="U17" s="19" t="s">
        <v>554</v>
      </c>
      <c r="V17" s="19" t="s">
        <v>554</v>
      </c>
      <c r="W17" s="19" t="s">
        <v>554</v>
      </c>
      <c r="X17" s="19" t="s">
        <v>554</v>
      </c>
      <c r="Y17" s="19" t="s">
        <v>554</v>
      </c>
      <c r="Z17" s="19" t="s">
        <v>15</v>
      </c>
      <c r="AA17" s="19" t="s">
        <v>554</v>
      </c>
      <c r="AB17" s="19" t="s">
        <v>554</v>
      </c>
      <c r="AC17" s="19" t="s">
        <v>554</v>
      </c>
      <c r="AD17" s="19" t="s">
        <v>554</v>
      </c>
      <c r="AE17" s="19" t="s">
        <v>554</v>
      </c>
      <c r="AF17" s="19" t="s">
        <v>554</v>
      </c>
      <c r="AG17" s="19" t="s">
        <v>15</v>
      </c>
      <c r="AH17" s="19" t="s">
        <v>554</v>
      </c>
      <c r="AI17" s="19" t="s">
        <v>554</v>
      </c>
      <c r="AJ17" s="19">
        <f t="shared" si="0"/>
        <v>0</v>
      </c>
      <c r="AK17" s="16">
        <f t="shared" si="1"/>
        <v>30</v>
      </c>
      <c r="AL17" s="16">
        <f t="shared" si="2"/>
        <v>0</v>
      </c>
      <c r="AM17" s="38">
        <f t="shared" si="3"/>
        <v>0</v>
      </c>
      <c r="AN17" s="68">
        <v>550</v>
      </c>
      <c r="AO17" s="21">
        <v>100</v>
      </c>
      <c r="AP17" s="21">
        <v>250</v>
      </c>
      <c r="AQ17" s="19">
        <f t="shared" si="9"/>
        <v>550</v>
      </c>
      <c r="AR17" s="19">
        <f t="shared" si="10"/>
        <v>100</v>
      </c>
      <c r="AS17" s="19">
        <f t="shared" si="11"/>
        <v>250</v>
      </c>
      <c r="AT17" s="19">
        <f t="shared" si="12"/>
        <v>0</v>
      </c>
      <c r="AU17" s="19">
        <f t="shared" si="13"/>
        <v>0</v>
      </c>
      <c r="AV17" s="19">
        <f t="shared" si="14"/>
        <v>0</v>
      </c>
      <c r="AW17" s="19">
        <v>0</v>
      </c>
      <c r="AX17" s="19">
        <f t="shared" si="5"/>
        <v>900</v>
      </c>
      <c r="AY17" s="19">
        <v>0</v>
      </c>
      <c r="AZ17" s="19">
        <v>0</v>
      </c>
      <c r="BA17" s="19">
        <f t="shared" si="15"/>
        <v>0</v>
      </c>
      <c r="BB17" s="19">
        <f t="shared" si="16"/>
        <v>900</v>
      </c>
      <c r="BC17" s="19">
        <v>0</v>
      </c>
      <c r="BD17" s="19">
        <v>0</v>
      </c>
      <c r="BE17" s="22">
        <f t="shared" si="17"/>
        <v>900</v>
      </c>
    </row>
    <row r="18" spans="1:58" s="25" customFormat="1" ht="18" customHeight="1" x14ac:dyDescent="0.25">
      <c r="A18" s="15">
        <v>15</v>
      </c>
      <c r="B18" s="47" t="s">
        <v>281</v>
      </c>
      <c r="C18" s="17" t="s">
        <v>292</v>
      </c>
      <c r="D18" s="16" t="s">
        <v>120</v>
      </c>
      <c r="E18" s="48">
        <v>45330</v>
      </c>
      <c r="F18" s="19" t="s">
        <v>554</v>
      </c>
      <c r="G18" s="19" t="s">
        <v>554</v>
      </c>
      <c r="H18" s="19" t="s">
        <v>554</v>
      </c>
      <c r="I18" s="19" t="s">
        <v>554</v>
      </c>
      <c r="J18" s="19" t="s">
        <v>603</v>
      </c>
      <c r="K18" s="19" t="s">
        <v>554</v>
      </c>
      <c r="L18" s="19" t="s">
        <v>15</v>
      </c>
      <c r="M18" s="19" t="s">
        <v>554</v>
      </c>
      <c r="N18" s="19" t="s">
        <v>554</v>
      </c>
      <c r="O18" s="19" t="s">
        <v>554</v>
      </c>
      <c r="P18" s="19" t="s">
        <v>554</v>
      </c>
      <c r="Q18" s="19" t="s">
        <v>554</v>
      </c>
      <c r="R18" s="19" t="s">
        <v>554</v>
      </c>
      <c r="S18" s="19" t="s">
        <v>15</v>
      </c>
      <c r="T18" s="19" t="s">
        <v>554</v>
      </c>
      <c r="U18" s="19" t="s">
        <v>554</v>
      </c>
      <c r="V18" s="19" t="s">
        <v>554</v>
      </c>
      <c r="W18" s="19" t="s">
        <v>554</v>
      </c>
      <c r="X18" s="19" t="s">
        <v>554</v>
      </c>
      <c r="Y18" s="19" t="s">
        <v>554</v>
      </c>
      <c r="Z18" s="19" t="s">
        <v>15</v>
      </c>
      <c r="AA18" s="19" t="s">
        <v>554</v>
      </c>
      <c r="AB18" s="19" t="s">
        <v>554</v>
      </c>
      <c r="AC18" s="19" t="s">
        <v>554</v>
      </c>
      <c r="AD18" s="19" t="s">
        <v>554</v>
      </c>
      <c r="AE18" s="19" t="s">
        <v>554</v>
      </c>
      <c r="AF18" s="19" t="s">
        <v>554</v>
      </c>
      <c r="AG18" s="19" t="s">
        <v>15</v>
      </c>
      <c r="AH18" s="19" t="s">
        <v>554</v>
      </c>
      <c r="AI18" s="19" t="s">
        <v>554</v>
      </c>
      <c r="AJ18" s="19">
        <f t="shared" si="0"/>
        <v>0</v>
      </c>
      <c r="AK18" s="16">
        <f t="shared" si="1"/>
        <v>30</v>
      </c>
      <c r="AL18" s="16">
        <f t="shared" si="2"/>
        <v>0</v>
      </c>
      <c r="AM18" s="38">
        <f t="shared" si="3"/>
        <v>0</v>
      </c>
      <c r="AN18" s="68">
        <v>550</v>
      </c>
      <c r="AO18" s="21">
        <v>100</v>
      </c>
      <c r="AP18" s="21">
        <v>250</v>
      </c>
      <c r="AQ18" s="19">
        <f t="shared" si="9"/>
        <v>550</v>
      </c>
      <c r="AR18" s="19">
        <f t="shared" si="10"/>
        <v>100</v>
      </c>
      <c r="AS18" s="19">
        <f t="shared" si="11"/>
        <v>250</v>
      </c>
      <c r="AT18" s="19">
        <f t="shared" si="12"/>
        <v>0</v>
      </c>
      <c r="AU18" s="19">
        <f t="shared" si="13"/>
        <v>0</v>
      </c>
      <c r="AV18" s="19">
        <f t="shared" si="14"/>
        <v>0</v>
      </c>
      <c r="AW18" s="19">
        <v>0</v>
      </c>
      <c r="AX18" s="19">
        <f t="shared" si="5"/>
        <v>900</v>
      </c>
      <c r="AY18" s="19">
        <v>0</v>
      </c>
      <c r="AZ18" s="19">
        <v>0</v>
      </c>
      <c r="BA18" s="19">
        <f t="shared" si="15"/>
        <v>0</v>
      </c>
      <c r="BB18" s="19">
        <f t="shared" si="16"/>
        <v>900</v>
      </c>
      <c r="BC18" s="19">
        <v>0</v>
      </c>
      <c r="BD18" s="19">
        <v>0</v>
      </c>
      <c r="BE18" s="22">
        <f t="shared" si="17"/>
        <v>900</v>
      </c>
    </row>
    <row r="19" spans="1:58" s="25" customFormat="1" ht="18" customHeight="1" x14ac:dyDescent="0.25">
      <c r="A19" s="15">
        <v>16</v>
      </c>
      <c r="B19" s="47" t="s">
        <v>277</v>
      </c>
      <c r="C19" s="17" t="s">
        <v>294</v>
      </c>
      <c r="D19" s="16" t="s">
        <v>120</v>
      </c>
      <c r="E19" s="48">
        <v>45330</v>
      </c>
      <c r="F19" s="19" t="s">
        <v>554</v>
      </c>
      <c r="G19" s="19" t="s">
        <v>554</v>
      </c>
      <c r="H19" s="19" t="s">
        <v>554</v>
      </c>
      <c r="I19" s="19" t="s">
        <v>554</v>
      </c>
      <c r="J19" s="19" t="s">
        <v>603</v>
      </c>
      <c r="K19" s="19" t="s">
        <v>554</v>
      </c>
      <c r="L19" s="19" t="s">
        <v>15</v>
      </c>
      <c r="M19" s="19" t="s">
        <v>554</v>
      </c>
      <c r="N19" s="19" t="s">
        <v>554</v>
      </c>
      <c r="O19" s="19" t="s">
        <v>554</v>
      </c>
      <c r="P19" s="19" t="s">
        <v>554</v>
      </c>
      <c r="Q19" s="19" t="s">
        <v>554</v>
      </c>
      <c r="R19" s="19" t="s">
        <v>554</v>
      </c>
      <c r="S19" s="19" t="s">
        <v>15</v>
      </c>
      <c r="T19" s="19" t="s">
        <v>554</v>
      </c>
      <c r="U19" s="19" t="s">
        <v>554</v>
      </c>
      <c r="V19" s="19" t="s">
        <v>554</v>
      </c>
      <c r="W19" s="19" t="s">
        <v>554</v>
      </c>
      <c r="X19" s="19" t="s">
        <v>554</v>
      </c>
      <c r="Y19" s="19" t="s">
        <v>554</v>
      </c>
      <c r="Z19" s="19" t="s">
        <v>15</v>
      </c>
      <c r="AA19" s="19" t="s">
        <v>554</v>
      </c>
      <c r="AB19" s="19" t="s">
        <v>554</v>
      </c>
      <c r="AC19" s="19" t="s">
        <v>554</v>
      </c>
      <c r="AD19" s="19" t="s">
        <v>554</v>
      </c>
      <c r="AE19" s="19" t="s">
        <v>554</v>
      </c>
      <c r="AF19" s="19" t="s">
        <v>554</v>
      </c>
      <c r="AG19" s="19" t="s">
        <v>15</v>
      </c>
      <c r="AH19" s="19" t="s">
        <v>554</v>
      </c>
      <c r="AI19" s="19" t="s">
        <v>554</v>
      </c>
      <c r="AJ19" s="19">
        <f t="shared" si="0"/>
        <v>0</v>
      </c>
      <c r="AK19" s="16">
        <f t="shared" si="1"/>
        <v>30</v>
      </c>
      <c r="AL19" s="16">
        <f t="shared" si="2"/>
        <v>0</v>
      </c>
      <c r="AM19" s="38">
        <f t="shared" si="3"/>
        <v>0</v>
      </c>
      <c r="AN19" s="68">
        <v>550</v>
      </c>
      <c r="AO19" s="21">
        <v>100</v>
      </c>
      <c r="AP19" s="21">
        <v>250</v>
      </c>
      <c r="AQ19" s="19">
        <f t="shared" si="9"/>
        <v>550</v>
      </c>
      <c r="AR19" s="19">
        <f t="shared" si="10"/>
        <v>100</v>
      </c>
      <c r="AS19" s="19">
        <f t="shared" si="11"/>
        <v>250</v>
      </c>
      <c r="AT19" s="19">
        <f t="shared" si="12"/>
        <v>0</v>
      </c>
      <c r="AU19" s="19">
        <f t="shared" si="13"/>
        <v>0</v>
      </c>
      <c r="AV19" s="19">
        <f t="shared" si="14"/>
        <v>0</v>
      </c>
      <c r="AW19" s="19">
        <v>0</v>
      </c>
      <c r="AX19" s="19">
        <f t="shared" si="5"/>
        <v>900</v>
      </c>
      <c r="AY19" s="19">
        <v>0</v>
      </c>
      <c r="AZ19" s="19">
        <v>0</v>
      </c>
      <c r="BA19" s="19">
        <f t="shared" si="15"/>
        <v>0</v>
      </c>
      <c r="BB19" s="19">
        <f t="shared" si="16"/>
        <v>900</v>
      </c>
      <c r="BC19" s="19">
        <v>0</v>
      </c>
      <c r="BD19" s="19">
        <v>0</v>
      </c>
      <c r="BE19" s="22">
        <f t="shared" si="17"/>
        <v>900</v>
      </c>
    </row>
    <row r="20" spans="1:58" s="25" customFormat="1" ht="18" customHeight="1" x14ac:dyDescent="0.25">
      <c r="A20" s="15">
        <v>17</v>
      </c>
      <c r="B20" s="47" t="s">
        <v>283</v>
      </c>
      <c r="C20" s="17" t="s">
        <v>295</v>
      </c>
      <c r="D20" s="16" t="s">
        <v>120</v>
      </c>
      <c r="E20" s="48">
        <v>45334</v>
      </c>
      <c r="F20" s="19" t="s">
        <v>554</v>
      </c>
      <c r="G20" s="19" t="s">
        <v>554</v>
      </c>
      <c r="H20" s="19" t="s">
        <v>554</v>
      </c>
      <c r="I20" s="19" t="s">
        <v>554</v>
      </c>
      <c r="J20" s="19" t="s">
        <v>603</v>
      </c>
      <c r="K20" s="19" t="s">
        <v>554</v>
      </c>
      <c r="L20" s="19" t="s">
        <v>15</v>
      </c>
      <c r="M20" s="19" t="s">
        <v>554</v>
      </c>
      <c r="N20" s="19" t="s">
        <v>554</v>
      </c>
      <c r="O20" s="19" t="s">
        <v>554</v>
      </c>
      <c r="P20" s="19" t="s">
        <v>554</v>
      </c>
      <c r="Q20" s="19" t="s">
        <v>554</v>
      </c>
      <c r="R20" s="19" t="s">
        <v>554</v>
      </c>
      <c r="S20" s="19" t="s">
        <v>15</v>
      </c>
      <c r="T20" s="19" t="s">
        <v>554</v>
      </c>
      <c r="U20" s="19" t="s">
        <v>554</v>
      </c>
      <c r="V20" s="19" t="s">
        <v>554</v>
      </c>
      <c r="W20" s="19" t="s">
        <v>554</v>
      </c>
      <c r="X20" s="19" t="s">
        <v>554</v>
      </c>
      <c r="Y20" s="19" t="s">
        <v>554</v>
      </c>
      <c r="Z20" s="19" t="s">
        <v>15</v>
      </c>
      <c r="AA20" s="19" t="s">
        <v>554</v>
      </c>
      <c r="AB20" s="19" t="s">
        <v>554</v>
      </c>
      <c r="AC20" s="19" t="s">
        <v>554</v>
      </c>
      <c r="AD20" s="19" t="s">
        <v>554</v>
      </c>
      <c r="AE20" s="19" t="s">
        <v>554</v>
      </c>
      <c r="AF20" s="19" t="s">
        <v>554</v>
      </c>
      <c r="AG20" s="19" t="s">
        <v>15</v>
      </c>
      <c r="AH20" s="19" t="s">
        <v>554</v>
      </c>
      <c r="AI20" s="19" t="s">
        <v>554</v>
      </c>
      <c r="AJ20" s="19">
        <f t="shared" si="0"/>
        <v>0</v>
      </c>
      <c r="AK20" s="16">
        <f t="shared" si="1"/>
        <v>30</v>
      </c>
      <c r="AL20" s="16">
        <f t="shared" si="2"/>
        <v>0</v>
      </c>
      <c r="AM20" s="38">
        <f t="shared" si="3"/>
        <v>0</v>
      </c>
      <c r="AN20" s="68">
        <v>550</v>
      </c>
      <c r="AO20" s="21">
        <v>100</v>
      </c>
      <c r="AP20" s="21">
        <v>250</v>
      </c>
      <c r="AQ20" s="19">
        <f t="shared" si="9"/>
        <v>550</v>
      </c>
      <c r="AR20" s="19">
        <f t="shared" si="10"/>
        <v>100</v>
      </c>
      <c r="AS20" s="19">
        <f t="shared" si="11"/>
        <v>250</v>
      </c>
      <c r="AT20" s="19">
        <f t="shared" si="12"/>
        <v>0</v>
      </c>
      <c r="AU20" s="19">
        <f t="shared" si="13"/>
        <v>0</v>
      </c>
      <c r="AV20" s="19">
        <f t="shared" si="14"/>
        <v>0</v>
      </c>
      <c r="AW20" s="19">
        <v>0</v>
      </c>
      <c r="AX20" s="19">
        <f t="shared" si="5"/>
        <v>900</v>
      </c>
      <c r="AY20" s="19">
        <v>0</v>
      </c>
      <c r="AZ20" s="19">
        <v>0</v>
      </c>
      <c r="BA20" s="19">
        <f t="shared" si="15"/>
        <v>0</v>
      </c>
      <c r="BB20" s="19">
        <f t="shared" si="16"/>
        <v>900</v>
      </c>
      <c r="BC20" s="19">
        <v>0</v>
      </c>
      <c r="BD20" s="19">
        <v>0</v>
      </c>
      <c r="BE20" s="22">
        <f t="shared" si="17"/>
        <v>900</v>
      </c>
    </row>
    <row r="21" spans="1:58" s="25" customFormat="1" ht="18" customHeight="1" x14ac:dyDescent="0.25">
      <c r="A21" s="15">
        <v>18</v>
      </c>
      <c r="B21" s="47" t="s">
        <v>286</v>
      </c>
      <c r="C21" s="17" t="s">
        <v>298</v>
      </c>
      <c r="D21" s="16" t="s">
        <v>120</v>
      </c>
      <c r="E21" s="48">
        <v>45341</v>
      </c>
      <c r="F21" s="19" t="s">
        <v>554</v>
      </c>
      <c r="G21" s="19" t="s">
        <v>554</v>
      </c>
      <c r="H21" s="19" t="s">
        <v>554</v>
      </c>
      <c r="I21" s="19" t="s">
        <v>554</v>
      </c>
      <c r="J21" s="19" t="s">
        <v>603</v>
      </c>
      <c r="K21" s="19" t="s">
        <v>554</v>
      </c>
      <c r="L21" s="19" t="s">
        <v>15</v>
      </c>
      <c r="M21" s="19" t="s">
        <v>554</v>
      </c>
      <c r="N21" s="19" t="s">
        <v>554</v>
      </c>
      <c r="O21" s="19" t="s">
        <v>554</v>
      </c>
      <c r="P21" s="19" t="s">
        <v>554</v>
      </c>
      <c r="Q21" s="19" t="s">
        <v>554</v>
      </c>
      <c r="R21" s="19" t="s">
        <v>554</v>
      </c>
      <c r="S21" s="19" t="s">
        <v>15</v>
      </c>
      <c r="T21" s="19" t="s">
        <v>554</v>
      </c>
      <c r="U21" s="19" t="s">
        <v>554</v>
      </c>
      <c r="V21" s="19" t="s">
        <v>554</v>
      </c>
      <c r="W21" s="19" t="s">
        <v>554</v>
      </c>
      <c r="X21" s="19" t="s">
        <v>554</v>
      </c>
      <c r="Y21" s="19" t="s">
        <v>554</v>
      </c>
      <c r="Z21" s="19" t="s">
        <v>15</v>
      </c>
      <c r="AA21" s="19" t="s">
        <v>554</v>
      </c>
      <c r="AB21" s="19" t="s">
        <v>554</v>
      </c>
      <c r="AC21" s="19" t="s">
        <v>554</v>
      </c>
      <c r="AD21" s="19" t="s">
        <v>554</v>
      </c>
      <c r="AE21" s="19" t="s">
        <v>554</v>
      </c>
      <c r="AF21" s="19" t="s">
        <v>554</v>
      </c>
      <c r="AG21" s="19" t="s">
        <v>15</v>
      </c>
      <c r="AH21" s="19" t="s">
        <v>554</v>
      </c>
      <c r="AI21" s="19" t="s">
        <v>554</v>
      </c>
      <c r="AJ21" s="19">
        <f t="shared" si="0"/>
        <v>0</v>
      </c>
      <c r="AK21" s="16">
        <f t="shared" si="1"/>
        <v>30</v>
      </c>
      <c r="AL21" s="16">
        <f t="shared" si="2"/>
        <v>0</v>
      </c>
      <c r="AM21" s="38">
        <f t="shared" si="3"/>
        <v>0</v>
      </c>
      <c r="AN21" s="68">
        <v>550</v>
      </c>
      <c r="AO21" s="21">
        <v>100</v>
      </c>
      <c r="AP21" s="21">
        <v>250</v>
      </c>
      <c r="AQ21" s="19">
        <f t="shared" si="9"/>
        <v>550</v>
      </c>
      <c r="AR21" s="19">
        <f t="shared" si="10"/>
        <v>100</v>
      </c>
      <c r="AS21" s="19">
        <f t="shared" si="11"/>
        <v>250</v>
      </c>
      <c r="AT21" s="19">
        <f t="shared" si="12"/>
        <v>0</v>
      </c>
      <c r="AU21" s="19">
        <f t="shared" si="13"/>
        <v>0</v>
      </c>
      <c r="AV21" s="19">
        <f t="shared" si="14"/>
        <v>0</v>
      </c>
      <c r="AW21" s="19">
        <v>0</v>
      </c>
      <c r="AX21" s="19">
        <f t="shared" si="5"/>
        <v>900</v>
      </c>
      <c r="AY21" s="19">
        <v>0</v>
      </c>
      <c r="AZ21" s="19">
        <v>0</v>
      </c>
      <c r="BA21" s="19">
        <f t="shared" si="15"/>
        <v>0</v>
      </c>
      <c r="BB21" s="19">
        <f t="shared" si="16"/>
        <v>900</v>
      </c>
      <c r="BC21" s="19">
        <v>0</v>
      </c>
      <c r="BD21" s="19">
        <v>0</v>
      </c>
      <c r="BE21" s="22">
        <f t="shared" si="17"/>
        <v>900</v>
      </c>
    </row>
    <row r="22" spans="1:58" s="25" customFormat="1" ht="18" customHeight="1" x14ac:dyDescent="0.25">
      <c r="A22" s="15">
        <v>19</v>
      </c>
      <c r="B22" s="47" t="s">
        <v>288</v>
      </c>
      <c r="C22" s="17" t="s">
        <v>300</v>
      </c>
      <c r="D22" s="16" t="s">
        <v>120</v>
      </c>
      <c r="E22" s="48">
        <v>45347</v>
      </c>
      <c r="F22" s="19" t="s">
        <v>554</v>
      </c>
      <c r="G22" s="19" t="s">
        <v>554</v>
      </c>
      <c r="H22" s="19" t="s">
        <v>554</v>
      </c>
      <c r="I22" s="19" t="s">
        <v>554</v>
      </c>
      <c r="J22" s="19" t="s">
        <v>603</v>
      </c>
      <c r="K22" s="19" t="s">
        <v>554</v>
      </c>
      <c r="L22" s="19" t="s">
        <v>15</v>
      </c>
      <c r="M22" s="19" t="s">
        <v>554</v>
      </c>
      <c r="N22" s="19" t="s">
        <v>554</v>
      </c>
      <c r="O22" s="19" t="s">
        <v>554</v>
      </c>
      <c r="P22" s="19" t="s">
        <v>554</v>
      </c>
      <c r="Q22" s="19" t="s">
        <v>554</v>
      </c>
      <c r="R22" s="19" t="s">
        <v>554</v>
      </c>
      <c r="S22" s="19" t="s">
        <v>15</v>
      </c>
      <c r="T22" s="19" t="s">
        <v>554</v>
      </c>
      <c r="U22" s="19" t="s">
        <v>554</v>
      </c>
      <c r="V22" s="19" t="s">
        <v>554</v>
      </c>
      <c r="W22" s="19" t="s">
        <v>554</v>
      </c>
      <c r="X22" s="19" t="s">
        <v>554</v>
      </c>
      <c r="Y22" s="19" t="s">
        <v>554</v>
      </c>
      <c r="Z22" s="19" t="s">
        <v>15</v>
      </c>
      <c r="AA22" s="19" t="s">
        <v>554</v>
      </c>
      <c r="AB22" s="19" t="s">
        <v>554</v>
      </c>
      <c r="AC22" s="19" t="s">
        <v>554</v>
      </c>
      <c r="AD22" s="19" t="s">
        <v>554</v>
      </c>
      <c r="AE22" s="19" t="s">
        <v>554</v>
      </c>
      <c r="AF22" s="19" t="s">
        <v>554</v>
      </c>
      <c r="AG22" s="19" t="s">
        <v>15</v>
      </c>
      <c r="AH22" s="19" t="s">
        <v>554</v>
      </c>
      <c r="AI22" s="19" t="s">
        <v>554</v>
      </c>
      <c r="AJ22" s="19">
        <f t="shared" si="0"/>
        <v>0</v>
      </c>
      <c r="AK22" s="16">
        <f t="shared" si="1"/>
        <v>30</v>
      </c>
      <c r="AL22" s="16">
        <f t="shared" si="2"/>
        <v>0</v>
      </c>
      <c r="AM22" s="38">
        <f t="shared" si="3"/>
        <v>0</v>
      </c>
      <c r="AN22" s="68">
        <v>550</v>
      </c>
      <c r="AO22" s="21">
        <v>100</v>
      </c>
      <c r="AP22" s="21">
        <v>250</v>
      </c>
      <c r="AQ22" s="19">
        <f t="shared" si="9"/>
        <v>550</v>
      </c>
      <c r="AR22" s="19">
        <f t="shared" si="10"/>
        <v>100</v>
      </c>
      <c r="AS22" s="19">
        <f t="shared" si="11"/>
        <v>250</v>
      </c>
      <c r="AT22" s="19">
        <f t="shared" si="12"/>
        <v>0</v>
      </c>
      <c r="AU22" s="19">
        <f t="shared" si="13"/>
        <v>0</v>
      </c>
      <c r="AV22" s="19">
        <f t="shared" si="14"/>
        <v>0</v>
      </c>
      <c r="AW22" s="19">
        <v>0</v>
      </c>
      <c r="AX22" s="19">
        <f t="shared" si="5"/>
        <v>900</v>
      </c>
      <c r="AY22" s="19">
        <v>0</v>
      </c>
      <c r="AZ22" s="19">
        <v>0</v>
      </c>
      <c r="BA22" s="19">
        <f t="shared" si="15"/>
        <v>0</v>
      </c>
      <c r="BB22" s="19">
        <f t="shared" si="16"/>
        <v>900</v>
      </c>
      <c r="BC22" s="19">
        <v>0</v>
      </c>
      <c r="BD22" s="19">
        <v>0</v>
      </c>
      <c r="BE22" s="22">
        <f t="shared" si="17"/>
        <v>900</v>
      </c>
    </row>
    <row r="23" spans="1:58" s="25" customFormat="1" ht="18" customHeight="1" x14ac:dyDescent="0.25">
      <c r="A23" s="15">
        <v>20</v>
      </c>
      <c r="B23" s="47" t="s">
        <v>303</v>
      </c>
      <c r="C23" s="17" t="s">
        <v>306</v>
      </c>
      <c r="D23" s="16" t="s">
        <v>120</v>
      </c>
      <c r="E23" s="48">
        <v>45361</v>
      </c>
      <c r="F23" s="19" t="s">
        <v>554</v>
      </c>
      <c r="G23" s="19" t="s">
        <v>554</v>
      </c>
      <c r="H23" s="19" t="s">
        <v>554</v>
      </c>
      <c r="I23" s="19" t="s">
        <v>554</v>
      </c>
      <c r="J23" s="19" t="s">
        <v>603</v>
      </c>
      <c r="K23" s="19" t="s">
        <v>554</v>
      </c>
      <c r="L23" s="19" t="s">
        <v>15</v>
      </c>
      <c r="M23" s="19" t="s">
        <v>554</v>
      </c>
      <c r="N23" s="19" t="s">
        <v>554</v>
      </c>
      <c r="O23" s="19" t="s">
        <v>554</v>
      </c>
      <c r="P23" s="19" t="s">
        <v>554</v>
      </c>
      <c r="Q23" s="19" t="s">
        <v>554</v>
      </c>
      <c r="R23" s="19" t="s">
        <v>554</v>
      </c>
      <c r="S23" s="19" t="s">
        <v>15</v>
      </c>
      <c r="T23" s="19" t="s">
        <v>554</v>
      </c>
      <c r="U23" s="19" t="s">
        <v>554</v>
      </c>
      <c r="V23" s="19" t="s">
        <v>554</v>
      </c>
      <c r="W23" s="19" t="s">
        <v>554</v>
      </c>
      <c r="X23" s="19" t="s">
        <v>554</v>
      </c>
      <c r="Y23" s="19" t="s">
        <v>554</v>
      </c>
      <c r="Z23" s="19" t="s">
        <v>15</v>
      </c>
      <c r="AA23" s="19" t="s">
        <v>554</v>
      </c>
      <c r="AB23" s="19" t="s">
        <v>554</v>
      </c>
      <c r="AC23" s="19" t="s">
        <v>554</v>
      </c>
      <c r="AD23" s="19" t="s">
        <v>554</v>
      </c>
      <c r="AE23" s="19" t="s">
        <v>554</v>
      </c>
      <c r="AF23" s="19" t="s">
        <v>554</v>
      </c>
      <c r="AG23" s="19" t="s">
        <v>15</v>
      </c>
      <c r="AH23" s="19" t="s">
        <v>554</v>
      </c>
      <c r="AI23" s="19" t="s">
        <v>554</v>
      </c>
      <c r="AJ23" s="19">
        <f t="shared" si="0"/>
        <v>0</v>
      </c>
      <c r="AK23" s="16">
        <f t="shared" si="1"/>
        <v>30</v>
      </c>
      <c r="AL23" s="16">
        <f t="shared" si="2"/>
        <v>0</v>
      </c>
      <c r="AM23" s="38">
        <f t="shared" si="3"/>
        <v>0</v>
      </c>
      <c r="AN23" s="68">
        <v>550</v>
      </c>
      <c r="AO23" s="21">
        <v>100</v>
      </c>
      <c r="AP23" s="21">
        <v>250</v>
      </c>
      <c r="AQ23" s="19">
        <f t="shared" si="9"/>
        <v>550</v>
      </c>
      <c r="AR23" s="19">
        <f t="shared" si="10"/>
        <v>100</v>
      </c>
      <c r="AS23" s="19">
        <f t="shared" si="11"/>
        <v>250</v>
      </c>
      <c r="AT23" s="19">
        <f t="shared" si="12"/>
        <v>0</v>
      </c>
      <c r="AU23" s="19">
        <f t="shared" si="13"/>
        <v>0</v>
      </c>
      <c r="AV23" s="19">
        <f t="shared" si="14"/>
        <v>0</v>
      </c>
      <c r="AW23" s="19">
        <v>0</v>
      </c>
      <c r="AX23" s="19">
        <f t="shared" si="5"/>
        <v>900</v>
      </c>
      <c r="AY23" s="19">
        <v>0</v>
      </c>
      <c r="AZ23" s="19">
        <v>0</v>
      </c>
      <c r="BA23" s="19">
        <f t="shared" si="15"/>
        <v>0</v>
      </c>
      <c r="BB23" s="19">
        <f t="shared" si="16"/>
        <v>900</v>
      </c>
      <c r="BC23" s="19">
        <v>0</v>
      </c>
      <c r="BD23" s="19">
        <v>0</v>
      </c>
      <c r="BE23" s="22">
        <f t="shared" si="17"/>
        <v>900</v>
      </c>
    </row>
    <row r="24" spans="1:58" s="25" customFormat="1" ht="18" customHeight="1" x14ac:dyDescent="0.25">
      <c r="A24" s="15">
        <v>21</v>
      </c>
      <c r="B24" s="47" t="s">
        <v>304</v>
      </c>
      <c r="C24" s="17" t="s">
        <v>307</v>
      </c>
      <c r="D24" s="16" t="s">
        <v>120</v>
      </c>
      <c r="E24" s="48">
        <v>45361</v>
      </c>
      <c r="F24" s="19" t="s">
        <v>554</v>
      </c>
      <c r="G24" s="19" t="s">
        <v>554</v>
      </c>
      <c r="H24" s="19" t="s">
        <v>554</v>
      </c>
      <c r="I24" s="19" t="s">
        <v>554</v>
      </c>
      <c r="J24" s="19" t="s">
        <v>603</v>
      </c>
      <c r="K24" s="19" t="s">
        <v>554</v>
      </c>
      <c r="L24" s="19" t="s">
        <v>15</v>
      </c>
      <c r="M24" s="19" t="s">
        <v>554</v>
      </c>
      <c r="N24" s="19" t="s">
        <v>554</v>
      </c>
      <c r="O24" s="19" t="s">
        <v>554</v>
      </c>
      <c r="P24" s="19" t="s">
        <v>554</v>
      </c>
      <c r="Q24" s="19" t="s">
        <v>554</v>
      </c>
      <c r="R24" s="19" t="s">
        <v>554</v>
      </c>
      <c r="S24" s="19" t="s">
        <v>15</v>
      </c>
      <c r="T24" s="19" t="s">
        <v>554</v>
      </c>
      <c r="U24" s="19" t="s">
        <v>554</v>
      </c>
      <c r="V24" s="19" t="s">
        <v>554</v>
      </c>
      <c r="W24" s="19" t="s">
        <v>554</v>
      </c>
      <c r="X24" s="19" t="s">
        <v>554</v>
      </c>
      <c r="Y24" s="19" t="s">
        <v>554</v>
      </c>
      <c r="Z24" s="19" t="s">
        <v>15</v>
      </c>
      <c r="AA24" s="19" t="s">
        <v>554</v>
      </c>
      <c r="AB24" s="19" t="s">
        <v>554</v>
      </c>
      <c r="AC24" s="19" t="s">
        <v>554</v>
      </c>
      <c r="AD24" s="19" t="s">
        <v>554</v>
      </c>
      <c r="AE24" s="19" t="s">
        <v>554</v>
      </c>
      <c r="AF24" s="19" t="s">
        <v>554</v>
      </c>
      <c r="AG24" s="19" t="s">
        <v>15</v>
      </c>
      <c r="AH24" s="19" t="s">
        <v>554</v>
      </c>
      <c r="AI24" s="19" t="s">
        <v>554</v>
      </c>
      <c r="AJ24" s="19">
        <f t="shared" si="0"/>
        <v>0</v>
      </c>
      <c r="AK24" s="16">
        <f t="shared" si="1"/>
        <v>30</v>
      </c>
      <c r="AL24" s="16">
        <f t="shared" si="2"/>
        <v>0</v>
      </c>
      <c r="AM24" s="38">
        <f t="shared" si="3"/>
        <v>0</v>
      </c>
      <c r="AN24" s="68">
        <v>550</v>
      </c>
      <c r="AO24" s="21">
        <v>100</v>
      </c>
      <c r="AP24" s="21">
        <v>250</v>
      </c>
      <c r="AQ24" s="19">
        <f t="shared" si="9"/>
        <v>550</v>
      </c>
      <c r="AR24" s="19">
        <f t="shared" si="10"/>
        <v>100</v>
      </c>
      <c r="AS24" s="19">
        <f t="shared" si="11"/>
        <v>250</v>
      </c>
      <c r="AT24" s="19">
        <f t="shared" si="12"/>
        <v>0</v>
      </c>
      <c r="AU24" s="19">
        <f t="shared" si="13"/>
        <v>0</v>
      </c>
      <c r="AV24" s="19">
        <f t="shared" si="14"/>
        <v>0</v>
      </c>
      <c r="AW24" s="19">
        <v>0</v>
      </c>
      <c r="AX24" s="19">
        <f t="shared" si="5"/>
        <v>900</v>
      </c>
      <c r="AY24" s="19">
        <v>0</v>
      </c>
      <c r="AZ24" s="19">
        <v>0</v>
      </c>
      <c r="BA24" s="19">
        <f t="shared" si="15"/>
        <v>0</v>
      </c>
      <c r="BB24" s="19">
        <f t="shared" si="16"/>
        <v>900</v>
      </c>
      <c r="BC24" s="19">
        <v>0</v>
      </c>
      <c r="BD24" s="19">
        <v>0</v>
      </c>
      <c r="BE24" s="22">
        <f t="shared" si="17"/>
        <v>900</v>
      </c>
    </row>
    <row r="25" spans="1:58" s="25" customFormat="1" ht="18" customHeight="1" x14ac:dyDescent="0.25">
      <c r="A25" s="15">
        <v>22</v>
      </c>
      <c r="B25" s="47" t="s">
        <v>305</v>
      </c>
      <c r="C25" s="17" t="s">
        <v>308</v>
      </c>
      <c r="D25" s="16" t="s">
        <v>120</v>
      </c>
      <c r="E25" s="48">
        <v>45381</v>
      </c>
      <c r="F25" s="19" t="s">
        <v>554</v>
      </c>
      <c r="G25" s="19" t="s">
        <v>554</v>
      </c>
      <c r="H25" s="19" t="s">
        <v>554</v>
      </c>
      <c r="I25" s="19" t="s">
        <v>554</v>
      </c>
      <c r="J25" s="19" t="s">
        <v>603</v>
      </c>
      <c r="K25" s="19" t="s">
        <v>554</v>
      </c>
      <c r="L25" s="19" t="s">
        <v>15</v>
      </c>
      <c r="M25" s="19" t="s">
        <v>554</v>
      </c>
      <c r="N25" s="19" t="s">
        <v>554</v>
      </c>
      <c r="O25" s="19" t="s">
        <v>554</v>
      </c>
      <c r="P25" s="19" t="s">
        <v>554</v>
      </c>
      <c r="Q25" s="19" t="s">
        <v>554</v>
      </c>
      <c r="R25" s="19" t="s">
        <v>554</v>
      </c>
      <c r="S25" s="19" t="s">
        <v>15</v>
      </c>
      <c r="T25" s="19" t="s">
        <v>554</v>
      </c>
      <c r="U25" s="19" t="s">
        <v>554</v>
      </c>
      <c r="V25" s="19" t="s">
        <v>554</v>
      </c>
      <c r="W25" s="19" t="s">
        <v>554</v>
      </c>
      <c r="X25" s="19" t="s">
        <v>554</v>
      </c>
      <c r="Y25" s="19" t="s">
        <v>554</v>
      </c>
      <c r="Z25" s="19" t="s">
        <v>15</v>
      </c>
      <c r="AA25" s="19" t="s">
        <v>554</v>
      </c>
      <c r="AB25" s="19" t="s">
        <v>554</v>
      </c>
      <c r="AC25" s="19" t="s">
        <v>554</v>
      </c>
      <c r="AD25" s="19" t="s">
        <v>554</v>
      </c>
      <c r="AE25" s="19" t="s">
        <v>554</v>
      </c>
      <c r="AF25" s="19" t="s">
        <v>554</v>
      </c>
      <c r="AG25" s="19" t="s">
        <v>15</v>
      </c>
      <c r="AH25" s="19" t="s">
        <v>554</v>
      </c>
      <c r="AI25" s="19" t="s">
        <v>554</v>
      </c>
      <c r="AJ25" s="19">
        <f t="shared" si="0"/>
        <v>0</v>
      </c>
      <c r="AK25" s="16">
        <f t="shared" si="1"/>
        <v>30</v>
      </c>
      <c r="AL25" s="16">
        <f t="shared" si="2"/>
        <v>0</v>
      </c>
      <c r="AM25" s="38">
        <f t="shared" si="3"/>
        <v>0</v>
      </c>
      <c r="AN25" s="68">
        <v>550</v>
      </c>
      <c r="AO25" s="21">
        <v>100</v>
      </c>
      <c r="AP25" s="21">
        <v>250</v>
      </c>
      <c r="AQ25" s="19">
        <f t="shared" si="9"/>
        <v>550</v>
      </c>
      <c r="AR25" s="19">
        <f t="shared" si="10"/>
        <v>100</v>
      </c>
      <c r="AS25" s="19">
        <f t="shared" si="11"/>
        <v>250</v>
      </c>
      <c r="AT25" s="19">
        <f t="shared" si="12"/>
        <v>0</v>
      </c>
      <c r="AU25" s="19">
        <f t="shared" si="13"/>
        <v>0</v>
      </c>
      <c r="AV25" s="19">
        <f t="shared" si="14"/>
        <v>0</v>
      </c>
      <c r="AW25" s="19">
        <v>0</v>
      </c>
      <c r="AX25" s="19">
        <f t="shared" si="5"/>
        <v>900</v>
      </c>
      <c r="AY25" s="19">
        <v>0</v>
      </c>
      <c r="AZ25" s="19">
        <v>0</v>
      </c>
      <c r="BA25" s="19">
        <f t="shared" si="15"/>
        <v>0</v>
      </c>
      <c r="BB25" s="19">
        <f t="shared" si="16"/>
        <v>900</v>
      </c>
      <c r="BC25" s="19">
        <v>0</v>
      </c>
      <c r="BD25" s="19">
        <v>0</v>
      </c>
      <c r="BE25" s="22">
        <f t="shared" si="17"/>
        <v>900</v>
      </c>
    </row>
    <row r="26" spans="1:58" s="25" customFormat="1" ht="18" customHeight="1" x14ac:dyDescent="0.25">
      <c r="A26" s="27">
        <v>23</v>
      </c>
      <c r="B26" s="121" t="s">
        <v>125</v>
      </c>
      <c r="C26" s="104" t="s">
        <v>126</v>
      </c>
      <c r="D26" s="103" t="s">
        <v>120</v>
      </c>
      <c r="E26" s="48">
        <v>44992</v>
      </c>
      <c r="F26" s="19" t="s">
        <v>473</v>
      </c>
      <c r="G26" s="19" t="s">
        <v>473</v>
      </c>
      <c r="H26" s="19" t="s">
        <v>473</v>
      </c>
      <c r="I26" s="19" t="s">
        <v>473</v>
      </c>
      <c r="J26" s="19" t="s">
        <v>473</v>
      </c>
      <c r="K26" s="19" t="s">
        <v>473</v>
      </c>
      <c r="L26" s="19" t="s">
        <v>473</v>
      </c>
      <c r="M26" s="19" t="s">
        <v>473</v>
      </c>
      <c r="N26" s="19" t="s">
        <v>473</v>
      </c>
      <c r="O26" s="19" t="s">
        <v>473</v>
      </c>
      <c r="P26" s="19" t="s">
        <v>473</v>
      </c>
      <c r="Q26" s="19" t="s">
        <v>473</v>
      </c>
      <c r="R26" s="19" t="s">
        <v>473</v>
      </c>
      <c r="S26" s="19" t="s">
        <v>473</v>
      </c>
      <c r="T26" s="19" t="s">
        <v>473</v>
      </c>
      <c r="U26" s="19" t="s">
        <v>473</v>
      </c>
      <c r="V26" s="19" t="s">
        <v>473</v>
      </c>
      <c r="W26" s="19" t="s">
        <v>473</v>
      </c>
      <c r="X26" s="19" t="s">
        <v>473</v>
      </c>
      <c r="Y26" s="19" t="s">
        <v>473</v>
      </c>
      <c r="Z26" s="19" t="s">
        <v>473</v>
      </c>
      <c r="AA26" s="19" t="s">
        <v>473</v>
      </c>
      <c r="AB26" s="19" t="s">
        <v>473</v>
      </c>
      <c r="AC26" s="19" t="s">
        <v>473</v>
      </c>
      <c r="AD26" s="19" t="s">
        <v>473</v>
      </c>
      <c r="AE26" s="19" t="s">
        <v>473</v>
      </c>
      <c r="AF26" s="19" t="s">
        <v>473</v>
      </c>
      <c r="AG26" s="19" t="s">
        <v>473</v>
      </c>
      <c r="AH26" s="19" t="s">
        <v>473</v>
      </c>
      <c r="AI26" s="19" t="s">
        <v>473</v>
      </c>
      <c r="AJ26" s="19">
        <f t="shared" si="0"/>
        <v>0</v>
      </c>
      <c r="AK26" s="16">
        <f t="shared" si="1"/>
        <v>0</v>
      </c>
      <c r="AL26" s="16">
        <f t="shared" si="2"/>
        <v>0</v>
      </c>
      <c r="AM26" s="38">
        <f t="shared" si="3"/>
        <v>0</v>
      </c>
      <c r="AN26" s="68">
        <v>550</v>
      </c>
      <c r="AO26" s="21">
        <v>100</v>
      </c>
      <c r="AP26" s="21">
        <v>350</v>
      </c>
      <c r="AQ26" s="19">
        <f t="shared" si="9"/>
        <v>0</v>
      </c>
      <c r="AR26" s="19">
        <f t="shared" si="10"/>
        <v>0</v>
      </c>
      <c r="AS26" s="19">
        <f t="shared" si="11"/>
        <v>0</v>
      </c>
      <c r="AT26" s="19">
        <f t="shared" si="12"/>
        <v>0</v>
      </c>
      <c r="AU26" s="19">
        <f t="shared" si="13"/>
        <v>0</v>
      </c>
      <c r="AV26" s="19">
        <f t="shared" si="14"/>
        <v>0</v>
      </c>
      <c r="AW26" s="19">
        <v>0</v>
      </c>
      <c r="AX26" s="19">
        <f t="shared" si="5"/>
        <v>0</v>
      </c>
      <c r="AY26" s="19">
        <v>0</v>
      </c>
      <c r="AZ26" s="19">
        <v>0</v>
      </c>
      <c r="BA26" s="19">
        <f t="shared" si="15"/>
        <v>0</v>
      </c>
      <c r="BB26" s="19">
        <f t="shared" si="16"/>
        <v>0</v>
      </c>
      <c r="BC26" s="19">
        <v>0</v>
      </c>
      <c r="BD26" s="19">
        <v>0</v>
      </c>
      <c r="BE26" s="22">
        <f t="shared" si="17"/>
        <v>0</v>
      </c>
      <c r="BF26" s="130" t="s">
        <v>474</v>
      </c>
    </row>
    <row r="27" spans="1:58" s="25" customFormat="1" ht="18" customHeight="1" x14ac:dyDescent="0.25">
      <c r="A27" s="27">
        <v>24</v>
      </c>
      <c r="B27" s="121" t="s">
        <v>129</v>
      </c>
      <c r="C27" s="104" t="s">
        <v>130</v>
      </c>
      <c r="D27" s="103" t="s">
        <v>120</v>
      </c>
      <c r="E27" s="48">
        <v>44992</v>
      </c>
      <c r="F27" s="19" t="s">
        <v>473</v>
      </c>
      <c r="G27" s="19" t="s">
        <v>473</v>
      </c>
      <c r="H27" s="19" t="s">
        <v>473</v>
      </c>
      <c r="I27" s="19" t="s">
        <v>473</v>
      </c>
      <c r="J27" s="19" t="s">
        <v>473</v>
      </c>
      <c r="K27" s="19" t="s">
        <v>473</v>
      </c>
      <c r="L27" s="19" t="s">
        <v>473</v>
      </c>
      <c r="M27" s="19" t="s">
        <v>473</v>
      </c>
      <c r="N27" s="19" t="s">
        <v>473</v>
      </c>
      <c r="O27" s="19" t="s">
        <v>473</v>
      </c>
      <c r="P27" s="19" t="s">
        <v>473</v>
      </c>
      <c r="Q27" s="19" t="s">
        <v>473</v>
      </c>
      <c r="R27" s="19" t="s">
        <v>473</v>
      </c>
      <c r="S27" s="19" t="s">
        <v>473</v>
      </c>
      <c r="T27" s="19" t="s">
        <v>473</v>
      </c>
      <c r="U27" s="19" t="s">
        <v>473</v>
      </c>
      <c r="V27" s="19" t="s">
        <v>473</v>
      </c>
      <c r="W27" s="19" t="s">
        <v>473</v>
      </c>
      <c r="X27" s="19" t="s">
        <v>473</v>
      </c>
      <c r="Y27" s="19" t="s">
        <v>473</v>
      </c>
      <c r="Z27" s="19" t="s">
        <v>473</v>
      </c>
      <c r="AA27" s="19" t="s">
        <v>473</v>
      </c>
      <c r="AB27" s="19" t="s">
        <v>473</v>
      </c>
      <c r="AC27" s="19" t="s">
        <v>473</v>
      </c>
      <c r="AD27" s="19" t="s">
        <v>473</v>
      </c>
      <c r="AE27" s="19" t="s">
        <v>473</v>
      </c>
      <c r="AF27" s="19" t="s">
        <v>473</v>
      </c>
      <c r="AG27" s="19" t="s">
        <v>473</v>
      </c>
      <c r="AH27" s="19" t="s">
        <v>473</v>
      </c>
      <c r="AI27" s="19" t="s">
        <v>473</v>
      </c>
      <c r="AJ27" s="19">
        <f t="shared" si="0"/>
        <v>0</v>
      </c>
      <c r="AK27" s="16">
        <f t="shared" si="1"/>
        <v>0</v>
      </c>
      <c r="AL27" s="16">
        <f t="shared" si="2"/>
        <v>0</v>
      </c>
      <c r="AM27" s="38">
        <f t="shared" si="3"/>
        <v>0</v>
      </c>
      <c r="AN27" s="68">
        <v>550</v>
      </c>
      <c r="AO27" s="21">
        <v>100</v>
      </c>
      <c r="AP27" s="21">
        <v>350</v>
      </c>
      <c r="AQ27" s="19">
        <f t="shared" si="9"/>
        <v>0</v>
      </c>
      <c r="AR27" s="19">
        <f t="shared" si="10"/>
        <v>0</v>
      </c>
      <c r="AS27" s="19">
        <f t="shared" si="11"/>
        <v>0</v>
      </c>
      <c r="AT27" s="19">
        <f t="shared" si="12"/>
        <v>0</v>
      </c>
      <c r="AU27" s="19">
        <f t="shared" si="13"/>
        <v>0</v>
      </c>
      <c r="AV27" s="19">
        <f t="shared" si="14"/>
        <v>0</v>
      </c>
      <c r="AW27" s="19">
        <v>0</v>
      </c>
      <c r="AX27" s="19">
        <f t="shared" ref="AX27:AX35" si="18">SUM(AQ27:AW27)</f>
        <v>0</v>
      </c>
      <c r="AY27" s="19">
        <v>0</v>
      </c>
      <c r="AZ27" s="19">
        <v>0</v>
      </c>
      <c r="BA27" s="19">
        <f t="shared" ref="BA27:BA35" si="19">AY27+AZ27</f>
        <v>0</v>
      </c>
      <c r="BB27" s="19">
        <f t="shared" ref="BB27:BB35" si="20">AX27-BA27</f>
        <v>0</v>
      </c>
      <c r="BC27" s="19">
        <v>0</v>
      </c>
      <c r="BD27" s="19">
        <v>0</v>
      </c>
      <c r="BE27" s="22">
        <f t="shared" ref="BE27:BE35" si="21">SUM(BB27:BC27)-BD27</f>
        <v>0</v>
      </c>
      <c r="BF27" s="130" t="s">
        <v>474</v>
      </c>
    </row>
    <row r="28" spans="1:58" s="25" customFormat="1" ht="18" customHeight="1" x14ac:dyDescent="0.25">
      <c r="A28" s="27">
        <v>25</v>
      </c>
      <c r="B28" s="121" t="s">
        <v>137</v>
      </c>
      <c r="C28" s="104" t="s">
        <v>138</v>
      </c>
      <c r="D28" s="103" t="s">
        <v>120</v>
      </c>
      <c r="E28" s="48">
        <v>44994</v>
      </c>
      <c r="F28" s="19" t="s">
        <v>473</v>
      </c>
      <c r="G28" s="19" t="s">
        <v>473</v>
      </c>
      <c r="H28" s="19" t="s">
        <v>473</v>
      </c>
      <c r="I28" s="19" t="s">
        <v>473</v>
      </c>
      <c r="J28" s="19" t="s">
        <v>473</v>
      </c>
      <c r="K28" s="19" t="s">
        <v>473</v>
      </c>
      <c r="L28" s="19" t="s">
        <v>473</v>
      </c>
      <c r="M28" s="19" t="s">
        <v>473</v>
      </c>
      <c r="N28" s="19" t="s">
        <v>473</v>
      </c>
      <c r="O28" s="19" t="s">
        <v>473</v>
      </c>
      <c r="P28" s="19" t="s">
        <v>473</v>
      </c>
      <c r="Q28" s="19" t="s">
        <v>473</v>
      </c>
      <c r="R28" s="19" t="s">
        <v>473</v>
      </c>
      <c r="S28" s="19" t="s">
        <v>473</v>
      </c>
      <c r="T28" s="19" t="s">
        <v>473</v>
      </c>
      <c r="U28" s="19" t="s">
        <v>473</v>
      </c>
      <c r="V28" s="19" t="s">
        <v>473</v>
      </c>
      <c r="W28" s="19" t="s">
        <v>473</v>
      </c>
      <c r="X28" s="19" t="s">
        <v>473</v>
      </c>
      <c r="Y28" s="19" t="s">
        <v>473</v>
      </c>
      <c r="Z28" s="19" t="s">
        <v>473</v>
      </c>
      <c r="AA28" s="19" t="s">
        <v>473</v>
      </c>
      <c r="AB28" s="19" t="s">
        <v>473</v>
      </c>
      <c r="AC28" s="19" t="s">
        <v>473</v>
      </c>
      <c r="AD28" s="19" t="s">
        <v>473</v>
      </c>
      <c r="AE28" s="19" t="s">
        <v>473</v>
      </c>
      <c r="AF28" s="19" t="s">
        <v>473</v>
      </c>
      <c r="AG28" s="19" t="s">
        <v>473</v>
      </c>
      <c r="AH28" s="19" t="s">
        <v>473</v>
      </c>
      <c r="AI28" s="19" t="s">
        <v>473</v>
      </c>
      <c r="AJ28" s="19">
        <f t="shared" si="0"/>
        <v>0</v>
      </c>
      <c r="AK28" s="16">
        <f t="shared" si="1"/>
        <v>0</v>
      </c>
      <c r="AL28" s="16">
        <f t="shared" si="2"/>
        <v>0</v>
      </c>
      <c r="AM28" s="38">
        <f t="shared" si="3"/>
        <v>0</v>
      </c>
      <c r="AN28" s="68">
        <v>550</v>
      </c>
      <c r="AO28" s="21">
        <v>100</v>
      </c>
      <c r="AP28" s="21">
        <v>350</v>
      </c>
      <c r="AQ28" s="19">
        <f t="shared" si="9"/>
        <v>0</v>
      </c>
      <c r="AR28" s="19">
        <f t="shared" si="10"/>
        <v>0</v>
      </c>
      <c r="AS28" s="19">
        <f t="shared" si="11"/>
        <v>0</v>
      </c>
      <c r="AT28" s="19">
        <f t="shared" si="12"/>
        <v>0</v>
      </c>
      <c r="AU28" s="19">
        <f t="shared" si="13"/>
        <v>0</v>
      </c>
      <c r="AV28" s="19">
        <f t="shared" si="14"/>
        <v>0</v>
      </c>
      <c r="AW28" s="19">
        <v>0</v>
      </c>
      <c r="AX28" s="19">
        <f t="shared" si="18"/>
        <v>0</v>
      </c>
      <c r="AY28" s="19">
        <v>0</v>
      </c>
      <c r="AZ28" s="19">
        <v>0</v>
      </c>
      <c r="BA28" s="19">
        <f t="shared" si="19"/>
        <v>0</v>
      </c>
      <c r="BB28" s="19">
        <f t="shared" si="20"/>
        <v>0</v>
      </c>
      <c r="BC28" s="19">
        <v>0</v>
      </c>
      <c r="BD28" s="19">
        <v>0</v>
      </c>
      <c r="BE28" s="22">
        <f t="shared" si="21"/>
        <v>0</v>
      </c>
      <c r="BF28" s="130" t="s">
        <v>474</v>
      </c>
    </row>
    <row r="29" spans="1:58" s="25" customFormat="1" ht="18" customHeight="1" x14ac:dyDescent="0.25">
      <c r="A29" s="27">
        <v>26</v>
      </c>
      <c r="B29" s="121" t="s">
        <v>141</v>
      </c>
      <c r="C29" s="104" t="s">
        <v>222</v>
      </c>
      <c r="D29" s="103" t="s">
        <v>120</v>
      </c>
      <c r="E29" s="48">
        <v>44994</v>
      </c>
      <c r="F29" s="19" t="s">
        <v>473</v>
      </c>
      <c r="G29" s="19" t="s">
        <v>473</v>
      </c>
      <c r="H29" s="19" t="s">
        <v>473</v>
      </c>
      <c r="I29" s="19" t="s">
        <v>473</v>
      </c>
      <c r="J29" s="19" t="s">
        <v>473</v>
      </c>
      <c r="K29" s="19" t="s">
        <v>473</v>
      </c>
      <c r="L29" s="19" t="s">
        <v>473</v>
      </c>
      <c r="M29" s="19" t="s">
        <v>473</v>
      </c>
      <c r="N29" s="19" t="s">
        <v>473</v>
      </c>
      <c r="O29" s="19" t="s">
        <v>473</v>
      </c>
      <c r="P29" s="19" t="s">
        <v>473</v>
      </c>
      <c r="Q29" s="19" t="s">
        <v>473</v>
      </c>
      <c r="R29" s="19" t="s">
        <v>473</v>
      </c>
      <c r="S29" s="19" t="s">
        <v>473</v>
      </c>
      <c r="T29" s="19" t="s">
        <v>473</v>
      </c>
      <c r="U29" s="19" t="s">
        <v>473</v>
      </c>
      <c r="V29" s="19" t="s">
        <v>473</v>
      </c>
      <c r="W29" s="19" t="s">
        <v>473</v>
      </c>
      <c r="X29" s="19" t="s">
        <v>473</v>
      </c>
      <c r="Y29" s="19" t="s">
        <v>473</v>
      </c>
      <c r="Z29" s="19" t="s">
        <v>473</v>
      </c>
      <c r="AA29" s="19" t="s">
        <v>473</v>
      </c>
      <c r="AB29" s="19" t="s">
        <v>473</v>
      </c>
      <c r="AC29" s="19" t="s">
        <v>473</v>
      </c>
      <c r="AD29" s="19" t="s">
        <v>473</v>
      </c>
      <c r="AE29" s="19" t="s">
        <v>473</v>
      </c>
      <c r="AF29" s="19" t="s">
        <v>473</v>
      </c>
      <c r="AG29" s="19" t="s">
        <v>473</v>
      </c>
      <c r="AH29" s="19" t="s">
        <v>473</v>
      </c>
      <c r="AI29" s="19" t="s">
        <v>473</v>
      </c>
      <c r="AJ29" s="19">
        <f t="shared" si="0"/>
        <v>0</v>
      </c>
      <c r="AK29" s="16">
        <f t="shared" si="1"/>
        <v>0</v>
      </c>
      <c r="AL29" s="16">
        <f t="shared" si="2"/>
        <v>0</v>
      </c>
      <c r="AM29" s="38">
        <f t="shared" si="3"/>
        <v>0</v>
      </c>
      <c r="AN29" s="68">
        <v>550</v>
      </c>
      <c r="AO29" s="21">
        <v>100</v>
      </c>
      <c r="AP29" s="21">
        <v>350</v>
      </c>
      <c r="AQ29" s="19">
        <f t="shared" si="9"/>
        <v>0</v>
      </c>
      <c r="AR29" s="19">
        <f t="shared" si="10"/>
        <v>0</v>
      </c>
      <c r="AS29" s="19">
        <f t="shared" si="11"/>
        <v>0</v>
      </c>
      <c r="AT29" s="19">
        <f t="shared" si="12"/>
        <v>0</v>
      </c>
      <c r="AU29" s="19">
        <f t="shared" si="13"/>
        <v>0</v>
      </c>
      <c r="AV29" s="19">
        <f t="shared" si="14"/>
        <v>0</v>
      </c>
      <c r="AW29" s="19">
        <v>0</v>
      </c>
      <c r="AX29" s="19">
        <f t="shared" ref="AX29:AX34" si="22">SUM(AQ29:AW29)</f>
        <v>0</v>
      </c>
      <c r="AY29" s="19">
        <v>0</v>
      </c>
      <c r="AZ29" s="19">
        <v>0</v>
      </c>
      <c r="BA29" s="19">
        <f t="shared" ref="BA29:BA34" si="23">AY29+AZ29</f>
        <v>0</v>
      </c>
      <c r="BB29" s="19">
        <f t="shared" ref="BB29:BB34" si="24">AX29-BA29</f>
        <v>0</v>
      </c>
      <c r="BC29" s="19">
        <v>0</v>
      </c>
      <c r="BD29" s="19">
        <v>0</v>
      </c>
      <c r="BE29" s="22">
        <f t="shared" ref="BE29:BE34" si="25">SUM(BB29:BC29)-BD29</f>
        <v>0</v>
      </c>
      <c r="BF29" s="130" t="s">
        <v>474</v>
      </c>
    </row>
    <row r="30" spans="1:58" s="25" customFormat="1" ht="18" customHeight="1" x14ac:dyDescent="0.25">
      <c r="A30" s="27">
        <v>27</v>
      </c>
      <c r="B30" s="51" t="s">
        <v>131</v>
      </c>
      <c r="C30" s="50" t="s">
        <v>132</v>
      </c>
      <c r="D30" s="52" t="s">
        <v>120</v>
      </c>
      <c r="E30" s="48">
        <v>44992</v>
      </c>
      <c r="F30" s="19" t="s">
        <v>427</v>
      </c>
      <c r="G30" s="19" t="s">
        <v>427</v>
      </c>
      <c r="H30" s="19" t="s">
        <v>427</v>
      </c>
      <c r="I30" s="19" t="s">
        <v>427</v>
      </c>
      <c r="J30" s="19" t="s">
        <v>427</v>
      </c>
      <c r="K30" s="19" t="s">
        <v>427</v>
      </c>
      <c r="L30" s="19" t="s">
        <v>427</v>
      </c>
      <c r="M30" s="19" t="s">
        <v>427</v>
      </c>
      <c r="N30" s="19" t="s">
        <v>427</v>
      </c>
      <c r="O30" s="19" t="s">
        <v>427</v>
      </c>
      <c r="P30" s="19" t="s">
        <v>427</v>
      </c>
      <c r="Q30" s="19" t="s">
        <v>427</v>
      </c>
      <c r="R30" s="19" t="s">
        <v>427</v>
      </c>
      <c r="S30" s="19" t="s">
        <v>427</v>
      </c>
      <c r="T30" s="19" t="s">
        <v>427</v>
      </c>
      <c r="U30" s="19" t="s">
        <v>427</v>
      </c>
      <c r="V30" s="19" t="s">
        <v>427</v>
      </c>
      <c r="W30" s="19" t="s">
        <v>427</v>
      </c>
      <c r="X30" s="19" t="s">
        <v>427</v>
      </c>
      <c r="Y30" s="19" t="s">
        <v>427</v>
      </c>
      <c r="Z30" s="19" t="s">
        <v>427</v>
      </c>
      <c r="AA30" s="19" t="s">
        <v>427</v>
      </c>
      <c r="AB30" s="19" t="s">
        <v>427</v>
      </c>
      <c r="AC30" s="19" t="s">
        <v>427</v>
      </c>
      <c r="AD30" s="19" t="s">
        <v>427</v>
      </c>
      <c r="AE30" s="19" t="s">
        <v>427</v>
      </c>
      <c r="AF30" s="19" t="s">
        <v>427</v>
      </c>
      <c r="AG30" s="19" t="s">
        <v>427</v>
      </c>
      <c r="AH30" s="19" t="s">
        <v>427</v>
      </c>
      <c r="AI30" s="19" t="s">
        <v>427</v>
      </c>
      <c r="AJ30" s="19">
        <f t="shared" si="0"/>
        <v>0</v>
      </c>
      <c r="AK30" s="16">
        <f t="shared" si="1"/>
        <v>0</v>
      </c>
      <c r="AL30" s="16">
        <f t="shared" si="2"/>
        <v>0</v>
      </c>
      <c r="AM30" s="38">
        <f t="shared" si="3"/>
        <v>0</v>
      </c>
      <c r="AN30" s="68">
        <v>550</v>
      </c>
      <c r="AO30" s="21">
        <v>100</v>
      </c>
      <c r="AP30" s="21">
        <v>350</v>
      </c>
      <c r="AQ30" s="19">
        <f t="shared" si="9"/>
        <v>0</v>
      </c>
      <c r="AR30" s="19">
        <f t="shared" si="10"/>
        <v>0</v>
      </c>
      <c r="AS30" s="19">
        <f t="shared" si="11"/>
        <v>0</v>
      </c>
      <c r="AT30" s="19">
        <f t="shared" si="12"/>
        <v>0</v>
      </c>
      <c r="AU30" s="19">
        <f t="shared" si="13"/>
        <v>0</v>
      </c>
      <c r="AV30" s="19">
        <f t="shared" si="14"/>
        <v>0</v>
      </c>
      <c r="AW30" s="19">
        <v>0</v>
      </c>
      <c r="AX30" s="19">
        <f t="shared" si="22"/>
        <v>0</v>
      </c>
      <c r="AY30" s="19">
        <v>0</v>
      </c>
      <c r="AZ30" s="19">
        <v>0</v>
      </c>
      <c r="BA30" s="19">
        <f t="shared" si="23"/>
        <v>0</v>
      </c>
      <c r="BB30" s="19">
        <f t="shared" si="24"/>
        <v>0</v>
      </c>
      <c r="BC30" s="19">
        <v>0</v>
      </c>
      <c r="BD30" s="19">
        <v>0</v>
      </c>
      <c r="BE30" s="22">
        <f t="shared" si="25"/>
        <v>0</v>
      </c>
      <c r="BF30" s="25" t="s">
        <v>171</v>
      </c>
    </row>
    <row r="31" spans="1:58" s="25" customFormat="1" ht="18" customHeight="1" x14ac:dyDescent="0.25">
      <c r="A31" s="27">
        <v>28</v>
      </c>
      <c r="B31" s="51" t="s">
        <v>133</v>
      </c>
      <c r="C31" s="50" t="s">
        <v>134</v>
      </c>
      <c r="D31" s="52" t="s">
        <v>120</v>
      </c>
      <c r="E31" s="48">
        <v>44992</v>
      </c>
      <c r="F31" s="19" t="s">
        <v>554</v>
      </c>
      <c r="G31" s="19" t="s">
        <v>554</v>
      </c>
      <c r="H31" s="19" t="s">
        <v>554</v>
      </c>
      <c r="I31" s="19" t="s">
        <v>554</v>
      </c>
      <c r="J31" s="19" t="s">
        <v>603</v>
      </c>
      <c r="K31" s="19" t="s">
        <v>554</v>
      </c>
      <c r="L31" s="19" t="s">
        <v>15</v>
      </c>
      <c r="M31" s="19" t="s">
        <v>554</v>
      </c>
      <c r="N31" s="19" t="s">
        <v>554</v>
      </c>
      <c r="O31" s="19" t="s">
        <v>554</v>
      </c>
      <c r="P31" s="19" t="s">
        <v>554</v>
      </c>
      <c r="Q31" s="19" t="s">
        <v>554</v>
      </c>
      <c r="R31" s="19" t="s">
        <v>554</v>
      </c>
      <c r="S31" s="19" t="s">
        <v>15</v>
      </c>
      <c r="T31" s="19" t="s">
        <v>554</v>
      </c>
      <c r="U31" s="19" t="s">
        <v>554</v>
      </c>
      <c r="V31" s="19" t="s">
        <v>554</v>
      </c>
      <c r="W31" s="19" t="s">
        <v>554</v>
      </c>
      <c r="X31" s="19" t="s">
        <v>554</v>
      </c>
      <c r="Y31" s="19" t="s">
        <v>427</v>
      </c>
      <c r="Z31" s="19" t="s">
        <v>427</v>
      </c>
      <c r="AA31" s="19" t="s">
        <v>427</v>
      </c>
      <c r="AB31" s="19" t="s">
        <v>427</v>
      </c>
      <c r="AC31" s="19" t="s">
        <v>427</v>
      </c>
      <c r="AD31" s="19" t="s">
        <v>427</v>
      </c>
      <c r="AE31" s="19" t="s">
        <v>427</v>
      </c>
      <c r="AF31" s="19" t="s">
        <v>427</v>
      </c>
      <c r="AG31" s="19" t="s">
        <v>427</v>
      </c>
      <c r="AH31" s="19" t="s">
        <v>427</v>
      </c>
      <c r="AI31" s="19" t="s">
        <v>427</v>
      </c>
      <c r="AJ31" s="19">
        <f t="shared" si="0"/>
        <v>0</v>
      </c>
      <c r="AK31" s="16">
        <f t="shared" si="1"/>
        <v>19</v>
      </c>
      <c r="AL31" s="16">
        <f t="shared" si="2"/>
        <v>0</v>
      </c>
      <c r="AM31" s="38">
        <f t="shared" si="3"/>
        <v>0</v>
      </c>
      <c r="AN31" s="68">
        <v>550</v>
      </c>
      <c r="AO31" s="21">
        <v>100</v>
      </c>
      <c r="AP31" s="21">
        <v>350</v>
      </c>
      <c r="AQ31" s="19">
        <f t="shared" si="9"/>
        <v>348</v>
      </c>
      <c r="AR31" s="19">
        <f t="shared" si="10"/>
        <v>63</v>
      </c>
      <c r="AS31" s="19">
        <f t="shared" si="11"/>
        <v>222</v>
      </c>
      <c r="AT31" s="19">
        <f t="shared" si="12"/>
        <v>0</v>
      </c>
      <c r="AU31" s="19">
        <f t="shared" si="13"/>
        <v>0</v>
      </c>
      <c r="AV31" s="19">
        <f t="shared" si="14"/>
        <v>0</v>
      </c>
      <c r="AW31" s="19">
        <v>0</v>
      </c>
      <c r="AX31" s="19">
        <f t="shared" si="22"/>
        <v>633</v>
      </c>
      <c r="AY31" s="19">
        <v>0</v>
      </c>
      <c r="AZ31" s="19">
        <v>0</v>
      </c>
      <c r="BA31" s="19">
        <f t="shared" si="23"/>
        <v>0</v>
      </c>
      <c r="BB31" s="19">
        <f t="shared" si="24"/>
        <v>633</v>
      </c>
      <c r="BC31" s="19">
        <v>0</v>
      </c>
      <c r="BD31" s="19">
        <v>0</v>
      </c>
      <c r="BE31" s="22">
        <f t="shared" si="25"/>
        <v>633</v>
      </c>
      <c r="BF31" s="25" t="s">
        <v>171</v>
      </c>
    </row>
    <row r="32" spans="1:58" s="25" customFormat="1" ht="18" customHeight="1" x14ac:dyDescent="0.25">
      <c r="A32" s="27">
        <v>29</v>
      </c>
      <c r="B32" s="51" t="s">
        <v>214</v>
      </c>
      <c r="C32" s="50" t="s">
        <v>223</v>
      </c>
      <c r="D32" s="52" t="s">
        <v>120</v>
      </c>
      <c r="E32" s="48">
        <v>45244</v>
      </c>
      <c r="F32" s="19" t="s">
        <v>427</v>
      </c>
      <c r="G32" s="19" t="s">
        <v>427</v>
      </c>
      <c r="H32" s="19" t="s">
        <v>427</v>
      </c>
      <c r="I32" s="19" t="s">
        <v>427</v>
      </c>
      <c r="J32" s="19" t="s">
        <v>427</v>
      </c>
      <c r="K32" s="19" t="s">
        <v>427</v>
      </c>
      <c r="L32" s="19" t="s">
        <v>427</v>
      </c>
      <c r="M32" s="19" t="s">
        <v>427</v>
      </c>
      <c r="N32" s="19" t="s">
        <v>427</v>
      </c>
      <c r="O32" s="19" t="s">
        <v>427</v>
      </c>
      <c r="P32" s="19" t="s">
        <v>427</v>
      </c>
      <c r="Q32" s="19" t="s">
        <v>427</v>
      </c>
      <c r="R32" s="19" t="s">
        <v>427</v>
      </c>
      <c r="S32" s="19" t="s">
        <v>427</v>
      </c>
      <c r="T32" s="19" t="s">
        <v>427</v>
      </c>
      <c r="U32" s="19" t="s">
        <v>427</v>
      </c>
      <c r="V32" s="19" t="s">
        <v>427</v>
      </c>
      <c r="W32" s="19" t="s">
        <v>427</v>
      </c>
      <c r="X32" s="19" t="s">
        <v>427</v>
      </c>
      <c r="Y32" s="19" t="s">
        <v>427</v>
      </c>
      <c r="Z32" s="19" t="s">
        <v>427</v>
      </c>
      <c r="AA32" s="19" t="s">
        <v>427</v>
      </c>
      <c r="AB32" s="19" t="s">
        <v>427</v>
      </c>
      <c r="AC32" s="19" t="s">
        <v>427</v>
      </c>
      <c r="AD32" s="19" t="s">
        <v>427</v>
      </c>
      <c r="AE32" s="19" t="s">
        <v>427</v>
      </c>
      <c r="AF32" s="19" t="s">
        <v>427</v>
      </c>
      <c r="AG32" s="19" t="s">
        <v>427</v>
      </c>
      <c r="AH32" s="19" t="s">
        <v>427</v>
      </c>
      <c r="AI32" s="19" t="s">
        <v>427</v>
      </c>
      <c r="AJ32" s="19">
        <f t="shared" si="0"/>
        <v>0</v>
      </c>
      <c r="AK32" s="16">
        <f t="shared" si="1"/>
        <v>0</v>
      </c>
      <c r="AL32" s="16">
        <f t="shared" si="2"/>
        <v>0</v>
      </c>
      <c r="AM32" s="38">
        <f t="shared" si="3"/>
        <v>0</v>
      </c>
      <c r="AN32" s="68">
        <v>550</v>
      </c>
      <c r="AO32" s="21">
        <v>100</v>
      </c>
      <c r="AP32" s="21">
        <v>250</v>
      </c>
      <c r="AQ32" s="19">
        <f t="shared" si="9"/>
        <v>0</v>
      </c>
      <c r="AR32" s="19">
        <f t="shared" si="10"/>
        <v>0</v>
      </c>
      <c r="AS32" s="19">
        <f t="shared" si="11"/>
        <v>0</v>
      </c>
      <c r="AT32" s="19">
        <f t="shared" si="12"/>
        <v>0</v>
      </c>
      <c r="AU32" s="19">
        <f t="shared" si="13"/>
        <v>0</v>
      </c>
      <c r="AV32" s="19">
        <f t="shared" si="14"/>
        <v>0</v>
      </c>
      <c r="AW32" s="19">
        <v>0</v>
      </c>
      <c r="AX32" s="19">
        <f t="shared" si="22"/>
        <v>0</v>
      </c>
      <c r="AY32" s="19">
        <v>0</v>
      </c>
      <c r="AZ32" s="19">
        <v>0</v>
      </c>
      <c r="BA32" s="19">
        <f t="shared" si="23"/>
        <v>0</v>
      </c>
      <c r="BB32" s="19">
        <f t="shared" si="24"/>
        <v>0</v>
      </c>
      <c r="BC32" s="19">
        <v>0</v>
      </c>
      <c r="BD32" s="19">
        <v>0</v>
      </c>
      <c r="BE32" s="22">
        <f t="shared" si="25"/>
        <v>0</v>
      </c>
      <c r="BF32" s="25" t="s">
        <v>171</v>
      </c>
    </row>
    <row r="33" spans="1:58" s="25" customFormat="1" ht="18" customHeight="1" x14ac:dyDescent="0.25">
      <c r="A33" s="27">
        <v>30</v>
      </c>
      <c r="B33" s="51" t="s">
        <v>260</v>
      </c>
      <c r="C33" s="50" t="s">
        <v>268</v>
      </c>
      <c r="D33" s="52" t="s">
        <v>120</v>
      </c>
      <c r="E33" s="48">
        <v>45314</v>
      </c>
      <c r="F33" s="19" t="s">
        <v>554</v>
      </c>
      <c r="G33" s="19" t="s">
        <v>554</v>
      </c>
      <c r="H33" s="19" t="s">
        <v>554</v>
      </c>
      <c r="I33" s="19" t="s">
        <v>554</v>
      </c>
      <c r="J33" s="19" t="s">
        <v>603</v>
      </c>
      <c r="K33" s="19" t="s">
        <v>554</v>
      </c>
      <c r="L33" s="19" t="s">
        <v>15</v>
      </c>
      <c r="M33" s="19" t="s">
        <v>554</v>
      </c>
      <c r="N33" s="19" t="s">
        <v>554</v>
      </c>
      <c r="O33" s="19" t="s">
        <v>554</v>
      </c>
      <c r="P33" s="19" t="s">
        <v>554</v>
      </c>
      <c r="Q33" s="19" t="s">
        <v>554</v>
      </c>
      <c r="R33" s="19" t="s">
        <v>554</v>
      </c>
      <c r="S33" s="19" t="s">
        <v>15</v>
      </c>
      <c r="T33" s="19" t="s">
        <v>554</v>
      </c>
      <c r="U33" s="19" t="s">
        <v>554</v>
      </c>
      <c r="V33" s="19" t="s">
        <v>554</v>
      </c>
      <c r="W33" s="19" t="s">
        <v>554</v>
      </c>
      <c r="X33" s="19" t="s">
        <v>554</v>
      </c>
      <c r="Y33" s="19" t="s">
        <v>427</v>
      </c>
      <c r="Z33" s="19" t="s">
        <v>427</v>
      </c>
      <c r="AA33" s="19" t="s">
        <v>427</v>
      </c>
      <c r="AB33" s="19" t="s">
        <v>427</v>
      </c>
      <c r="AC33" s="19" t="s">
        <v>427</v>
      </c>
      <c r="AD33" s="19" t="s">
        <v>427</v>
      </c>
      <c r="AE33" s="19" t="s">
        <v>427</v>
      </c>
      <c r="AF33" s="19" t="s">
        <v>427</v>
      </c>
      <c r="AG33" s="19" t="s">
        <v>427</v>
      </c>
      <c r="AH33" s="19" t="s">
        <v>427</v>
      </c>
      <c r="AI33" s="19" t="s">
        <v>427</v>
      </c>
      <c r="AJ33" s="19">
        <f t="shared" si="0"/>
        <v>0</v>
      </c>
      <c r="AK33" s="16">
        <f t="shared" si="1"/>
        <v>19</v>
      </c>
      <c r="AL33" s="16">
        <f t="shared" si="2"/>
        <v>0</v>
      </c>
      <c r="AM33" s="38">
        <f t="shared" si="3"/>
        <v>0</v>
      </c>
      <c r="AN33" s="68">
        <v>550</v>
      </c>
      <c r="AO33" s="21">
        <v>100</v>
      </c>
      <c r="AP33" s="21">
        <v>250</v>
      </c>
      <c r="AQ33" s="19">
        <f t="shared" si="9"/>
        <v>348</v>
      </c>
      <c r="AR33" s="19">
        <f t="shared" si="10"/>
        <v>63</v>
      </c>
      <c r="AS33" s="19">
        <f t="shared" si="11"/>
        <v>158</v>
      </c>
      <c r="AT33" s="19">
        <f t="shared" si="12"/>
        <v>0</v>
      </c>
      <c r="AU33" s="19">
        <f t="shared" si="13"/>
        <v>0</v>
      </c>
      <c r="AV33" s="19">
        <f t="shared" si="14"/>
        <v>0</v>
      </c>
      <c r="AW33" s="19">
        <v>0</v>
      </c>
      <c r="AX33" s="19">
        <f t="shared" si="22"/>
        <v>569</v>
      </c>
      <c r="AY33" s="19">
        <v>0</v>
      </c>
      <c r="AZ33" s="19">
        <v>0</v>
      </c>
      <c r="BA33" s="19">
        <f t="shared" si="23"/>
        <v>0</v>
      </c>
      <c r="BB33" s="19">
        <f t="shared" si="24"/>
        <v>569</v>
      </c>
      <c r="BC33" s="19">
        <v>0</v>
      </c>
      <c r="BD33" s="19">
        <v>0</v>
      </c>
      <c r="BE33" s="22">
        <f t="shared" si="25"/>
        <v>569</v>
      </c>
      <c r="BF33" s="25" t="s">
        <v>171</v>
      </c>
    </row>
    <row r="34" spans="1:58" s="25" customFormat="1" ht="18" customHeight="1" x14ac:dyDescent="0.25">
      <c r="A34" s="27">
        <v>31</v>
      </c>
      <c r="B34" s="51" t="s">
        <v>263</v>
      </c>
      <c r="C34" s="50" t="s">
        <v>271</v>
      </c>
      <c r="D34" s="52" t="s">
        <v>120</v>
      </c>
      <c r="E34" s="48">
        <v>45314</v>
      </c>
      <c r="F34" s="19" t="s">
        <v>427</v>
      </c>
      <c r="G34" s="19" t="s">
        <v>427</v>
      </c>
      <c r="H34" s="19" t="s">
        <v>427</v>
      </c>
      <c r="I34" s="19" t="s">
        <v>427</v>
      </c>
      <c r="J34" s="19" t="s">
        <v>427</v>
      </c>
      <c r="K34" s="19" t="s">
        <v>427</v>
      </c>
      <c r="L34" s="19" t="s">
        <v>427</v>
      </c>
      <c r="M34" s="19" t="s">
        <v>427</v>
      </c>
      <c r="N34" s="19" t="s">
        <v>427</v>
      </c>
      <c r="O34" s="19" t="s">
        <v>427</v>
      </c>
      <c r="P34" s="19" t="s">
        <v>427</v>
      </c>
      <c r="Q34" s="19" t="s">
        <v>427</v>
      </c>
      <c r="R34" s="19" t="s">
        <v>427</v>
      </c>
      <c r="S34" s="19" t="s">
        <v>427</v>
      </c>
      <c r="T34" s="19" t="s">
        <v>427</v>
      </c>
      <c r="U34" s="19" t="s">
        <v>427</v>
      </c>
      <c r="V34" s="19" t="s">
        <v>427</v>
      </c>
      <c r="W34" s="19" t="s">
        <v>427</v>
      </c>
      <c r="X34" s="19" t="s">
        <v>427</v>
      </c>
      <c r="Y34" s="19" t="s">
        <v>427</v>
      </c>
      <c r="Z34" s="19" t="s">
        <v>427</v>
      </c>
      <c r="AA34" s="19" t="s">
        <v>427</v>
      </c>
      <c r="AB34" s="19" t="s">
        <v>427</v>
      </c>
      <c r="AC34" s="19" t="s">
        <v>427</v>
      </c>
      <c r="AD34" s="19" t="s">
        <v>427</v>
      </c>
      <c r="AE34" s="19" t="s">
        <v>427</v>
      </c>
      <c r="AF34" s="19" t="s">
        <v>427</v>
      </c>
      <c r="AG34" s="19" t="s">
        <v>427</v>
      </c>
      <c r="AH34" s="19" t="s">
        <v>427</v>
      </c>
      <c r="AI34" s="19" t="s">
        <v>427</v>
      </c>
      <c r="AJ34" s="19">
        <f t="shared" si="0"/>
        <v>0</v>
      </c>
      <c r="AK34" s="16">
        <f t="shared" si="1"/>
        <v>0</v>
      </c>
      <c r="AL34" s="16">
        <f t="shared" si="2"/>
        <v>0</v>
      </c>
      <c r="AM34" s="38">
        <f t="shared" si="3"/>
        <v>0</v>
      </c>
      <c r="AN34" s="68">
        <v>550</v>
      </c>
      <c r="AO34" s="21">
        <v>100</v>
      </c>
      <c r="AP34" s="21">
        <v>250</v>
      </c>
      <c r="AQ34" s="19">
        <f t="shared" si="9"/>
        <v>0</v>
      </c>
      <c r="AR34" s="19">
        <f t="shared" si="10"/>
        <v>0</v>
      </c>
      <c r="AS34" s="19">
        <f t="shared" si="11"/>
        <v>0</v>
      </c>
      <c r="AT34" s="19">
        <f t="shared" si="12"/>
        <v>0</v>
      </c>
      <c r="AU34" s="19">
        <f t="shared" si="13"/>
        <v>0</v>
      </c>
      <c r="AV34" s="19">
        <f t="shared" si="14"/>
        <v>0</v>
      </c>
      <c r="AW34" s="19">
        <v>0</v>
      </c>
      <c r="AX34" s="19">
        <f t="shared" si="22"/>
        <v>0</v>
      </c>
      <c r="AY34" s="19">
        <v>0</v>
      </c>
      <c r="AZ34" s="19">
        <v>0</v>
      </c>
      <c r="BA34" s="19">
        <f t="shared" si="23"/>
        <v>0</v>
      </c>
      <c r="BB34" s="19">
        <f t="shared" si="24"/>
        <v>0</v>
      </c>
      <c r="BC34" s="19">
        <v>0</v>
      </c>
      <c r="BD34" s="19">
        <v>0</v>
      </c>
      <c r="BE34" s="22">
        <f t="shared" si="25"/>
        <v>0</v>
      </c>
      <c r="BF34" s="25" t="s">
        <v>171</v>
      </c>
    </row>
    <row r="35" spans="1:58" s="25" customFormat="1" ht="18" customHeight="1" x14ac:dyDescent="0.25">
      <c r="A35" s="27">
        <v>32</v>
      </c>
      <c r="B35" s="51" t="s">
        <v>264</v>
      </c>
      <c r="C35" s="50" t="s">
        <v>272</v>
      </c>
      <c r="D35" s="52" t="s">
        <v>120</v>
      </c>
      <c r="E35" s="48">
        <v>45314</v>
      </c>
      <c r="F35" s="19" t="s">
        <v>427</v>
      </c>
      <c r="G35" s="19" t="s">
        <v>427</v>
      </c>
      <c r="H35" s="19" t="s">
        <v>427</v>
      </c>
      <c r="I35" s="19" t="s">
        <v>427</v>
      </c>
      <c r="J35" s="19" t="s">
        <v>427</v>
      </c>
      <c r="K35" s="19" t="s">
        <v>427</v>
      </c>
      <c r="L35" s="19" t="s">
        <v>427</v>
      </c>
      <c r="M35" s="19" t="s">
        <v>427</v>
      </c>
      <c r="N35" s="19" t="s">
        <v>427</v>
      </c>
      <c r="O35" s="19" t="s">
        <v>427</v>
      </c>
      <c r="P35" s="19" t="s">
        <v>427</v>
      </c>
      <c r="Q35" s="19" t="s">
        <v>427</v>
      </c>
      <c r="R35" s="19" t="s">
        <v>427</v>
      </c>
      <c r="S35" s="19" t="s">
        <v>427</v>
      </c>
      <c r="T35" s="19" t="s">
        <v>427</v>
      </c>
      <c r="U35" s="19" t="s">
        <v>427</v>
      </c>
      <c r="V35" s="19" t="s">
        <v>427</v>
      </c>
      <c r="W35" s="19" t="s">
        <v>427</v>
      </c>
      <c r="X35" s="19" t="s">
        <v>427</v>
      </c>
      <c r="Y35" s="19" t="s">
        <v>427</v>
      </c>
      <c r="Z35" s="19" t="s">
        <v>427</v>
      </c>
      <c r="AA35" s="19" t="s">
        <v>427</v>
      </c>
      <c r="AB35" s="19" t="s">
        <v>427</v>
      </c>
      <c r="AC35" s="19" t="s">
        <v>427</v>
      </c>
      <c r="AD35" s="19" t="s">
        <v>427</v>
      </c>
      <c r="AE35" s="19" t="s">
        <v>427</v>
      </c>
      <c r="AF35" s="19" t="s">
        <v>427</v>
      </c>
      <c r="AG35" s="19" t="s">
        <v>427</v>
      </c>
      <c r="AH35" s="19" t="s">
        <v>427</v>
      </c>
      <c r="AI35" s="19" t="s">
        <v>427</v>
      </c>
      <c r="AJ35" s="19">
        <f t="shared" si="0"/>
        <v>0</v>
      </c>
      <c r="AK35" s="16">
        <f t="shared" si="1"/>
        <v>0</v>
      </c>
      <c r="AL35" s="16">
        <f t="shared" si="2"/>
        <v>0</v>
      </c>
      <c r="AM35" s="38">
        <f t="shared" si="3"/>
        <v>0</v>
      </c>
      <c r="AN35" s="68">
        <v>550</v>
      </c>
      <c r="AO35" s="21">
        <v>100</v>
      </c>
      <c r="AP35" s="21">
        <v>250</v>
      </c>
      <c r="AQ35" s="19">
        <f t="shared" si="9"/>
        <v>0</v>
      </c>
      <c r="AR35" s="19">
        <f t="shared" si="10"/>
        <v>0</v>
      </c>
      <c r="AS35" s="19">
        <f t="shared" si="11"/>
        <v>0</v>
      </c>
      <c r="AT35" s="19">
        <f t="shared" si="12"/>
        <v>0</v>
      </c>
      <c r="AU35" s="19">
        <f t="shared" si="13"/>
        <v>0</v>
      </c>
      <c r="AV35" s="19">
        <f t="shared" si="14"/>
        <v>0</v>
      </c>
      <c r="AW35" s="19">
        <v>0</v>
      </c>
      <c r="AX35" s="19">
        <f t="shared" si="18"/>
        <v>0</v>
      </c>
      <c r="AY35" s="19">
        <v>0</v>
      </c>
      <c r="AZ35" s="19">
        <v>0</v>
      </c>
      <c r="BA35" s="19">
        <f t="shared" si="19"/>
        <v>0</v>
      </c>
      <c r="BB35" s="19">
        <f t="shared" si="20"/>
        <v>0</v>
      </c>
      <c r="BC35" s="19">
        <v>0</v>
      </c>
      <c r="BD35" s="19">
        <v>0</v>
      </c>
      <c r="BE35" s="22">
        <f t="shared" si="21"/>
        <v>0</v>
      </c>
      <c r="BF35" s="25" t="s">
        <v>171</v>
      </c>
    </row>
    <row r="36" spans="1:58" s="25" customFormat="1" ht="18" customHeight="1" x14ac:dyDescent="0.25">
      <c r="A36" s="27">
        <v>33</v>
      </c>
      <c r="B36" s="51" t="s">
        <v>284</v>
      </c>
      <c r="C36" s="50" t="s">
        <v>296</v>
      </c>
      <c r="D36" s="52" t="s">
        <v>120</v>
      </c>
      <c r="E36" s="48">
        <v>45336</v>
      </c>
      <c r="F36" s="19" t="s">
        <v>554</v>
      </c>
      <c r="G36" s="19" t="s">
        <v>554</v>
      </c>
      <c r="H36" s="19" t="s">
        <v>316</v>
      </c>
      <c r="I36" s="19" t="s">
        <v>554</v>
      </c>
      <c r="J36" s="19" t="s">
        <v>603</v>
      </c>
      <c r="K36" s="19" t="s">
        <v>554</v>
      </c>
      <c r="L36" s="19" t="s">
        <v>316</v>
      </c>
      <c r="M36" s="19" t="s">
        <v>554</v>
      </c>
      <c r="N36" s="19" t="s">
        <v>316</v>
      </c>
      <c r="O36" s="19" t="s">
        <v>554</v>
      </c>
      <c r="P36" s="19" t="s">
        <v>554</v>
      </c>
      <c r="Q36" s="19" t="s">
        <v>554</v>
      </c>
      <c r="R36" s="19" t="s">
        <v>554</v>
      </c>
      <c r="S36" s="19" t="s">
        <v>316</v>
      </c>
      <c r="T36" s="19" t="s">
        <v>554</v>
      </c>
      <c r="U36" s="19" t="s">
        <v>554</v>
      </c>
      <c r="V36" s="19" t="s">
        <v>554</v>
      </c>
      <c r="W36" s="19" t="s">
        <v>554</v>
      </c>
      <c r="X36" s="19" t="s">
        <v>554</v>
      </c>
      <c r="Y36" s="19" t="s">
        <v>554</v>
      </c>
      <c r="Z36" s="19" t="s">
        <v>15</v>
      </c>
      <c r="AA36" s="19" t="s">
        <v>554</v>
      </c>
      <c r="AB36" s="19" t="s">
        <v>554</v>
      </c>
      <c r="AC36" s="19" t="s">
        <v>554</v>
      </c>
      <c r="AD36" s="19" t="s">
        <v>554</v>
      </c>
      <c r="AE36" s="19" t="s">
        <v>554</v>
      </c>
      <c r="AF36" s="19" t="s">
        <v>554</v>
      </c>
      <c r="AG36" s="19" t="s">
        <v>15</v>
      </c>
      <c r="AH36" s="19" t="s">
        <v>554</v>
      </c>
      <c r="AI36" s="19" t="s">
        <v>554</v>
      </c>
      <c r="AJ36" s="19">
        <f t="shared" ref="AJ36:AJ52" si="26">COUNTIF(F36:AI36, "OT")</f>
        <v>0</v>
      </c>
      <c r="AK36" s="16">
        <f t="shared" ref="AK36:AK52" si="27">COUNTIF(F36:AI36,"P")+COUNTIF(F36:AI36,"S")+COUNTIF(F36:AI36,"PH")+COUNTIF(F36:AI36,"OT")+COUNTIF(F36:AI36,"ML")</f>
        <v>26</v>
      </c>
      <c r="AL36" s="16">
        <f t="shared" ref="AL36:AL52" si="28">COUNTIF(F36:AI36,"A")</f>
        <v>4</v>
      </c>
      <c r="AM36" s="38">
        <f t="shared" ref="AM36:AM52" si="29">COUNTIF(F36:AI36,"ID")</f>
        <v>0</v>
      </c>
      <c r="AN36" s="68">
        <v>550</v>
      </c>
      <c r="AO36" s="21">
        <v>100</v>
      </c>
      <c r="AP36" s="21">
        <v>250</v>
      </c>
      <c r="AQ36" s="19">
        <f t="shared" si="9"/>
        <v>477</v>
      </c>
      <c r="AR36" s="19">
        <f t="shared" si="10"/>
        <v>87</v>
      </c>
      <c r="AS36" s="19">
        <f t="shared" si="11"/>
        <v>217</v>
      </c>
      <c r="AT36" s="19">
        <f t="shared" si="12"/>
        <v>0</v>
      </c>
      <c r="AU36" s="19">
        <f t="shared" si="13"/>
        <v>0</v>
      </c>
      <c r="AV36" s="19">
        <f t="shared" si="14"/>
        <v>0</v>
      </c>
      <c r="AW36" s="19">
        <v>0</v>
      </c>
      <c r="AX36" s="19">
        <f>SUM(AQ36:AW36)</f>
        <v>781</v>
      </c>
      <c r="AY36" s="19">
        <v>0</v>
      </c>
      <c r="AZ36" s="19">
        <v>0</v>
      </c>
      <c r="BA36" s="19">
        <f>AY36+AZ36</f>
        <v>0</v>
      </c>
      <c r="BB36" s="19">
        <f>AX36-BA36</f>
        <v>781</v>
      </c>
      <c r="BC36" s="19">
        <v>0</v>
      </c>
      <c r="BD36" s="19">
        <v>0</v>
      </c>
      <c r="BE36" s="22">
        <f>SUM(BB36:BC36)-BD36</f>
        <v>781</v>
      </c>
      <c r="BF36" s="25" t="s">
        <v>171</v>
      </c>
    </row>
    <row r="37" spans="1:58" s="25" customFormat="1" ht="18" customHeight="1" x14ac:dyDescent="0.25">
      <c r="A37" s="27">
        <v>34</v>
      </c>
      <c r="B37" s="51" t="s">
        <v>285</v>
      </c>
      <c r="C37" s="50" t="s">
        <v>297</v>
      </c>
      <c r="D37" s="52" t="s">
        <v>120</v>
      </c>
      <c r="E37" s="48">
        <v>45337</v>
      </c>
      <c r="F37" s="19" t="s">
        <v>427</v>
      </c>
      <c r="G37" s="19" t="s">
        <v>427</v>
      </c>
      <c r="H37" s="19" t="s">
        <v>427</v>
      </c>
      <c r="I37" s="19" t="s">
        <v>427</v>
      </c>
      <c r="J37" s="19" t="s">
        <v>427</v>
      </c>
      <c r="K37" s="19" t="s">
        <v>427</v>
      </c>
      <c r="L37" s="19" t="s">
        <v>427</v>
      </c>
      <c r="M37" s="19" t="s">
        <v>427</v>
      </c>
      <c r="N37" s="19" t="s">
        <v>427</v>
      </c>
      <c r="O37" s="19" t="s">
        <v>427</v>
      </c>
      <c r="P37" s="19" t="s">
        <v>427</v>
      </c>
      <c r="Q37" s="19" t="s">
        <v>427</v>
      </c>
      <c r="R37" s="19" t="s">
        <v>427</v>
      </c>
      <c r="S37" s="19" t="s">
        <v>427</v>
      </c>
      <c r="T37" s="19" t="s">
        <v>427</v>
      </c>
      <c r="U37" s="19" t="s">
        <v>427</v>
      </c>
      <c r="V37" s="19" t="s">
        <v>427</v>
      </c>
      <c r="W37" s="19" t="s">
        <v>427</v>
      </c>
      <c r="X37" s="19" t="s">
        <v>427</v>
      </c>
      <c r="Y37" s="19" t="s">
        <v>427</v>
      </c>
      <c r="Z37" s="19" t="s">
        <v>427</v>
      </c>
      <c r="AA37" s="19" t="s">
        <v>427</v>
      </c>
      <c r="AB37" s="19" t="s">
        <v>427</v>
      </c>
      <c r="AC37" s="19" t="s">
        <v>427</v>
      </c>
      <c r="AD37" s="19" t="s">
        <v>427</v>
      </c>
      <c r="AE37" s="19" t="s">
        <v>427</v>
      </c>
      <c r="AF37" s="19" t="s">
        <v>427</v>
      </c>
      <c r="AG37" s="19" t="s">
        <v>427</v>
      </c>
      <c r="AH37" s="19" t="s">
        <v>427</v>
      </c>
      <c r="AI37" s="19" t="s">
        <v>427</v>
      </c>
      <c r="AJ37" s="19">
        <f t="shared" si="26"/>
        <v>0</v>
      </c>
      <c r="AK37" s="16">
        <f t="shared" si="27"/>
        <v>0</v>
      </c>
      <c r="AL37" s="16">
        <f t="shared" si="28"/>
        <v>0</v>
      </c>
      <c r="AM37" s="38">
        <f t="shared" si="29"/>
        <v>0</v>
      </c>
      <c r="AN37" s="68">
        <v>550</v>
      </c>
      <c r="AO37" s="21">
        <v>100</v>
      </c>
      <c r="AP37" s="21">
        <v>250</v>
      </c>
      <c r="AQ37" s="19">
        <f t="shared" si="9"/>
        <v>0</v>
      </c>
      <c r="AR37" s="19">
        <f t="shared" si="10"/>
        <v>0</v>
      </c>
      <c r="AS37" s="19">
        <f t="shared" si="11"/>
        <v>0</v>
      </c>
      <c r="AT37" s="19">
        <f t="shared" si="12"/>
        <v>0</v>
      </c>
      <c r="AU37" s="19">
        <f t="shared" si="13"/>
        <v>0</v>
      </c>
      <c r="AV37" s="19">
        <f t="shared" si="14"/>
        <v>0</v>
      </c>
      <c r="AW37" s="19">
        <v>0</v>
      </c>
      <c r="AX37" s="19">
        <f>SUM(AQ37:AW37)</f>
        <v>0</v>
      </c>
      <c r="AY37" s="19">
        <v>0</v>
      </c>
      <c r="AZ37" s="19">
        <v>0</v>
      </c>
      <c r="BA37" s="19">
        <f>AY37+AZ37</f>
        <v>0</v>
      </c>
      <c r="BB37" s="19">
        <f>AX37-BA37</f>
        <v>0</v>
      </c>
      <c r="BC37" s="19">
        <v>0</v>
      </c>
      <c r="BD37" s="19">
        <v>0</v>
      </c>
      <c r="BE37" s="22">
        <f>SUM(BB37:BC37)-BD37</f>
        <v>0</v>
      </c>
      <c r="BF37" s="25" t="s">
        <v>171</v>
      </c>
    </row>
    <row r="38" spans="1:58" s="25" customFormat="1" ht="18" customHeight="1" x14ac:dyDescent="0.25">
      <c r="A38" s="27">
        <v>35</v>
      </c>
      <c r="B38" s="51" t="s">
        <v>287</v>
      </c>
      <c r="C38" s="50" t="s">
        <v>299</v>
      </c>
      <c r="D38" s="52" t="s">
        <v>120</v>
      </c>
      <c r="E38" s="48">
        <v>45341</v>
      </c>
      <c r="F38" s="19" t="s">
        <v>554</v>
      </c>
      <c r="G38" s="19" t="s">
        <v>554</v>
      </c>
      <c r="H38" s="19" t="s">
        <v>316</v>
      </c>
      <c r="I38" s="19" t="s">
        <v>554</v>
      </c>
      <c r="J38" s="19" t="s">
        <v>603</v>
      </c>
      <c r="K38" s="19" t="s">
        <v>316</v>
      </c>
      <c r="L38" s="19" t="s">
        <v>316</v>
      </c>
      <c r="M38" s="19" t="s">
        <v>554</v>
      </c>
      <c r="N38" s="19" t="s">
        <v>554</v>
      </c>
      <c r="O38" s="19" t="s">
        <v>316</v>
      </c>
      <c r="P38" s="19" t="s">
        <v>554</v>
      </c>
      <c r="Q38" s="19" t="s">
        <v>316</v>
      </c>
      <c r="R38" s="19" t="s">
        <v>554</v>
      </c>
      <c r="S38" s="19" t="s">
        <v>316</v>
      </c>
      <c r="T38" s="19" t="s">
        <v>554</v>
      </c>
      <c r="U38" s="19" t="s">
        <v>316</v>
      </c>
      <c r="V38" s="19" t="s">
        <v>554</v>
      </c>
      <c r="W38" s="19" t="s">
        <v>554</v>
      </c>
      <c r="X38" s="19" t="s">
        <v>427</v>
      </c>
      <c r="Y38" s="19" t="s">
        <v>427</v>
      </c>
      <c r="Z38" s="19" t="s">
        <v>427</v>
      </c>
      <c r="AA38" s="19" t="s">
        <v>427</v>
      </c>
      <c r="AB38" s="19" t="s">
        <v>427</v>
      </c>
      <c r="AC38" s="19" t="s">
        <v>427</v>
      </c>
      <c r="AD38" s="19" t="s">
        <v>427</v>
      </c>
      <c r="AE38" s="19" t="s">
        <v>427</v>
      </c>
      <c r="AF38" s="19" t="s">
        <v>427</v>
      </c>
      <c r="AG38" s="19" t="s">
        <v>427</v>
      </c>
      <c r="AH38" s="19" t="s">
        <v>427</v>
      </c>
      <c r="AI38" s="19" t="s">
        <v>427</v>
      </c>
      <c r="AJ38" s="19">
        <f t="shared" si="26"/>
        <v>0</v>
      </c>
      <c r="AK38" s="16">
        <f t="shared" si="27"/>
        <v>11</v>
      </c>
      <c r="AL38" s="16">
        <f t="shared" si="28"/>
        <v>7</v>
      </c>
      <c r="AM38" s="38">
        <f t="shared" si="29"/>
        <v>0</v>
      </c>
      <c r="AN38" s="68">
        <v>550</v>
      </c>
      <c r="AO38" s="21">
        <v>100</v>
      </c>
      <c r="AP38" s="21">
        <v>250</v>
      </c>
      <c r="AQ38" s="19">
        <f t="shared" si="9"/>
        <v>202</v>
      </c>
      <c r="AR38" s="19">
        <f t="shared" si="10"/>
        <v>37</v>
      </c>
      <c r="AS38" s="19">
        <f t="shared" si="11"/>
        <v>92</v>
      </c>
      <c r="AT38" s="19">
        <f t="shared" si="12"/>
        <v>0</v>
      </c>
      <c r="AU38" s="19">
        <f t="shared" si="13"/>
        <v>0</v>
      </c>
      <c r="AV38" s="19">
        <f t="shared" si="14"/>
        <v>0</v>
      </c>
      <c r="AW38" s="19">
        <v>0</v>
      </c>
      <c r="AX38" s="19">
        <f>SUM(AQ38:AW38)</f>
        <v>331</v>
      </c>
      <c r="AY38" s="19">
        <v>0</v>
      </c>
      <c r="AZ38" s="19">
        <v>0</v>
      </c>
      <c r="BA38" s="19">
        <f>AY38+AZ38</f>
        <v>0</v>
      </c>
      <c r="BB38" s="19">
        <f>AX38-BA38</f>
        <v>331</v>
      </c>
      <c r="BC38" s="19">
        <v>0</v>
      </c>
      <c r="BD38" s="19">
        <v>0</v>
      </c>
      <c r="BE38" s="22">
        <f>SUM(BB38:BC38)-BD38</f>
        <v>331</v>
      </c>
      <c r="BF38" s="25" t="s">
        <v>171</v>
      </c>
    </row>
    <row r="39" spans="1:58" s="25" customFormat="1" ht="18" customHeight="1" x14ac:dyDescent="0.25">
      <c r="A39" s="27">
        <v>36</v>
      </c>
      <c r="B39" s="51" t="s">
        <v>135</v>
      </c>
      <c r="C39" s="50" t="s">
        <v>136</v>
      </c>
      <c r="D39" s="52" t="s">
        <v>120</v>
      </c>
      <c r="E39" s="48">
        <v>44992</v>
      </c>
      <c r="F39" s="19" t="s">
        <v>427</v>
      </c>
      <c r="G39" s="19" t="s">
        <v>427</v>
      </c>
      <c r="H39" s="19" t="s">
        <v>427</v>
      </c>
      <c r="I39" s="19" t="s">
        <v>427</v>
      </c>
      <c r="J39" s="129" t="s">
        <v>427</v>
      </c>
      <c r="K39" s="129" t="s">
        <v>427</v>
      </c>
      <c r="L39" s="129" t="s">
        <v>427</v>
      </c>
      <c r="M39" s="19" t="s">
        <v>427</v>
      </c>
      <c r="N39" s="19" t="s">
        <v>427</v>
      </c>
      <c r="O39" s="19" t="s">
        <v>427</v>
      </c>
      <c r="P39" s="19" t="s">
        <v>427</v>
      </c>
      <c r="Q39" s="19" t="s">
        <v>427</v>
      </c>
      <c r="R39" s="19" t="s">
        <v>427</v>
      </c>
      <c r="S39" s="19" t="s">
        <v>427</v>
      </c>
      <c r="T39" s="19" t="s">
        <v>427</v>
      </c>
      <c r="U39" s="19" t="s">
        <v>427</v>
      </c>
      <c r="V39" s="19" t="s">
        <v>427</v>
      </c>
      <c r="W39" s="19" t="s">
        <v>427</v>
      </c>
      <c r="X39" s="19" t="s">
        <v>427</v>
      </c>
      <c r="Y39" s="19" t="s">
        <v>427</v>
      </c>
      <c r="Z39" s="19" t="s">
        <v>427</v>
      </c>
      <c r="AA39" s="19" t="s">
        <v>427</v>
      </c>
      <c r="AB39" s="19" t="s">
        <v>427</v>
      </c>
      <c r="AC39" s="19" t="s">
        <v>427</v>
      </c>
      <c r="AD39" s="19" t="s">
        <v>427</v>
      </c>
      <c r="AE39" s="19" t="s">
        <v>427</v>
      </c>
      <c r="AF39" s="19" t="s">
        <v>427</v>
      </c>
      <c r="AG39" s="19" t="s">
        <v>427</v>
      </c>
      <c r="AH39" s="19" t="s">
        <v>427</v>
      </c>
      <c r="AI39" s="19" t="s">
        <v>427</v>
      </c>
      <c r="AJ39" s="19">
        <f t="shared" si="26"/>
        <v>0</v>
      </c>
      <c r="AK39" s="16">
        <f t="shared" si="27"/>
        <v>0</v>
      </c>
      <c r="AL39" s="16">
        <f t="shared" si="28"/>
        <v>0</v>
      </c>
      <c r="AM39" s="38">
        <f t="shared" si="29"/>
        <v>0</v>
      </c>
      <c r="AN39" s="68">
        <v>550</v>
      </c>
      <c r="AO39" s="21">
        <v>100</v>
      </c>
      <c r="AP39" s="21">
        <v>250</v>
      </c>
      <c r="AQ39" s="19">
        <f t="shared" si="9"/>
        <v>0</v>
      </c>
      <c r="AR39" s="19">
        <f t="shared" si="10"/>
        <v>0</v>
      </c>
      <c r="AS39" s="19">
        <f t="shared" si="11"/>
        <v>0</v>
      </c>
      <c r="AT39" s="19">
        <f t="shared" si="12"/>
        <v>0</v>
      </c>
      <c r="AU39" s="19">
        <f t="shared" si="13"/>
        <v>0</v>
      </c>
      <c r="AV39" s="19">
        <f t="shared" si="14"/>
        <v>0</v>
      </c>
      <c r="AW39" s="19">
        <v>0</v>
      </c>
      <c r="AX39" s="19">
        <f t="shared" si="5"/>
        <v>0</v>
      </c>
      <c r="AY39" s="19">
        <v>0</v>
      </c>
      <c r="AZ39" s="19">
        <v>0</v>
      </c>
      <c r="BA39" s="19">
        <f t="shared" si="15"/>
        <v>0</v>
      </c>
      <c r="BB39" s="19">
        <f t="shared" si="16"/>
        <v>0</v>
      </c>
      <c r="BC39" s="19">
        <v>0</v>
      </c>
      <c r="BD39" s="19">
        <v>0</v>
      </c>
      <c r="BE39" s="22">
        <f t="shared" si="17"/>
        <v>0</v>
      </c>
      <c r="BF39" s="25" t="s">
        <v>171</v>
      </c>
    </row>
    <row r="40" spans="1:58" s="25" customFormat="1" ht="18" customHeight="1" x14ac:dyDescent="0.25">
      <c r="A40" s="27">
        <v>37</v>
      </c>
      <c r="B40" s="51" t="s">
        <v>144</v>
      </c>
      <c r="C40" s="50" t="s">
        <v>145</v>
      </c>
      <c r="D40" s="52" t="s">
        <v>120</v>
      </c>
      <c r="E40" s="48">
        <v>45022</v>
      </c>
      <c r="F40" s="19" t="s">
        <v>427</v>
      </c>
      <c r="G40" s="19" t="s">
        <v>427</v>
      </c>
      <c r="H40" s="19" t="s">
        <v>427</v>
      </c>
      <c r="I40" s="19" t="s">
        <v>427</v>
      </c>
      <c r="J40" s="129" t="s">
        <v>427</v>
      </c>
      <c r="K40" s="129" t="s">
        <v>427</v>
      </c>
      <c r="L40" s="129" t="s">
        <v>427</v>
      </c>
      <c r="M40" s="19" t="s">
        <v>427</v>
      </c>
      <c r="N40" s="19" t="s">
        <v>427</v>
      </c>
      <c r="O40" s="19" t="s">
        <v>427</v>
      </c>
      <c r="P40" s="19" t="s">
        <v>427</v>
      </c>
      <c r="Q40" s="19" t="s">
        <v>427</v>
      </c>
      <c r="R40" s="19" t="s">
        <v>427</v>
      </c>
      <c r="S40" s="19" t="s">
        <v>427</v>
      </c>
      <c r="T40" s="19" t="s">
        <v>427</v>
      </c>
      <c r="U40" s="19" t="s">
        <v>427</v>
      </c>
      <c r="V40" s="19" t="s">
        <v>427</v>
      </c>
      <c r="W40" s="19" t="s">
        <v>427</v>
      </c>
      <c r="X40" s="19" t="s">
        <v>427</v>
      </c>
      <c r="Y40" s="19" t="s">
        <v>427</v>
      </c>
      <c r="Z40" s="19" t="s">
        <v>427</v>
      </c>
      <c r="AA40" s="19" t="s">
        <v>427</v>
      </c>
      <c r="AB40" s="19" t="s">
        <v>427</v>
      </c>
      <c r="AC40" s="19" t="s">
        <v>427</v>
      </c>
      <c r="AD40" s="19" t="s">
        <v>427</v>
      </c>
      <c r="AE40" s="19" t="s">
        <v>427</v>
      </c>
      <c r="AF40" s="19" t="s">
        <v>427</v>
      </c>
      <c r="AG40" s="19" t="s">
        <v>427</v>
      </c>
      <c r="AH40" s="19" t="s">
        <v>427</v>
      </c>
      <c r="AI40" s="19" t="s">
        <v>427</v>
      </c>
      <c r="AJ40" s="19">
        <f t="shared" si="26"/>
        <v>0</v>
      </c>
      <c r="AK40" s="16">
        <f t="shared" si="27"/>
        <v>0</v>
      </c>
      <c r="AL40" s="16">
        <f t="shared" si="28"/>
        <v>0</v>
      </c>
      <c r="AM40" s="38">
        <f t="shared" si="29"/>
        <v>0</v>
      </c>
      <c r="AN40" s="68">
        <v>550</v>
      </c>
      <c r="AO40" s="21">
        <v>100</v>
      </c>
      <c r="AP40" s="21">
        <v>250</v>
      </c>
      <c r="AQ40" s="19">
        <f t="shared" si="9"/>
        <v>0</v>
      </c>
      <c r="AR40" s="19">
        <f t="shared" si="10"/>
        <v>0</v>
      </c>
      <c r="AS40" s="19">
        <f t="shared" si="11"/>
        <v>0</v>
      </c>
      <c r="AT40" s="19">
        <f t="shared" si="12"/>
        <v>0</v>
      </c>
      <c r="AU40" s="19">
        <f t="shared" si="13"/>
        <v>0</v>
      </c>
      <c r="AV40" s="19">
        <f t="shared" si="14"/>
        <v>0</v>
      </c>
      <c r="AW40" s="19">
        <v>0</v>
      </c>
      <c r="AX40" s="19">
        <f t="shared" si="5"/>
        <v>0</v>
      </c>
      <c r="AY40" s="19">
        <v>0</v>
      </c>
      <c r="AZ40" s="19">
        <v>0</v>
      </c>
      <c r="BA40" s="19">
        <f t="shared" si="15"/>
        <v>0</v>
      </c>
      <c r="BB40" s="19">
        <f t="shared" si="16"/>
        <v>0</v>
      </c>
      <c r="BC40" s="19">
        <v>0</v>
      </c>
      <c r="BD40" s="19">
        <v>0</v>
      </c>
      <c r="BE40" s="22">
        <f t="shared" si="17"/>
        <v>0</v>
      </c>
      <c r="BF40" s="25" t="s">
        <v>171</v>
      </c>
    </row>
    <row r="41" spans="1:58" s="25" customFormat="1" ht="18" customHeight="1" x14ac:dyDescent="0.25">
      <c r="A41" s="27">
        <v>38</v>
      </c>
      <c r="B41" s="51" t="s">
        <v>209</v>
      </c>
      <c r="C41" s="50" t="s">
        <v>240</v>
      </c>
      <c r="D41" s="52" t="s">
        <v>120</v>
      </c>
      <c r="E41" s="48">
        <v>45238</v>
      </c>
      <c r="F41" s="19" t="s">
        <v>427</v>
      </c>
      <c r="G41" s="19" t="s">
        <v>427</v>
      </c>
      <c r="H41" s="19" t="s">
        <v>427</v>
      </c>
      <c r="I41" s="19" t="s">
        <v>427</v>
      </c>
      <c r="J41" s="129" t="s">
        <v>427</v>
      </c>
      <c r="K41" s="129" t="s">
        <v>427</v>
      </c>
      <c r="L41" s="129" t="s">
        <v>427</v>
      </c>
      <c r="M41" s="19" t="s">
        <v>427</v>
      </c>
      <c r="N41" s="19" t="s">
        <v>427</v>
      </c>
      <c r="O41" s="19" t="s">
        <v>427</v>
      </c>
      <c r="P41" s="19" t="s">
        <v>427</v>
      </c>
      <c r="Q41" s="19" t="s">
        <v>427</v>
      </c>
      <c r="R41" s="19" t="s">
        <v>427</v>
      </c>
      <c r="S41" s="19" t="s">
        <v>427</v>
      </c>
      <c r="T41" s="19" t="s">
        <v>427</v>
      </c>
      <c r="U41" s="19" t="s">
        <v>427</v>
      </c>
      <c r="V41" s="19" t="s">
        <v>427</v>
      </c>
      <c r="W41" s="19" t="s">
        <v>427</v>
      </c>
      <c r="X41" s="19" t="s">
        <v>427</v>
      </c>
      <c r="Y41" s="19" t="s">
        <v>427</v>
      </c>
      <c r="Z41" s="19" t="s">
        <v>427</v>
      </c>
      <c r="AA41" s="19" t="s">
        <v>427</v>
      </c>
      <c r="AB41" s="19" t="s">
        <v>427</v>
      </c>
      <c r="AC41" s="19" t="s">
        <v>427</v>
      </c>
      <c r="AD41" s="19" t="s">
        <v>427</v>
      </c>
      <c r="AE41" s="19" t="s">
        <v>427</v>
      </c>
      <c r="AF41" s="19" t="s">
        <v>427</v>
      </c>
      <c r="AG41" s="19" t="s">
        <v>427</v>
      </c>
      <c r="AH41" s="19" t="s">
        <v>427</v>
      </c>
      <c r="AI41" s="19" t="s">
        <v>427</v>
      </c>
      <c r="AJ41" s="19">
        <f t="shared" si="26"/>
        <v>0</v>
      </c>
      <c r="AK41" s="16">
        <f t="shared" si="27"/>
        <v>0</v>
      </c>
      <c r="AL41" s="16">
        <f t="shared" si="28"/>
        <v>0</v>
      </c>
      <c r="AM41" s="38">
        <f t="shared" si="29"/>
        <v>0</v>
      </c>
      <c r="AN41" s="68">
        <v>550</v>
      </c>
      <c r="AO41" s="21">
        <v>100</v>
      </c>
      <c r="AP41" s="21">
        <v>250</v>
      </c>
      <c r="AQ41" s="19">
        <f t="shared" si="9"/>
        <v>0</v>
      </c>
      <c r="AR41" s="19">
        <f t="shared" si="10"/>
        <v>0</v>
      </c>
      <c r="AS41" s="19">
        <f t="shared" si="11"/>
        <v>0</v>
      </c>
      <c r="AT41" s="19">
        <f t="shared" si="12"/>
        <v>0</v>
      </c>
      <c r="AU41" s="19">
        <f t="shared" si="13"/>
        <v>0</v>
      </c>
      <c r="AV41" s="19">
        <f t="shared" si="14"/>
        <v>0</v>
      </c>
      <c r="AW41" s="19">
        <v>0</v>
      </c>
      <c r="AX41" s="19">
        <f t="shared" si="5"/>
        <v>0</v>
      </c>
      <c r="AY41" s="19">
        <v>0</v>
      </c>
      <c r="AZ41" s="19">
        <v>0</v>
      </c>
      <c r="BA41" s="19">
        <f t="shared" si="15"/>
        <v>0</v>
      </c>
      <c r="BB41" s="19">
        <f t="shared" si="16"/>
        <v>0</v>
      </c>
      <c r="BC41" s="19">
        <v>0</v>
      </c>
      <c r="BD41" s="19">
        <v>0</v>
      </c>
      <c r="BE41" s="22">
        <f t="shared" si="17"/>
        <v>0</v>
      </c>
      <c r="BF41" s="25" t="s">
        <v>171</v>
      </c>
    </row>
    <row r="42" spans="1:58" s="25" customFormat="1" ht="18" customHeight="1" x14ac:dyDescent="0.25">
      <c r="A42" s="27">
        <v>39</v>
      </c>
      <c r="B42" s="51" t="s">
        <v>206</v>
      </c>
      <c r="C42" s="50" t="s">
        <v>242</v>
      </c>
      <c r="D42" s="52" t="s">
        <v>120</v>
      </c>
      <c r="E42" s="48">
        <v>45238</v>
      </c>
      <c r="F42" s="19" t="s">
        <v>427</v>
      </c>
      <c r="G42" s="19" t="s">
        <v>427</v>
      </c>
      <c r="H42" s="19" t="s">
        <v>427</v>
      </c>
      <c r="I42" s="19" t="s">
        <v>427</v>
      </c>
      <c r="J42" s="129" t="s">
        <v>427</v>
      </c>
      <c r="K42" s="129" t="s">
        <v>427</v>
      </c>
      <c r="L42" s="129" t="s">
        <v>427</v>
      </c>
      <c r="M42" s="19" t="s">
        <v>427</v>
      </c>
      <c r="N42" s="19" t="s">
        <v>427</v>
      </c>
      <c r="O42" s="19" t="s">
        <v>427</v>
      </c>
      <c r="P42" s="19" t="s">
        <v>427</v>
      </c>
      <c r="Q42" s="19" t="s">
        <v>427</v>
      </c>
      <c r="R42" s="19" t="s">
        <v>427</v>
      </c>
      <c r="S42" s="19" t="s">
        <v>427</v>
      </c>
      <c r="T42" s="19" t="s">
        <v>427</v>
      </c>
      <c r="U42" s="19" t="s">
        <v>427</v>
      </c>
      <c r="V42" s="19" t="s">
        <v>427</v>
      </c>
      <c r="W42" s="19" t="s">
        <v>427</v>
      </c>
      <c r="X42" s="19" t="s">
        <v>427</v>
      </c>
      <c r="Y42" s="19" t="s">
        <v>427</v>
      </c>
      <c r="Z42" s="19" t="s">
        <v>427</v>
      </c>
      <c r="AA42" s="19" t="s">
        <v>427</v>
      </c>
      <c r="AB42" s="19" t="s">
        <v>427</v>
      </c>
      <c r="AC42" s="19" t="s">
        <v>427</v>
      </c>
      <c r="AD42" s="19" t="s">
        <v>427</v>
      </c>
      <c r="AE42" s="19" t="s">
        <v>427</v>
      </c>
      <c r="AF42" s="19" t="s">
        <v>427</v>
      </c>
      <c r="AG42" s="19" t="s">
        <v>427</v>
      </c>
      <c r="AH42" s="19" t="s">
        <v>427</v>
      </c>
      <c r="AI42" s="19" t="s">
        <v>427</v>
      </c>
      <c r="AJ42" s="19">
        <f t="shared" si="26"/>
        <v>0</v>
      </c>
      <c r="AK42" s="16">
        <f t="shared" si="27"/>
        <v>0</v>
      </c>
      <c r="AL42" s="16">
        <f t="shared" si="28"/>
        <v>0</v>
      </c>
      <c r="AM42" s="38">
        <f t="shared" si="29"/>
        <v>0</v>
      </c>
      <c r="AN42" s="68">
        <v>550</v>
      </c>
      <c r="AO42" s="21">
        <v>100</v>
      </c>
      <c r="AP42" s="21">
        <v>250</v>
      </c>
      <c r="AQ42" s="19">
        <f t="shared" si="9"/>
        <v>0</v>
      </c>
      <c r="AR42" s="19">
        <f t="shared" si="10"/>
        <v>0</v>
      </c>
      <c r="AS42" s="19">
        <f t="shared" si="11"/>
        <v>0</v>
      </c>
      <c r="AT42" s="19">
        <f t="shared" si="12"/>
        <v>0</v>
      </c>
      <c r="AU42" s="19">
        <f t="shared" si="13"/>
        <v>0</v>
      </c>
      <c r="AV42" s="19">
        <f t="shared" si="14"/>
        <v>0</v>
      </c>
      <c r="AW42" s="19">
        <v>0</v>
      </c>
      <c r="AX42" s="19">
        <f t="shared" si="5"/>
        <v>0</v>
      </c>
      <c r="AY42" s="19">
        <v>0</v>
      </c>
      <c r="AZ42" s="19">
        <v>0</v>
      </c>
      <c r="BA42" s="19">
        <f t="shared" si="15"/>
        <v>0</v>
      </c>
      <c r="BB42" s="19">
        <f t="shared" si="16"/>
        <v>0</v>
      </c>
      <c r="BC42" s="19">
        <v>0</v>
      </c>
      <c r="BD42" s="19">
        <v>0</v>
      </c>
      <c r="BE42" s="22">
        <f t="shared" si="17"/>
        <v>0</v>
      </c>
      <c r="BF42" s="25" t="s">
        <v>171</v>
      </c>
    </row>
    <row r="43" spans="1:58" s="25" customFormat="1" ht="18" customHeight="1" x14ac:dyDescent="0.25">
      <c r="A43" s="27">
        <v>40</v>
      </c>
      <c r="B43" s="51" t="s">
        <v>208</v>
      </c>
      <c r="C43" s="50" t="s">
        <v>216</v>
      </c>
      <c r="D43" s="52" t="s">
        <v>120</v>
      </c>
      <c r="E43" s="48">
        <v>45238</v>
      </c>
      <c r="F43" s="19" t="s">
        <v>427</v>
      </c>
      <c r="G43" s="19" t="s">
        <v>427</v>
      </c>
      <c r="H43" s="19" t="s">
        <v>427</v>
      </c>
      <c r="I43" s="19" t="s">
        <v>427</v>
      </c>
      <c r="J43" s="129" t="s">
        <v>427</v>
      </c>
      <c r="K43" s="129" t="s">
        <v>427</v>
      </c>
      <c r="L43" s="129" t="s">
        <v>427</v>
      </c>
      <c r="M43" s="19" t="s">
        <v>427</v>
      </c>
      <c r="N43" s="19" t="s">
        <v>427</v>
      </c>
      <c r="O43" s="19" t="s">
        <v>427</v>
      </c>
      <c r="P43" s="19" t="s">
        <v>427</v>
      </c>
      <c r="Q43" s="19" t="s">
        <v>427</v>
      </c>
      <c r="R43" s="19" t="s">
        <v>427</v>
      </c>
      <c r="S43" s="19" t="s">
        <v>427</v>
      </c>
      <c r="T43" s="19" t="s">
        <v>427</v>
      </c>
      <c r="U43" s="19" t="s">
        <v>427</v>
      </c>
      <c r="V43" s="19" t="s">
        <v>427</v>
      </c>
      <c r="W43" s="19" t="s">
        <v>427</v>
      </c>
      <c r="X43" s="19" t="s">
        <v>427</v>
      </c>
      <c r="Y43" s="19" t="s">
        <v>427</v>
      </c>
      <c r="Z43" s="19" t="s">
        <v>427</v>
      </c>
      <c r="AA43" s="19" t="s">
        <v>427</v>
      </c>
      <c r="AB43" s="19" t="s">
        <v>427</v>
      </c>
      <c r="AC43" s="19" t="s">
        <v>427</v>
      </c>
      <c r="AD43" s="19" t="s">
        <v>427</v>
      </c>
      <c r="AE43" s="19" t="s">
        <v>427</v>
      </c>
      <c r="AF43" s="19" t="s">
        <v>427</v>
      </c>
      <c r="AG43" s="19" t="s">
        <v>427</v>
      </c>
      <c r="AH43" s="19" t="s">
        <v>427</v>
      </c>
      <c r="AI43" s="19" t="s">
        <v>427</v>
      </c>
      <c r="AJ43" s="19">
        <f t="shared" si="26"/>
        <v>0</v>
      </c>
      <c r="AK43" s="16">
        <f t="shared" si="27"/>
        <v>0</v>
      </c>
      <c r="AL43" s="16">
        <f t="shared" si="28"/>
        <v>0</v>
      </c>
      <c r="AM43" s="38">
        <f t="shared" si="29"/>
        <v>0</v>
      </c>
      <c r="AN43" s="68">
        <v>550</v>
      </c>
      <c r="AO43" s="21">
        <v>100</v>
      </c>
      <c r="AP43" s="21">
        <v>250</v>
      </c>
      <c r="AQ43" s="19">
        <f t="shared" si="9"/>
        <v>0</v>
      </c>
      <c r="AR43" s="19">
        <f t="shared" si="10"/>
        <v>0</v>
      </c>
      <c r="AS43" s="19">
        <f t="shared" si="11"/>
        <v>0</v>
      </c>
      <c r="AT43" s="19">
        <f t="shared" si="12"/>
        <v>0</v>
      </c>
      <c r="AU43" s="19">
        <f t="shared" si="13"/>
        <v>0</v>
      </c>
      <c r="AV43" s="19">
        <f t="shared" si="14"/>
        <v>0</v>
      </c>
      <c r="AW43" s="19">
        <v>0</v>
      </c>
      <c r="AX43" s="19">
        <f t="shared" si="5"/>
        <v>0</v>
      </c>
      <c r="AY43" s="19">
        <v>0</v>
      </c>
      <c r="AZ43" s="19">
        <v>0</v>
      </c>
      <c r="BA43" s="19">
        <f t="shared" si="15"/>
        <v>0</v>
      </c>
      <c r="BB43" s="19">
        <f t="shared" si="16"/>
        <v>0</v>
      </c>
      <c r="BC43" s="19">
        <v>0</v>
      </c>
      <c r="BD43" s="19">
        <v>0</v>
      </c>
      <c r="BE43" s="22">
        <f t="shared" si="17"/>
        <v>0</v>
      </c>
      <c r="BF43" s="25" t="s">
        <v>171</v>
      </c>
    </row>
    <row r="44" spans="1:58" s="25" customFormat="1" ht="18" customHeight="1" x14ac:dyDescent="0.25">
      <c r="A44" s="27">
        <v>41</v>
      </c>
      <c r="B44" s="51" t="s">
        <v>210</v>
      </c>
      <c r="C44" s="50" t="s">
        <v>220</v>
      </c>
      <c r="D44" s="52" t="s">
        <v>120</v>
      </c>
      <c r="E44" s="48">
        <v>45238</v>
      </c>
      <c r="F44" s="19" t="s">
        <v>427</v>
      </c>
      <c r="G44" s="19" t="s">
        <v>427</v>
      </c>
      <c r="H44" s="19" t="s">
        <v>427</v>
      </c>
      <c r="I44" s="19" t="s">
        <v>427</v>
      </c>
      <c r="J44" s="129" t="s">
        <v>427</v>
      </c>
      <c r="K44" s="129" t="s">
        <v>427</v>
      </c>
      <c r="L44" s="129" t="s">
        <v>427</v>
      </c>
      <c r="M44" s="19" t="s">
        <v>427</v>
      </c>
      <c r="N44" s="19" t="s">
        <v>427</v>
      </c>
      <c r="O44" s="19" t="s">
        <v>427</v>
      </c>
      <c r="P44" s="19" t="s">
        <v>427</v>
      </c>
      <c r="Q44" s="19" t="s">
        <v>427</v>
      </c>
      <c r="R44" s="19" t="s">
        <v>427</v>
      </c>
      <c r="S44" s="19" t="s">
        <v>427</v>
      </c>
      <c r="T44" s="19" t="s">
        <v>427</v>
      </c>
      <c r="U44" s="19" t="s">
        <v>427</v>
      </c>
      <c r="V44" s="19" t="s">
        <v>427</v>
      </c>
      <c r="W44" s="19" t="s">
        <v>427</v>
      </c>
      <c r="X44" s="19" t="s">
        <v>427</v>
      </c>
      <c r="Y44" s="19" t="s">
        <v>427</v>
      </c>
      <c r="Z44" s="19" t="s">
        <v>427</v>
      </c>
      <c r="AA44" s="19" t="s">
        <v>427</v>
      </c>
      <c r="AB44" s="19" t="s">
        <v>427</v>
      </c>
      <c r="AC44" s="19" t="s">
        <v>427</v>
      </c>
      <c r="AD44" s="19" t="s">
        <v>427</v>
      </c>
      <c r="AE44" s="19" t="s">
        <v>427</v>
      </c>
      <c r="AF44" s="19" t="s">
        <v>427</v>
      </c>
      <c r="AG44" s="19" t="s">
        <v>427</v>
      </c>
      <c r="AH44" s="19" t="s">
        <v>427</v>
      </c>
      <c r="AI44" s="19" t="s">
        <v>427</v>
      </c>
      <c r="AJ44" s="19">
        <f t="shared" si="26"/>
        <v>0</v>
      </c>
      <c r="AK44" s="16">
        <f t="shared" si="27"/>
        <v>0</v>
      </c>
      <c r="AL44" s="16">
        <f t="shared" si="28"/>
        <v>0</v>
      </c>
      <c r="AM44" s="38">
        <f t="shared" si="29"/>
        <v>0</v>
      </c>
      <c r="AN44" s="68">
        <v>550</v>
      </c>
      <c r="AO44" s="21">
        <v>100</v>
      </c>
      <c r="AP44" s="21">
        <v>250</v>
      </c>
      <c r="AQ44" s="19">
        <f t="shared" si="9"/>
        <v>0</v>
      </c>
      <c r="AR44" s="19">
        <f t="shared" si="10"/>
        <v>0</v>
      </c>
      <c r="AS44" s="19">
        <f t="shared" si="11"/>
        <v>0</v>
      </c>
      <c r="AT44" s="19">
        <f t="shared" si="12"/>
        <v>0</v>
      </c>
      <c r="AU44" s="19">
        <f t="shared" si="13"/>
        <v>0</v>
      </c>
      <c r="AV44" s="19">
        <f t="shared" si="14"/>
        <v>0</v>
      </c>
      <c r="AW44" s="19">
        <v>0</v>
      </c>
      <c r="AX44" s="19">
        <f t="shared" si="5"/>
        <v>0</v>
      </c>
      <c r="AY44" s="19">
        <v>0</v>
      </c>
      <c r="AZ44" s="19">
        <v>0</v>
      </c>
      <c r="BA44" s="19">
        <f t="shared" si="15"/>
        <v>0</v>
      </c>
      <c r="BB44" s="19">
        <f t="shared" si="16"/>
        <v>0</v>
      </c>
      <c r="BC44" s="19">
        <v>0</v>
      </c>
      <c r="BD44" s="19">
        <v>0</v>
      </c>
      <c r="BE44" s="22">
        <f t="shared" si="17"/>
        <v>0</v>
      </c>
      <c r="BF44" s="25" t="s">
        <v>171</v>
      </c>
    </row>
    <row r="45" spans="1:58" s="25" customFormat="1" ht="18" customHeight="1" x14ac:dyDescent="0.25">
      <c r="A45" s="27">
        <v>42</v>
      </c>
      <c r="B45" s="51" t="s">
        <v>212</v>
      </c>
      <c r="C45" s="50" t="s">
        <v>217</v>
      </c>
      <c r="D45" s="52" t="s">
        <v>120</v>
      </c>
      <c r="E45" s="48">
        <v>45238</v>
      </c>
      <c r="F45" s="19" t="s">
        <v>427</v>
      </c>
      <c r="G45" s="19" t="s">
        <v>427</v>
      </c>
      <c r="H45" s="19" t="s">
        <v>427</v>
      </c>
      <c r="I45" s="19" t="s">
        <v>427</v>
      </c>
      <c r="J45" s="129" t="s">
        <v>427</v>
      </c>
      <c r="K45" s="129" t="s">
        <v>427</v>
      </c>
      <c r="L45" s="129" t="s">
        <v>427</v>
      </c>
      <c r="M45" s="19" t="s">
        <v>427</v>
      </c>
      <c r="N45" s="19" t="s">
        <v>427</v>
      </c>
      <c r="O45" s="19" t="s">
        <v>427</v>
      </c>
      <c r="P45" s="19" t="s">
        <v>427</v>
      </c>
      <c r="Q45" s="19" t="s">
        <v>427</v>
      </c>
      <c r="R45" s="19" t="s">
        <v>427</v>
      </c>
      <c r="S45" s="19" t="s">
        <v>427</v>
      </c>
      <c r="T45" s="19" t="s">
        <v>427</v>
      </c>
      <c r="U45" s="19" t="s">
        <v>427</v>
      </c>
      <c r="V45" s="19" t="s">
        <v>427</v>
      </c>
      <c r="W45" s="19" t="s">
        <v>427</v>
      </c>
      <c r="X45" s="19" t="s">
        <v>427</v>
      </c>
      <c r="Y45" s="19" t="s">
        <v>427</v>
      </c>
      <c r="Z45" s="19" t="s">
        <v>427</v>
      </c>
      <c r="AA45" s="19" t="s">
        <v>427</v>
      </c>
      <c r="AB45" s="19" t="s">
        <v>427</v>
      </c>
      <c r="AC45" s="19" t="s">
        <v>427</v>
      </c>
      <c r="AD45" s="19" t="s">
        <v>427</v>
      </c>
      <c r="AE45" s="19" t="s">
        <v>427</v>
      </c>
      <c r="AF45" s="19" t="s">
        <v>427</v>
      </c>
      <c r="AG45" s="19" t="s">
        <v>427</v>
      </c>
      <c r="AH45" s="19" t="s">
        <v>427</v>
      </c>
      <c r="AI45" s="19" t="s">
        <v>427</v>
      </c>
      <c r="AJ45" s="19">
        <f t="shared" si="26"/>
        <v>0</v>
      </c>
      <c r="AK45" s="16">
        <f t="shared" si="27"/>
        <v>0</v>
      </c>
      <c r="AL45" s="16">
        <f t="shared" si="28"/>
        <v>0</v>
      </c>
      <c r="AM45" s="38">
        <f t="shared" si="29"/>
        <v>0</v>
      </c>
      <c r="AN45" s="68">
        <v>550</v>
      </c>
      <c r="AO45" s="21">
        <v>100</v>
      </c>
      <c r="AP45" s="21">
        <v>250</v>
      </c>
      <c r="AQ45" s="19">
        <f t="shared" si="9"/>
        <v>0</v>
      </c>
      <c r="AR45" s="19">
        <f t="shared" si="10"/>
        <v>0</v>
      </c>
      <c r="AS45" s="19">
        <f t="shared" si="11"/>
        <v>0</v>
      </c>
      <c r="AT45" s="19">
        <f t="shared" si="12"/>
        <v>0</v>
      </c>
      <c r="AU45" s="19">
        <f t="shared" si="13"/>
        <v>0</v>
      </c>
      <c r="AV45" s="19">
        <f t="shared" si="14"/>
        <v>0</v>
      </c>
      <c r="AW45" s="19">
        <v>0</v>
      </c>
      <c r="AX45" s="19">
        <f t="shared" si="5"/>
        <v>0</v>
      </c>
      <c r="AY45" s="19">
        <v>0</v>
      </c>
      <c r="AZ45" s="19">
        <v>0</v>
      </c>
      <c r="BA45" s="19">
        <f t="shared" si="15"/>
        <v>0</v>
      </c>
      <c r="BB45" s="19">
        <f t="shared" si="16"/>
        <v>0</v>
      </c>
      <c r="BC45" s="19">
        <v>0</v>
      </c>
      <c r="BD45" s="19">
        <v>0</v>
      </c>
      <c r="BE45" s="22">
        <f t="shared" si="17"/>
        <v>0</v>
      </c>
      <c r="BF45" s="25" t="s">
        <v>171</v>
      </c>
    </row>
    <row r="46" spans="1:58" s="25" customFormat="1" ht="18" customHeight="1" x14ac:dyDescent="0.25">
      <c r="A46" s="27">
        <v>43</v>
      </c>
      <c r="B46" s="51" t="s">
        <v>207</v>
      </c>
      <c r="C46" s="50" t="s">
        <v>244</v>
      </c>
      <c r="D46" s="52" t="s">
        <v>120</v>
      </c>
      <c r="E46" s="48">
        <v>45241</v>
      </c>
      <c r="F46" s="19" t="s">
        <v>427</v>
      </c>
      <c r="G46" s="19" t="s">
        <v>427</v>
      </c>
      <c r="H46" s="19" t="s">
        <v>427</v>
      </c>
      <c r="I46" s="19" t="s">
        <v>427</v>
      </c>
      <c r="J46" s="129" t="s">
        <v>427</v>
      </c>
      <c r="K46" s="129" t="s">
        <v>427</v>
      </c>
      <c r="L46" s="129" t="s">
        <v>427</v>
      </c>
      <c r="M46" s="19" t="s">
        <v>427</v>
      </c>
      <c r="N46" s="19" t="s">
        <v>427</v>
      </c>
      <c r="O46" s="19" t="s">
        <v>427</v>
      </c>
      <c r="P46" s="19" t="s">
        <v>427</v>
      </c>
      <c r="Q46" s="19" t="s">
        <v>427</v>
      </c>
      <c r="R46" s="19" t="s">
        <v>427</v>
      </c>
      <c r="S46" s="19" t="s">
        <v>427</v>
      </c>
      <c r="T46" s="19" t="s">
        <v>427</v>
      </c>
      <c r="U46" s="19" t="s">
        <v>427</v>
      </c>
      <c r="V46" s="19" t="s">
        <v>427</v>
      </c>
      <c r="W46" s="19" t="s">
        <v>427</v>
      </c>
      <c r="X46" s="19" t="s">
        <v>427</v>
      </c>
      <c r="Y46" s="19" t="s">
        <v>427</v>
      </c>
      <c r="Z46" s="19" t="s">
        <v>427</v>
      </c>
      <c r="AA46" s="19" t="s">
        <v>427</v>
      </c>
      <c r="AB46" s="19" t="s">
        <v>427</v>
      </c>
      <c r="AC46" s="19" t="s">
        <v>427</v>
      </c>
      <c r="AD46" s="19" t="s">
        <v>427</v>
      </c>
      <c r="AE46" s="19" t="s">
        <v>427</v>
      </c>
      <c r="AF46" s="19" t="s">
        <v>427</v>
      </c>
      <c r="AG46" s="19" t="s">
        <v>427</v>
      </c>
      <c r="AH46" s="19" t="s">
        <v>427</v>
      </c>
      <c r="AI46" s="19" t="s">
        <v>427</v>
      </c>
      <c r="AJ46" s="19">
        <f t="shared" si="26"/>
        <v>0</v>
      </c>
      <c r="AK46" s="16">
        <f t="shared" si="27"/>
        <v>0</v>
      </c>
      <c r="AL46" s="16">
        <f t="shared" si="28"/>
        <v>0</v>
      </c>
      <c r="AM46" s="38">
        <f t="shared" si="29"/>
        <v>0</v>
      </c>
      <c r="AN46" s="68">
        <v>550</v>
      </c>
      <c r="AO46" s="21">
        <v>100</v>
      </c>
      <c r="AP46" s="21">
        <v>250</v>
      </c>
      <c r="AQ46" s="19">
        <f t="shared" si="9"/>
        <v>0</v>
      </c>
      <c r="AR46" s="19">
        <f t="shared" si="10"/>
        <v>0</v>
      </c>
      <c r="AS46" s="19">
        <f t="shared" si="11"/>
        <v>0</v>
      </c>
      <c r="AT46" s="19">
        <f t="shared" si="12"/>
        <v>0</v>
      </c>
      <c r="AU46" s="19">
        <f t="shared" si="13"/>
        <v>0</v>
      </c>
      <c r="AV46" s="19">
        <f t="shared" si="14"/>
        <v>0</v>
      </c>
      <c r="AW46" s="19">
        <v>0</v>
      </c>
      <c r="AX46" s="19">
        <f t="shared" si="5"/>
        <v>0</v>
      </c>
      <c r="AY46" s="19">
        <v>0</v>
      </c>
      <c r="AZ46" s="19">
        <v>0</v>
      </c>
      <c r="BA46" s="19">
        <f t="shared" si="15"/>
        <v>0</v>
      </c>
      <c r="BB46" s="19">
        <f t="shared" si="16"/>
        <v>0</v>
      </c>
      <c r="BC46" s="19">
        <v>0</v>
      </c>
      <c r="BD46" s="19">
        <v>0</v>
      </c>
      <c r="BE46" s="22">
        <f t="shared" si="17"/>
        <v>0</v>
      </c>
      <c r="BF46" s="25" t="s">
        <v>171</v>
      </c>
    </row>
    <row r="47" spans="1:58" s="25" customFormat="1" ht="18" customHeight="1" x14ac:dyDescent="0.25">
      <c r="A47" s="27">
        <v>44</v>
      </c>
      <c r="B47" s="51" t="s">
        <v>213</v>
      </c>
      <c r="C47" s="50" t="s">
        <v>218</v>
      </c>
      <c r="D47" s="52" t="s">
        <v>120</v>
      </c>
      <c r="E47" s="48">
        <v>45244</v>
      </c>
      <c r="F47" s="19" t="s">
        <v>427</v>
      </c>
      <c r="G47" s="19" t="s">
        <v>427</v>
      </c>
      <c r="H47" s="19" t="s">
        <v>427</v>
      </c>
      <c r="I47" s="19" t="s">
        <v>427</v>
      </c>
      <c r="J47" s="129" t="s">
        <v>427</v>
      </c>
      <c r="K47" s="129" t="s">
        <v>427</v>
      </c>
      <c r="L47" s="129" t="s">
        <v>427</v>
      </c>
      <c r="M47" s="19" t="s">
        <v>427</v>
      </c>
      <c r="N47" s="19" t="s">
        <v>427</v>
      </c>
      <c r="O47" s="19" t="s">
        <v>427</v>
      </c>
      <c r="P47" s="19" t="s">
        <v>427</v>
      </c>
      <c r="Q47" s="19" t="s">
        <v>427</v>
      </c>
      <c r="R47" s="19" t="s">
        <v>427</v>
      </c>
      <c r="S47" s="19" t="s">
        <v>427</v>
      </c>
      <c r="T47" s="19" t="s">
        <v>427</v>
      </c>
      <c r="U47" s="19" t="s">
        <v>427</v>
      </c>
      <c r="V47" s="19" t="s">
        <v>427</v>
      </c>
      <c r="W47" s="19" t="s">
        <v>427</v>
      </c>
      <c r="X47" s="19" t="s">
        <v>427</v>
      </c>
      <c r="Y47" s="19" t="s">
        <v>427</v>
      </c>
      <c r="Z47" s="19" t="s">
        <v>427</v>
      </c>
      <c r="AA47" s="19" t="s">
        <v>427</v>
      </c>
      <c r="AB47" s="19" t="s">
        <v>427</v>
      </c>
      <c r="AC47" s="19" t="s">
        <v>427</v>
      </c>
      <c r="AD47" s="19" t="s">
        <v>427</v>
      </c>
      <c r="AE47" s="19" t="s">
        <v>427</v>
      </c>
      <c r="AF47" s="19" t="s">
        <v>427</v>
      </c>
      <c r="AG47" s="19" t="s">
        <v>427</v>
      </c>
      <c r="AH47" s="19" t="s">
        <v>427</v>
      </c>
      <c r="AI47" s="19" t="s">
        <v>427</v>
      </c>
      <c r="AJ47" s="19">
        <f t="shared" si="26"/>
        <v>0</v>
      </c>
      <c r="AK47" s="16">
        <f t="shared" si="27"/>
        <v>0</v>
      </c>
      <c r="AL47" s="16">
        <f t="shared" si="28"/>
        <v>0</v>
      </c>
      <c r="AM47" s="38">
        <f t="shared" si="29"/>
        <v>0</v>
      </c>
      <c r="AN47" s="68">
        <v>550</v>
      </c>
      <c r="AO47" s="21">
        <v>100</v>
      </c>
      <c r="AP47" s="21">
        <v>250</v>
      </c>
      <c r="AQ47" s="19">
        <f t="shared" si="9"/>
        <v>0</v>
      </c>
      <c r="AR47" s="19">
        <f t="shared" si="10"/>
        <v>0</v>
      </c>
      <c r="AS47" s="19">
        <f t="shared" si="11"/>
        <v>0</v>
      </c>
      <c r="AT47" s="19">
        <f t="shared" si="12"/>
        <v>0</v>
      </c>
      <c r="AU47" s="19">
        <f t="shared" si="13"/>
        <v>0</v>
      </c>
      <c r="AV47" s="19">
        <f t="shared" si="14"/>
        <v>0</v>
      </c>
      <c r="AW47" s="19">
        <v>0</v>
      </c>
      <c r="AX47" s="19">
        <f t="shared" si="5"/>
        <v>0</v>
      </c>
      <c r="AY47" s="19">
        <v>0</v>
      </c>
      <c r="AZ47" s="19">
        <v>0</v>
      </c>
      <c r="BA47" s="19">
        <f t="shared" si="15"/>
        <v>0</v>
      </c>
      <c r="BB47" s="19">
        <f t="shared" si="16"/>
        <v>0</v>
      </c>
      <c r="BC47" s="19">
        <v>0</v>
      </c>
      <c r="BD47" s="19">
        <v>0</v>
      </c>
      <c r="BE47" s="22">
        <f t="shared" si="17"/>
        <v>0</v>
      </c>
      <c r="BF47" s="25" t="s">
        <v>171</v>
      </c>
    </row>
    <row r="48" spans="1:58" s="25" customFormat="1" ht="18" customHeight="1" x14ac:dyDescent="0.25">
      <c r="A48" s="27">
        <v>45</v>
      </c>
      <c r="B48" s="51" t="s">
        <v>205</v>
      </c>
      <c r="C48" s="50" t="s">
        <v>215</v>
      </c>
      <c r="D48" s="52" t="s">
        <v>120</v>
      </c>
      <c r="E48" s="48">
        <v>45244</v>
      </c>
      <c r="F48" s="19" t="s">
        <v>427</v>
      </c>
      <c r="G48" s="19" t="s">
        <v>427</v>
      </c>
      <c r="H48" s="19" t="s">
        <v>427</v>
      </c>
      <c r="I48" s="19" t="s">
        <v>427</v>
      </c>
      <c r="J48" s="129" t="s">
        <v>427</v>
      </c>
      <c r="K48" s="129" t="s">
        <v>427</v>
      </c>
      <c r="L48" s="129" t="s">
        <v>427</v>
      </c>
      <c r="M48" s="19" t="s">
        <v>427</v>
      </c>
      <c r="N48" s="19" t="s">
        <v>427</v>
      </c>
      <c r="O48" s="19" t="s">
        <v>427</v>
      </c>
      <c r="P48" s="19" t="s">
        <v>427</v>
      </c>
      <c r="Q48" s="19" t="s">
        <v>427</v>
      </c>
      <c r="R48" s="19" t="s">
        <v>427</v>
      </c>
      <c r="S48" s="19" t="s">
        <v>427</v>
      </c>
      <c r="T48" s="19" t="s">
        <v>427</v>
      </c>
      <c r="U48" s="19" t="s">
        <v>427</v>
      </c>
      <c r="V48" s="19" t="s">
        <v>427</v>
      </c>
      <c r="W48" s="19" t="s">
        <v>427</v>
      </c>
      <c r="X48" s="19" t="s">
        <v>427</v>
      </c>
      <c r="Y48" s="19" t="s">
        <v>427</v>
      </c>
      <c r="Z48" s="19" t="s">
        <v>427</v>
      </c>
      <c r="AA48" s="19" t="s">
        <v>427</v>
      </c>
      <c r="AB48" s="19" t="s">
        <v>427</v>
      </c>
      <c r="AC48" s="19" t="s">
        <v>427</v>
      </c>
      <c r="AD48" s="19" t="s">
        <v>427</v>
      </c>
      <c r="AE48" s="19" t="s">
        <v>427</v>
      </c>
      <c r="AF48" s="19" t="s">
        <v>427</v>
      </c>
      <c r="AG48" s="19" t="s">
        <v>427</v>
      </c>
      <c r="AH48" s="19" t="s">
        <v>427</v>
      </c>
      <c r="AI48" s="19" t="s">
        <v>427</v>
      </c>
      <c r="AJ48" s="19">
        <f t="shared" si="26"/>
        <v>0</v>
      </c>
      <c r="AK48" s="16">
        <f t="shared" si="27"/>
        <v>0</v>
      </c>
      <c r="AL48" s="16">
        <f t="shared" si="28"/>
        <v>0</v>
      </c>
      <c r="AM48" s="38">
        <f t="shared" si="29"/>
        <v>0</v>
      </c>
      <c r="AN48" s="68">
        <v>550</v>
      </c>
      <c r="AO48" s="21">
        <v>100</v>
      </c>
      <c r="AP48" s="21">
        <v>250</v>
      </c>
      <c r="AQ48" s="19">
        <f t="shared" si="9"/>
        <v>0</v>
      </c>
      <c r="AR48" s="19">
        <f t="shared" si="10"/>
        <v>0</v>
      </c>
      <c r="AS48" s="19">
        <f t="shared" si="11"/>
        <v>0</v>
      </c>
      <c r="AT48" s="19">
        <f t="shared" si="12"/>
        <v>0</v>
      </c>
      <c r="AU48" s="19">
        <f t="shared" si="13"/>
        <v>0</v>
      </c>
      <c r="AV48" s="19">
        <f t="shared" si="14"/>
        <v>0</v>
      </c>
      <c r="AW48" s="19">
        <v>0</v>
      </c>
      <c r="AX48" s="19">
        <f t="shared" si="5"/>
        <v>0</v>
      </c>
      <c r="AY48" s="19">
        <v>0</v>
      </c>
      <c r="AZ48" s="19">
        <v>0</v>
      </c>
      <c r="BA48" s="19">
        <f t="shared" si="15"/>
        <v>0</v>
      </c>
      <c r="BB48" s="19">
        <f t="shared" si="16"/>
        <v>0</v>
      </c>
      <c r="BC48" s="19">
        <v>0</v>
      </c>
      <c r="BD48" s="19">
        <v>0</v>
      </c>
      <c r="BE48" s="22">
        <f t="shared" si="17"/>
        <v>0</v>
      </c>
      <c r="BF48" s="25" t="s">
        <v>171</v>
      </c>
    </row>
    <row r="49" spans="1:58" s="25" customFormat="1" ht="18" customHeight="1" x14ac:dyDescent="0.25">
      <c r="A49" s="27">
        <v>46</v>
      </c>
      <c r="B49" s="51" t="s">
        <v>280</v>
      </c>
      <c r="C49" s="50" t="s">
        <v>291</v>
      </c>
      <c r="D49" s="52" t="s">
        <v>120</v>
      </c>
      <c r="E49" s="48">
        <v>45330</v>
      </c>
      <c r="F49" s="19" t="s">
        <v>427</v>
      </c>
      <c r="G49" s="19" t="s">
        <v>427</v>
      </c>
      <c r="H49" s="19" t="s">
        <v>427</v>
      </c>
      <c r="I49" s="19" t="s">
        <v>427</v>
      </c>
      <c r="J49" s="129" t="s">
        <v>427</v>
      </c>
      <c r="K49" s="129" t="s">
        <v>427</v>
      </c>
      <c r="L49" s="129" t="s">
        <v>427</v>
      </c>
      <c r="M49" s="19" t="s">
        <v>427</v>
      </c>
      <c r="N49" s="19" t="s">
        <v>427</v>
      </c>
      <c r="O49" s="19" t="s">
        <v>427</v>
      </c>
      <c r="P49" s="19" t="s">
        <v>427</v>
      </c>
      <c r="Q49" s="19" t="s">
        <v>427</v>
      </c>
      <c r="R49" s="19" t="s">
        <v>427</v>
      </c>
      <c r="S49" s="19" t="s">
        <v>427</v>
      </c>
      <c r="T49" s="19" t="s">
        <v>427</v>
      </c>
      <c r="U49" s="19" t="s">
        <v>427</v>
      </c>
      <c r="V49" s="19" t="s">
        <v>427</v>
      </c>
      <c r="W49" s="19" t="s">
        <v>427</v>
      </c>
      <c r="X49" s="19" t="s">
        <v>427</v>
      </c>
      <c r="Y49" s="19" t="s">
        <v>427</v>
      </c>
      <c r="Z49" s="19" t="s">
        <v>427</v>
      </c>
      <c r="AA49" s="19" t="s">
        <v>427</v>
      </c>
      <c r="AB49" s="19" t="s">
        <v>427</v>
      </c>
      <c r="AC49" s="19" t="s">
        <v>427</v>
      </c>
      <c r="AD49" s="19" t="s">
        <v>427</v>
      </c>
      <c r="AE49" s="19" t="s">
        <v>427</v>
      </c>
      <c r="AF49" s="19" t="s">
        <v>427</v>
      </c>
      <c r="AG49" s="19" t="s">
        <v>427</v>
      </c>
      <c r="AH49" s="19" t="s">
        <v>427</v>
      </c>
      <c r="AI49" s="19" t="s">
        <v>427</v>
      </c>
      <c r="AJ49" s="19">
        <f t="shared" si="26"/>
        <v>0</v>
      </c>
      <c r="AK49" s="16">
        <f t="shared" si="27"/>
        <v>0</v>
      </c>
      <c r="AL49" s="16">
        <f t="shared" si="28"/>
        <v>0</v>
      </c>
      <c r="AM49" s="38">
        <f t="shared" si="29"/>
        <v>0</v>
      </c>
      <c r="AN49" s="68">
        <v>550</v>
      </c>
      <c r="AO49" s="21">
        <v>100</v>
      </c>
      <c r="AP49" s="21">
        <v>250</v>
      </c>
      <c r="AQ49" s="19">
        <f t="shared" si="9"/>
        <v>0</v>
      </c>
      <c r="AR49" s="19">
        <f t="shared" si="10"/>
        <v>0</v>
      </c>
      <c r="AS49" s="19">
        <f t="shared" si="11"/>
        <v>0</v>
      </c>
      <c r="AT49" s="19">
        <f t="shared" si="12"/>
        <v>0</v>
      </c>
      <c r="AU49" s="19">
        <f t="shared" si="13"/>
        <v>0</v>
      </c>
      <c r="AV49" s="19">
        <f t="shared" si="14"/>
        <v>0</v>
      </c>
      <c r="AW49" s="19">
        <v>0</v>
      </c>
      <c r="AX49" s="19">
        <f t="shared" si="5"/>
        <v>0</v>
      </c>
      <c r="AY49" s="19">
        <v>0</v>
      </c>
      <c r="AZ49" s="19">
        <v>0</v>
      </c>
      <c r="BA49" s="19">
        <f t="shared" si="15"/>
        <v>0</v>
      </c>
      <c r="BB49" s="19">
        <f t="shared" si="16"/>
        <v>0</v>
      </c>
      <c r="BC49" s="19">
        <v>0</v>
      </c>
      <c r="BD49" s="19">
        <v>0</v>
      </c>
      <c r="BE49" s="22">
        <f t="shared" si="17"/>
        <v>0</v>
      </c>
      <c r="BF49" s="25" t="s">
        <v>171</v>
      </c>
    </row>
    <row r="50" spans="1:58" s="25" customFormat="1" ht="18" customHeight="1" x14ac:dyDescent="0.25">
      <c r="A50" s="27">
        <v>47</v>
      </c>
      <c r="B50" s="51" t="s">
        <v>282</v>
      </c>
      <c r="C50" s="50" t="s">
        <v>293</v>
      </c>
      <c r="D50" s="52" t="s">
        <v>120</v>
      </c>
      <c r="E50" s="48">
        <v>45330</v>
      </c>
      <c r="F50" s="19" t="s">
        <v>427</v>
      </c>
      <c r="G50" s="19" t="s">
        <v>427</v>
      </c>
      <c r="H50" s="19" t="s">
        <v>427</v>
      </c>
      <c r="I50" s="19" t="s">
        <v>427</v>
      </c>
      <c r="J50" s="129" t="s">
        <v>427</v>
      </c>
      <c r="K50" s="129" t="s">
        <v>427</v>
      </c>
      <c r="L50" s="129" t="s">
        <v>427</v>
      </c>
      <c r="M50" s="19" t="s">
        <v>427</v>
      </c>
      <c r="N50" s="19" t="s">
        <v>427</v>
      </c>
      <c r="O50" s="19" t="s">
        <v>427</v>
      </c>
      <c r="P50" s="19" t="s">
        <v>427</v>
      </c>
      <c r="Q50" s="19" t="s">
        <v>427</v>
      </c>
      <c r="R50" s="19" t="s">
        <v>427</v>
      </c>
      <c r="S50" s="19" t="s">
        <v>427</v>
      </c>
      <c r="T50" s="19" t="s">
        <v>427</v>
      </c>
      <c r="U50" s="19" t="s">
        <v>427</v>
      </c>
      <c r="V50" s="19" t="s">
        <v>427</v>
      </c>
      <c r="W50" s="19" t="s">
        <v>427</v>
      </c>
      <c r="X50" s="19" t="s">
        <v>427</v>
      </c>
      <c r="Y50" s="19" t="s">
        <v>427</v>
      </c>
      <c r="Z50" s="19" t="s">
        <v>427</v>
      </c>
      <c r="AA50" s="19" t="s">
        <v>427</v>
      </c>
      <c r="AB50" s="19" t="s">
        <v>427</v>
      </c>
      <c r="AC50" s="19" t="s">
        <v>427</v>
      </c>
      <c r="AD50" s="19" t="s">
        <v>427</v>
      </c>
      <c r="AE50" s="19" t="s">
        <v>427</v>
      </c>
      <c r="AF50" s="19" t="s">
        <v>427</v>
      </c>
      <c r="AG50" s="19" t="s">
        <v>427</v>
      </c>
      <c r="AH50" s="19" t="s">
        <v>427</v>
      </c>
      <c r="AI50" s="19" t="s">
        <v>427</v>
      </c>
      <c r="AJ50" s="19">
        <f t="shared" si="26"/>
        <v>0</v>
      </c>
      <c r="AK50" s="16">
        <f t="shared" si="27"/>
        <v>0</v>
      </c>
      <c r="AL50" s="16">
        <f t="shared" si="28"/>
        <v>0</v>
      </c>
      <c r="AM50" s="38">
        <f t="shared" si="29"/>
        <v>0</v>
      </c>
      <c r="AN50" s="68">
        <v>550</v>
      </c>
      <c r="AO50" s="21">
        <v>100</v>
      </c>
      <c r="AP50" s="21">
        <v>250</v>
      </c>
      <c r="AQ50" s="19">
        <f t="shared" si="9"/>
        <v>0</v>
      </c>
      <c r="AR50" s="19">
        <f t="shared" si="10"/>
        <v>0</v>
      </c>
      <c r="AS50" s="19">
        <f t="shared" si="11"/>
        <v>0</v>
      </c>
      <c r="AT50" s="19">
        <f t="shared" si="12"/>
        <v>0</v>
      </c>
      <c r="AU50" s="19">
        <f t="shared" si="13"/>
        <v>0</v>
      </c>
      <c r="AV50" s="19">
        <f t="shared" si="14"/>
        <v>0</v>
      </c>
      <c r="AW50" s="19">
        <v>0</v>
      </c>
      <c r="AX50" s="19">
        <f t="shared" si="5"/>
        <v>0</v>
      </c>
      <c r="AY50" s="19">
        <v>0</v>
      </c>
      <c r="AZ50" s="19">
        <v>0</v>
      </c>
      <c r="BA50" s="19">
        <f t="shared" si="15"/>
        <v>0</v>
      </c>
      <c r="BB50" s="19">
        <f t="shared" si="16"/>
        <v>0</v>
      </c>
      <c r="BC50" s="19">
        <v>0</v>
      </c>
      <c r="BD50" s="19">
        <v>0</v>
      </c>
      <c r="BE50" s="22">
        <f t="shared" si="17"/>
        <v>0</v>
      </c>
      <c r="BF50" s="25" t="s">
        <v>171</v>
      </c>
    </row>
    <row r="51" spans="1:58" s="25" customFormat="1" ht="18" customHeight="1" x14ac:dyDescent="0.25">
      <c r="A51" s="27">
        <v>48</v>
      </c>
      <c r="B51" s="51" t="s">
        <v>310</v>
      </c>
      <c r="C51" s="50" t="s">
        <v>313</v>
      </c>
      <c r="D51" s="52" t="s">
        <v>120</v>
      </c>
      <c r="E51" s="48">
        <v>45386</v>
      </c>
      <c r="F51" s="19" t="s">
        <v>427</v>
      </c>
      <c r="G51" s="19" t="s">
        <v>427</v>
      </c>
      <c r="H51" s="19" t="s">
        <v>427</v>
      </c>
      <c r="I51" s="19" t="s">
        <v>427</v>
      </c>
      <c r="J51" s="129" t="s">
        <v>427</v>
      </c>
      <c r="K51" s="129" t="s">
        <v>427</v>
      </c>
      <c r="L51" s="129" t="s">
        <v>427</v>
      </c>
      <c r="M51" s="19" t="s">
        <v>427</v>
      </c>
      <c r="N51" s="19" t="s">
        <v>427</v>
      </c>
      <c r="O51" s="19" t="s">
        <v>427</v>
      </c>
      <c r="P51" s="19" t="s">
        <v>427</v>
      </c>
      <c r="Q51" s="19" t="s">
        <v>427</v>
      </c>
      <c r="R51" s="19" t="s">
        <v>427</v>
      </c>
      <c r="S51" s="19" t="s">
        <v>427</v>
      </c>
      <c r="T51" s="19" t="s">
        <v>427</v>
      </c>
      <c r="U51" s="19" t="s">
        <v>427</v>
      </c>
      <c r="V51" s="19" t="s">
        <v>427</v>
      </c>
      <c r="W51" s="19" t="s">
        <v>427</v>
      </c>
      <c r="X51" s="19" t="s">
        <v>427</v>
      </c>
      <c r="Y51" s="19" t="s">
        <v>427</v>
      </c>
      <c r="Z51" s="19" t="s">
        <v>427</v>
      </c>
      <c r="AA51" s="19" t="s">
        <v>427</v>
      </c>
      <c r="AB51" s="19" t="s">
        <v>427</v>
      </c>
      <c r="AC51" s="19" t="s">
        <v>427</v>
      </c>
      <c r="AD51" s="19" t="s">
        <v>427</v>
      </c>
      <c r="AE51" s="19" t="s">
        <v>427</v>
      </c>
      <c r="AF51" s="19" t="s">
        <v>427</v>
      </c>
      <c r="AG51" s="19" t="s">
        <v>427</v>
      </c>
      <c r="AH51" s="19" t="s">
        <v>427</v>
      </c>
      <c r="AI51" s="19" t="s">
        <v>427</v>
      </c>
      <c r="AJ51" s="19">
        <f t="shared" si="26"/>
        <v>0</v>
      </c>
      <c r="AK51" s="16">
        <f t="shared" si="27"/>
        <v>0</v>
      </c>
      <c r="AL51" s="16">
        <f t="shared" si="28"/>
        <v>0</v>
      </c>
      <c r="AM51" s="38">
        <f t="shared" si="29"/>
        <v>0</v>
      </c>
      <c r="AN51" s="68">
        <v>550</v>
      </c>
      <c r="AO51" s="21">
        <v>100</v>
      </c>
      <c r="AP51" s="21">
        <v>250</v>
      </c>
      <c r="AQ51" s="19">
        <f t="shared" si="9"/>
        <v>0</v>
      </c>
      <c r="AR51" s="19">
        <f t="shared" si="10"/>
        <v>0</v>
      </c>
      <c r="AS51" s="19">
        <f t="shared" si="11"/>
        <v>0</v>
      </c>
      <c r="AT51" s="19">
        <f t="shared" si="12"/>
        <v>0</v>
      </c>
      <c r="AU51" s="19">
        <f t="shared" si="13"/>
        <v>0</v>
      </c>
      <c r="AV51" s="19">
        <f t="shared" si="14"/>
        <v>0</v>
      </c>
      <c r="AW51" s="19">
        <v>0</v>
      </c>
      <c r="AX51" s="19">
        <f t="shared" si="5"/>
        <v>0</v>
      </c>
      <c r="AY51" s="19">
        <v>0</v>
      </c>
      <c r="AZ51" s="19">
        <v>0</v>
      </c>
      <c r="BA51" s="19">
        <f t="shared" si="15"/>
        <v>0</v>
      </c>
      <c r="BB51" s="19">
        <f t="shared" si="16"/>
        <v>0</v>
      </c>
      <c r="BC51" s="19">
        <v>0</v>
      </c>
      <c r="BD51" s="19">
        <v>0</v>
      </c>
      <c r="BE51" s="22">
        <f t="shared" si="17"/>
        <v>0</v>
      </c>
      <c r="BF51" s="25" t="s">
        <v>171</v>
      </c>
    </row>
    <row r="52" spans="1:58" s="25" customFormat="1" ht="18" customHeight="1" x14ac:dyDescent="0.25">
      <c r="A52" s="27">
        <v>49</v>
      </c>
      <c r="B52" s="51" t="s">
        <v>311</v>
      </c>
      <c r="C52" s="50" t="s">
        <v>312</v>
      </c>
      <c r="D52" s="52" t="s">
        <v>120</v>
      </c>
      <c r="E52" s="48">
        <v>45386</v>
      </c>
      <c r="F52" s="19" t="s">
        <v>427</v>
      </c>
      <c r="G52" s="19" t="s">
        <v>427</v>
      </c>
      <c r="H52" s="19" t="s">
        <v>427</v>
      </c>
      <c r="I52" s="19" t="s">
        <v>427</v>
      </c>
      <c r="J52" s="129" t="s">
        <v>427</v>
      </c>
      <c r="K52" s="129" t="s">
        <v>427</v>
      </c>
      <c r="L52" s="129" t="s">
        <v>427</v>
      </c>
      <c r="M52" s="19" t="s">
        <v>427</v>
      </c>
      <c r="N52" s="19" t="s">
        <v>427</v>
      </c>
      <c r="O52" s="19" t="s">
        <v>427</v>
      </c>
      <c r="P52" s="19" t="s">
        <v>427</v>
      </c>
      <c r="Q52" s="19" t="s">
        <v>427</v>
      </c>
      <c r="R52" s="19" t="s">
        <v>427</v>
      </c>
      <c r="S52" s="19" t="s">
        <v>427</v>
      </c>
      <c r="T52" s="19" t="s">
        <v>427</v>
      </c>
      <c r="U52" s="19" t="s">
        <v>427</v>
      </c>
      <c r="V52" s="19" t="s">
        <v>427</v>
      </c>
      <c r="W52" s="19" t="s">
        <v>427</v>
      </c>
      <c r="X52" s="19" t="s">
        <v>427</v>
      </c>
      <c r="Y52" s="19" t="s">
        <v>427</v>
      </c>
      <c r="Z52" s="19" t="s">
        <v>427</v>
      </c>
      <c r="AA52" s="19" t="s">
        <v>427</v>
      </c>
      <c r="AB52" s="19" t="s">
        <v>427</v>
      </c>
      <c r="AC52" s="19" t="s">
        <v>427</v>
      </c>
      <c r="AD52" s="19" t="s">
        <v>427</v>
      </c>
      <c r="AE52" s="19" t="s">
        <v>427</v>
      </c>
      <c r="AF52" s="19" t="s">
        <v>427</v>
      </c>
      <c r="AG52" s="19" t="s">
        <v>427</v>
      </c>
      <c r="AH52" s="19" t="s">
        <v>427</v>
      </c>
      <c r="AI52" s="19" t="s">
        <v>427</v>
      </c>
      <c r="AJ52" s="19">
        <f t="shared" si="26"/>
        <v>0</v>
      </c>
      <c r="AK52" s="16">
        <f t="shared" si="27"/>
        <v>0</v>
      </c>
      <c r="AL52" s="16">
        <f t="shared" si="28"/>
        <v>0</v>
      </c>
      <c r="AM52" s="38">
        <f t="shared" si="29"/>
        <v>0</v>
      </c>
      <c r="AN52" s="68">
        <v>550</v>
      </c>
      <c r="AO52" s="21">
        <v>100</v>
      </c>
      <c r="AP52" s="21">
        <v>250</v>
      </c>
      <c r="AQ52" s="19">
        <f t="shared" si="9"/>
        <v>0</v>
      </c>
      <c r="AR52" s="19">
        <f t="shared" si="10"/>
        <v>0</v>
      </c>
      <c r="AS52" s="19">
        <f t="shared" si="11"/>
        <v>0</v>
      </c>
      <c r="AT52" s="19">
        <f t="shared" si="12"/>
        <v>0</v>
      </c>
      <c r="AU52" s="19">
        <f t="shared" si="13"/>
        <v>0</v>
      </c>
      <c r="AV52" s="19">
        <f t="shared" si="14"/>
        <v>0</v>
      </c>
      <c r="AW52" s="19">
        <v>0</v>
      </c>
      <c r="AX52" s="19">
        <f t="shared" si="5"/>
        <v>0</v>
      </c>
      <c r="AY52" s="19">
        <v>0</v>
      </c>
      <c r="AZ52" s="19">
        <v>0</v>
      </c>
      <c r="BA52" s="19">
        <f t="shared" si="15"/>
        <v>0</v>
      </c>
      <c r="BB52" s="19">
        <f t="shared" si="16"/>
        <v>0</v>
      </c>
      <c r="BC52" s="19">
        <v>0</v>
      </c>
      <c r="BD52" s="19">
        <v>0</v>
      </c>
      <c r="BE52" s="22">
        <f t="shared" si="17"/>
        <v>0</v>
      </c>
      <c r="BF52" s="25" t="s">
        <v>171</v>
      </c>
    </row>
    <row r="53" spans="1:58" s="25" customFormat="1" ht="18" customHeight="1" thickBot="1" x14ac:dyDescent="0.3">
      <c r="A53" s="39"/>
      <c r="B53" s="65"/>
      <c r="C53" s="42"/>
      <c r="D53" s="41"/>
      <c r="E53" s="66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1"/>
      <c r="AL53" s="41"/>
      <c r="AM53" s="45"/>
      <c r="AN53" s="70"/>
      <c r="AO53" s="71"/>
      <c r="AP53" s="71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72"/>
    </row>
    <row r="54" spans="1:58" s="25" customFormat="1" ht="18" customHeight="1" thickBot="1" x14ac:dyDescent="0.3">
      <c r="A54" s="60"/>
      <c r="B54" s="61"/>
      <c r="C54" s="62"/>
      <c r="D54" s="62"/>
      <c r="E54" s="61"/>
      <c r="F54" s="63">
        <f t="shared" ref="F54:AJ54" si="30">SUM(F4:F53)</f>
        <v>0</v>
      </c>
      <c r="G54" s="63">
        <f t="shared" si="30"/>
        <v>0</v>
      </c>
      <c r="H54" s="63">
        <f t="shared" si="30"/>
        <v>0</v>
      </c>
      <c r="I54" s="63">
        <f t="shared" si="30"/>
        <v>0</v>
      </c>
      <c r="J54" s="63">
        <f t="shared" si="30"/>
        <v>0</v>
      </c>
      <c r="K54" s="63">
        <f t="shared" si="30"/>
        <v>0</v>
      </c>
      <c r="L54" s="63">
        <f t="shared" si="30"/>
        <v>0</v>
      </c>
      <c r="M54" s="63">
        <f t="shared" si="30"/>
        <v>0</v>
      </c>
      <c r="N54" s="63">
        <f t="shared" si="30"/>
        <v>0</v>
      </c>
      <c r="O54" s="63">
        <f t="shared" si="30"/>
        <v>0</v>
      </c>
      <c r="P54" s="63">
        <f t="shared" si="30"/>
        <v>0</v>
      </c>
      <c r="Q54" s="63">
        <f t="shared" si="30"/>
        <v>0</v>
      </c>
      <c r="R54" s="63">
        <f t="shared" si="30"/>
        <v>0</v>
      </c>
      <c r="S54" s="63">
        <f t="shared" si="30"/>
        <v>0</v>
      </c>
      <c r="T54" s="63">
        <f t="shared" si="30"/>
        <v>0</v>
      </c>
      <c r="U54" s="63">
        <f t="shared" si="30"/>
        <v>0</v>
      </c>
      <c r="V54" s="63">
        <f t="shared" si="30"/>
        <v>0</v>
      </c>
      <c r="W54" s="63">
        <f t="shared" si="30"/>
        <v>0</v>
      </c>
      <c r="X54" s="63">
        <f t="shared" si="30"/>
        <v>0</v>
      </c>
      <c r="Y54" s="63">
        <f t="shared" si="30"/>
        <v>0</v>
      </c>
      <c r="Z54" s="63">
        <f t="shared" si="30"/>
        <v>0</v>
      </c>
      <c r="AA54" s="63">
        <f t="shared" si="30"/>
        <v>0</v>
      </c>
      <c r="AB54" s="63">
        <f t="shared" si="30"/>
        <v>0</v>
      </c>
      <c r="AC54" s="63">
        <f t="shared" si="30"/>
        <v>0</v>
      </c>
      <c r="AD54" s="63">
        <f t="shared" si="30"/>
        <v>0</v>
      </c>
      <c r="AE54" s="63">
        <f t="shared" si="30"/>
        <v>0</v>
      </c>
      <c r="AF54" s="63">
        <f t="shared" si="30"/>
        <v>0</v>
      </c>
      <c r="AG54" s="63">
        <f t="shared" si="30"/>
        <v>0</v>
      </c>
      <c r="AH54" s="63">
        <f t="shared" si="30"/>
        <v>0</v>
      </c>
      <c r="AI54" s="63">
        <f t="shared" si="30"/>
        <v>0</v>
      </c>
      <c r="AJ54" s="63">
        <f t="shared" si="30"/>
        <v>0</v>
      </c>
      <c r="AK54" s="63">
        <f t="shared" ref="AK54:BE54" si="31">SUM(AK4:AK53)</f>
        <v>727</v>
      </c>
      <c r="AL54" s="63">
        <f t="shared" si="31"/>
        <v>19</v>
      </c>
      <c r="AM54" s="64">
        <f t="shared" si="31"/>
        <v>0</v>
      </c>
      <c r="AN54" s="67">
        <f t="shared" si="31"/>
        <v>26950</v>
      </c>
      <c r="AO54" s="63">
        <f t="shared" si="31"/>
        <v>4900</v>
      </c>
      <c r="AP54" s="63">
        <f t="shared" si="31"/>
        <v>13350</v>
      </c>
      <c r="AQ54" s="63">
        <f t="shared" si="31"/>
        <v>13328</v>
      </c>
      <c r="AR54" s="63">
        <f t="shared" si="31"/>
        <v>2423</v>
      </c>
      <c r="AS54" s="63">
        <f t="shared" si="31"/>
        <v>6596</v>
      </c>
      <c r="AT54" s="63">
        <f t="shared" si="31"/>
        <v>0</v>
      </c>
      <c r="AU54" s="63">
        <f t="shared" si="31"/>
        <v>0</v>
      </c>
      <c r="AV54" s="63">
        <f t="shared" si="31"/>
        <v>0</v>
      </c>
      <c r="AW54" s="63">
        <f t="shared" si="31"/>
        <v>0</v>
      </c>
      <c r="AX54" s="63">
        <f t="shared" si="31"/>
        <v>22347</v>
      </c>
      <c r="AY54" s="63">
        <f t="shared" si="31"/>
        <v>0</v>
      </c>
      <c r="AZ54" s="63">
        <f t="shared" si="31"/>
        <v>0</v>
      </c>
      <c r="BA54" s="63">
        <f t="shared" si="31"/>
        <v>0</v>
      </c>
      <c r="BB54" s="63">
        <f t="shared" si="31"/>
        <v>22347</v>
      </c>
      <c r="BC54" s="63">
        <f t="shared" si="31"/>
        <v>0</v>
      </c>
      <c r="BD54" s="63">
        <f t="shared" si="31"/>
        <v>0</v>
      </c>
      <c r="BE54" s="64">
        <f t="shared" si="31"/>
        <v>22347</v>
      </c>
    </row>
    <row r="57" spans="1:58" x14ac:dyDescent="0.2">
      <c r="B57" s="98" t="s">
        <v>148</v>
      </c>
      <c r="C57" s="55" t="s">
        <v>419</v>
      </c>
    </row>
    <row r="58" spans="1:58" x14ac:dyDescent="0.2">
      <c r="B58" s="19" t="s">
        <v>427</v>
      </c>
      <c r="C58" s="55" t="s">
        <v>171</v>
      </c>
    </row>
    <row r="59" spans="1:58" x14ac:dyDescent="0.2">
      <c r="B59" s="92" t="s">
        <v>418</v>
      </c>
      <c r="C59" s="55" t="s">
        <v>302</v>
      </c>
    </row>
    <row r="60" spans="1:58" x14ac:dyDescent="0.2">
      <c r="B60" s="93" t="s">
        <v>417</v>
      </c>
      <c r="C60" s="55" t="s">
        <v>172</v>
      </c>
      <c r="K60" s="10"/>
      <c r="S60" s="10"/>
      <c r="T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58" x14ac:dyDescent="0.2">
      <c r="B61" s="94"/>
      <c r="C61" s="55" t="s">
        <v>373</v>
      </c>
    </row>
    <row r="62" spans="1:58" ht="13.5" x14ac:dyDescent="0.25">
      <c r="B62" s="96"/>
      <c r="C62" s="55" t="s">
        <v>374</v>
      </c>
    </row>
    <row r="64" spans="1:58" x14ac:dyDescent="0.2">
      <c r="C64" s="54"/>
    </row>
    <row r="65" spans="3:3" x14ac:dyDescent="0.2">
      <c r="C65" s="54"/>
    </row>
    <row r="66" spans="3:3" x14ac:dyDescent="0.2">
      <c r="C66" s="54"/>
    </row>
    <row r="67" spans="3:3" x14ac:dyDescent="0.2">
      <c r="C67" s="54"/>
    </row>
    <row r="68" spans="3:3" x14ac:dyDescent="0.2">
      <c r="C68" s="54"/>
    </row>
    <row r="69" spans="3:3" x14ac:dyDescent="0.2">
      <c r="C69" s="54"/>
    </row>
    <row r="70" spans="3:3" x14ac:dyDescent="0.2">
      <c r="C70" s="54"/>
    </row>
    <row r="71" spans="3:3" x14ac:dyDescent="0.2">
      <c r="C71" s="54"/>
    </row>
    <row r="72" spans="3:3" x14ac:dyDescent="0.2">
      <c r="C72" s="54"/>
    </row>
    <row r="73" spans="3:3" x14ac:dyDescent="0.2">
      <c r="C73" s="54"/>
    </row>
    <row r="74" spans="3:3" x14ac:dyDescent="0.2">
      <c r="C74" s="54"/>
    </row>
    <row r="75" spans="3:3" x14ac:dyDescent="0.2">
      <c r="C75" s="54"/>
    </row>
    <row r="76" spans="3:3" x14ac:dyDescent="0.2">
      <c r="C76" s="54"/>
    </row>
    <row r="77" spans="3:3" x14ac:dyDescent="0.2">
      <c r="C77" s="54"/>
    </row>
    <row r="78" spans="3:3" x14ac:dyDescent="0.2">
      <c r="C78" s="54"/>
    </row>
    <row r="79" spans="3:3" x14ac:dyDescent="0.2">
      <c r="C79" s="54"/>
    </row>
    <row r="80" spans="3:3" x14ac:dyDescent="0.2">
      <c r="C80" s="54"/>
    </row>
    <row r="81" spans="3:3" x14ac:dyDescent="0.2">
      <c r="C81" s="54"/>
    </row>
    <row r="82" spans="3:3" x14ac:dyDescent="0.2">
      <c r="C82" s="54"/>
    </row>
    <row r="83" spans="3:3" x14ac:dyDescent="0.2">
      <c r="C83" s="54"/>
    </row>
    <row r="84" spans="3:3" x14ac:dyDescent="0.2">
      <c r="C84" s="54"/>
    </row>
    <row r="85" spans="3:3" x14ac:dyDescent="0.2">
      <c r="C85" s="54"/>
    </row>
    <row r="86" spans="3:3" x14ac:dyDescent="0.2">
      <c r="C86" s="54"/>
    </row>
    <row r="87" spans="3:3" x14ac:dyDescent="0.2">
      <c r="C87" s="54"/>
    </row>
    <row r="88" spans="3:3" x14ac:dyDescent="0.2">
      <c r="C88" s="54"/>
    </row>
    <row r="89" spans="3:3" x14ac:dyDescent="0.2">
      <c r="C89" s="54"/>
    </row>
    <row r="90" spans="3:3" x14ac:dyDescent="0.2">
      <c r="C90" s="54"/>
    </row>
    <row r="91" spans="3:3" x14ac:dyDescent="0.2">
      <c r="C91" s="54"/>
    </row>
    <row r="92" spans="3:3" x14ac:dyDescent="0.2">
      <c r="C92" s="54"/>
    </row>
    <row r="93" spans="3:3" x14ac:dyDescent="0.2">
      <c r="C93" s="54"/>
    </row>
    <row r="94" spans="3:3" x14ac:dyDescent="0.2">
      <c r="C94" s="54"/>
    </row>
    <row r="95" spans="3:3" x14ac:dyDescent="0.2">
      <c r="C95" s="54"/>
    </row>
    <row r="96" spans="3:3" x14ac:dyDescent="0.2">
      <c r="C96" s="54"/>
    </row>
    <row r="97" spans="3:3" x14ac:dyDescent="0.2">
      <c r="C97" s="54"/>
    </row>
    <row r="98" spans="3:3" x14ac:dyDescent="0.2">
      <c r="C98" s="54"/>
    </row>
    <row r="99" spans="3:3" x14ac:dyDescent="0.2">
      <c r="C99" s="54"/>
    </row>
    <row r="100" spans="3:3" x14ac:dyDescent="0.2">
      <c r="C100" s="54"/>
    </row>
    <row r="101" spans="3:3" x14ac:dyDescent="0.2">
      <c r="C101" s="54"/>
    </row>
    <row r="102" spans="3:3" x14ac:dyDescent="0.2">
      <c r="C102" s="54"/>
    </row>
  </sheetData>
  <mergeCells count="29">
    <mergeCell ref="A1:AM1"/>
    <mergeCell ref="AU2:AU3"/>
    <mergeCell ref="AV2:AV3"/>
    <mergeCell ref="AN2:AN3"/>
    <mergeCell ref="AO2:AO3"/>
    <mergeCell ref="AM2:AM3"/>
    <mergeCell ref="AN1:BE1"/>
    <mergeCell ref="BD2:BD3"/>
    <mergeCell ref="BE2:BE3"/>
    <mergeCell ref="AX2:AX3"/>
    <mergeCell ref="AY2:AY3"/>
    <mergeCell ref="AZ2:AZ3"/>
    <mergeCell ref="BA2:BA3"/>
    <mergeCell ref="BB2:BB3"/>
    <mergeCell ref="BC2:BC3"/>
    <mergeCell ref="AR2:AR3"/>
    <mergeCell ref="AL2:AL3"/>
    <mergeCell ref="A2:A3"/>
    <mergeCell ref="B2:B3"/>
    <mergeCell ref="C2:C3"/>
    <mergeCell ref="D2:D3"/>
    <mergeCell ref="AK2:AK3"/>
    <mergeCell ref="E2:E3"/>
    <mergeCell ref="AJ2:AJ3"/>
    <mergeCell ref="AW2:AW3"/>
    <mergeCell ref="AT2:AT3"/>
    <mergeCell ref="AP2:AP3"/>
    <mergeCell ref="AS2:AS3"/>
    <mergeCell ref="AQ2:AQ3"/>
  </mergeCells>
  <conditionalFormatting sqref="B1:B1048576">
    <cfRule type="duplicateValues" dxfId="260" priority="23"/>
  </conditionalFormatting>
  <conditionalFormatting sqref="B7 B28:B29">
    <cfRule type="duplicateValues" dxfId="259" priority="24782"/>
  </conditionalFormatting>
  <conditionalFormatting sqref="B7">
    <cfRule type="duplicateValues" dxfId="258" priority="24780"/>
  </conditionalFormatting>
  <conditionalFormatting sqref="B8">
    <cfRule type="duplicateValues" dxfId="257" priority="73248"/>
    <cfRule type="duplicateValues" dxfId="256" priority="73247"/>
  </conditionalFormatting>
  <conditionalFormatting sqref="B10">
    <cfRule type="duplicateValues" dxfId="255" priority="18231"/>
  </conditionalFormatting>
  <conditionalFormatting sqref="B13">
    <cfRule type="duplicateValues" dxfId="254" priority="18188"/>
  </conditionalFormatting>
  <conditionalFormatting sqref="B15">
    <cfRule type="duplicateValues" dxfId="253" priority="24775"/>
  </conditionalFormatting>
  <conditionalFormatting sqref="B19:B20">
    <cfRule type="duplicateValues" dxfId="252" priority="40039"/>
    <cfRule type="duplicateValues" dxfId="251" priority="46011"/>
  </conditionalFormatting>
  <conditionalFormatting sqref="B21">
    <cfRule type="duplicateValues" dxfId="250" priority="40036"/>
    <cfRule type="duplicateValues" dxfId="249" priority="40819"/>
  </conditionalFormatting>
  <conditionalFormatting sqref="B22">
    <cfRule type="duplicateValues" dxfId="248" priority="40027"/>
  </conditionalFormatting>
  <conditionalFormatting sqref="B24 B9 B15">
    <cfRule type="duplicateValues" dxfId="247" priority="24776"/>
  </conditionalFormatting>
  <conditionalFormatting sqref="B24 B9">
    <cfRule type="duplicateValues" dxfId="246" priority="24774"/>
  </conditionalFormatting>
  <conditionalFormatting sqref="B24 B15 B7:B9 B28:B29">
    <cfRule type="duplicateValues" dxfId="245" priority="67237"/>
    <cfRule type="duplicateValues" dxfId="244" priority="67236"/>
    <cfRule type="duplicateValues" dxfId="243" priority="67235"/>
  </conditionalFormatting>
  <conditionalFormatting sqref="B25">
    <cfRule type="duplicateValues" dxfId="242" priority="18193"/>
  </conditionalFormatting>
  <conditionalFormatting sqref="B27">
    <cfRule type="duplicateValues" dxfId="241" priority="16"/>
    <cfRule type="duplicateValues" dxfId="240" priority="17"/>
    <cfRule type="duplicateValues" dxfId="239" priority="18"/>
    <cfRule type="duplicateValues" dxfId="238" priority="19"/>
    <cfRule type="duplicateValues" dxfId="237" priority="20"/>
    <cfRule type="duplicateValues" dxfId="236" priority="21"/>
    <cfRule type="duplicateValues" dxfId="235" priority="15"/>
  </conditionalFormatting>
  <conditionalFormatting sqref="B28:B29">
    <cfRule type="duplicateValues" dxfId="234" priority="24781"/>
  </conditionalFormatting>
  <conditionalFormatting sqref="B40 B24 B15 B7:B9 B28:B29">
    <cfRule type="duplicateValues" dxfId="233" priority="67250"/>
    <cfRule type="duplicateValues" dxfId="232" priority="67251"/>
  </conditionalFormatting>
  <conditionalFormatting sqref="B40">
    <cfRule type="duplicateValues" dxfId="231" priority="24788"/>
    <cfRule type="duplicateValues" dxfId="230" priority="24789"/>
    <cfRule type="duplicateValues" dxfId="229" priority="24787"/>
    <cfRule type="duplicateValues" dxfId="228" priority="24791"/>
    <cfRule type="duplicateValues" dxfId="227" priority="24790"/>
  </conditionalFormatting>
  <conditionalFormatting sqref="B41">
    <cfRule type="duplicateValues" dxfId="226" priority="23323"/>
    <cfRule type="duplicateValues" dxfId="225" priority="23325"/>
    <cfRule type="duplicateValues" dxfId="224" priority="23324"/>
    <cfRule type="duplicateValues" dxfId="223" priority="23322"/>
    <cfRule type="duplicateValues" dxfId="222" priority="23321"/>
    <cfRule type="duplicateValues" dxfId="221" priority="23320"/>
    <cfRule type="duplicateValues" dxfId="220" priority="23237"/>
    <cfRule type="duplicateValues" dxfId="219" priority="23272"/>
  </conditionalFormatting>
  <conditionalFormatting sqref="B42 B10">
    <cfRule type="duplicateValues" dxfId="218" priority="42886"/>
    <cfRule type="duplicateValues" dxfId="217" priority="42887"/>
    <cfRule type="duplicateValues" dxfId="216" priority="42888"/>
    <cfRule type="duplicateValues" dxfId="215" priority="42883"/>
    <cfRule type="duplicateValues" dxfId="214" priority="42884"/>
    <cfRule type="duplicateValues" dxfId="213" priority="42885"/>
  </conditionalFormatting>
  <conditionalFormatting sqref="B42">
    <cfRule type="duplicateValues" dxfId="212" priority="18232"/>
  </conditionalFormatting>
  <conditionalFormatting sqref="B43 B25">
    <cfRule type="duplicateValues" dxfId="211" priority="40923"/>
  </conditionalFormatting>
  <conditionalFormatting sqref="B43">
    <cfRule type="duplicateValues" dxfId="210" priority="18194"/>
  </conditionalFormatting>
  <conditionalFormatting sqref="B43:B44 B25 B46:B47 B13:B14">
    <cfRule type="duplicateValues" dxfId="209" priority="18197"/>
    <cfRule type="duplicateValues" dxfId="208" priority="18198"/>
    <cfRule type="duplicateValues" dxfId="207" priority="18196"/>
  </conditionalFormatting>
  <conditionalFormatting sqref="B44 B46">
    <cfRule type="duplicateValues" dxfId="206" priority="18192"/>
  </conditionalFormatting>
  <conditionalFormatting sqref="B44">
    <cfRule type="duplicateValues" dxfId="205" priority="18190"/>
  </conditionalFormatting>
  <conditionalFormatting sqref="B45">
    <cfRule type="duplicateValues" dxfId="204" priority="18199"/>
  </conditionalFormatting>
  <conditionalFormatting sqref="B46">
    <cfRule type="duplicateValues" dxfId="203" priority="18191"/>
  </conditionalFormatting>
  <conditionalFormatting sqref="B47 B13:B14">
    <cfRule type="duplicateValues" dxfId="202" priority="18189"/>
  </conditionalFormatting>
  <conditionalFormatting sqref="B47 B14">
    <cfRule type="duplicateValues" dxfId="201" priority="18187"/>
  </conditionalFormatting>
  <conditionalFormatting sqref="B48 B11:B12">
    <cfRule type="duplicateValues" dxfId="200" priority="43175"/>
    <cfRule type="duplicateValues" dxfId="199" priority="43174"/>
    <cfRule type="duplicateValues" dxfId="198" priority="43173"/>
    <cfRule type="duplicateValues" dxfId="197" priority="43172"/>
    <cfRule type="duplicateValues" dxfId="196" priority="43171"/>
    <cfRule type="duplicateValues" dxfId="195" priority="43170"/>
    <cfRule type="duplicateValues" dxfId="194" priority="43169"/>
    <cfRule type="duplicateValues" dxfId="193" priority="43168"/>
    <cfRule type="duplicateValues" dxfId="192" priority="43178"/>
    <cfRule type="duplicateValues" dxfId="191" priority="43179"/>
    <cfRule type="duplicateValues" dxfId="190" priority="43177"/>
    <cfRule type="duplicateValues" dxfId="189" priority="43176"/>
  </conditionalFormatting>
  <conditionalFormatting sqref="B51 B42:B47 B25 B13:B14 B10">
    <cfRule type="duplicateValues" dxfId="188" priority="77294"/>
    <cfRule type="duplicateValues" dxfId="187" priority="77293"/>
    <cfRule type="duplicateValues" dxfId="186" priority="43117"/>
    <cfRule type="duplicateValues" dxfId="185" priority="77292"/>
  </conditionalFormatting>
  <conditionalFormatting sqref="B51 B43:B47 B25 B13:B14">
    <cfRule type="duplicateValues" dxfId="184" priority="43050"/>
    <cfRule type="duplicateValues" dxfId="183" priority="43049"/>
  </conditionalFormatting>
  <conditionalFormatting sqref="B51 B45">
    <cfRule type="duplicateValues" dxfId="182" priority="40979"/>
    <cfRule type="duplicateValues" dxfId="181" priority="40975"/>
    <cfRule type="duplicateValues" dxfId="180" priority="40977"/>
    <cfRule type="duplicateValues" dxfId="179" priority="40978"/>
  </conditionalFormatting>
  <conditionalFormatting sqref="B51">
    <cfRule type="duplicateValues" dxfId="178" priority="18200"/>
  </conditionalFormatting>
  <conditionalFormatting sqref="B52">
    <cfRule type="duplicateValues" dxfId="177" priority="45399"/>
    <cfRule type="duplicateValues" dxfId="176" priority="45400"/>
    <cfRule type="duplicateValues" dxfId="175" priority="45401"/>
    <cfRule type="duplicateValues" dxfId="174" priority="45402"/>
    <cfRule type="duplicateValues" dxfId="173" priority="45403"/>
    <cfRule type="duplicateValues" dxfId="172" priority="1315"/>
    <cfRule type="duplicateValues" dxfId="171" priority="1316"/>
    <cfRule type="duplicateValues" dxfId="170" priority="1314"/>
    <cfRule type="duplicateValues" dxfId="169" priority="1313"/>
    <cfRule type="duplicateValues" dxfId="168" priority="1312"/>
    <cfRule type="duplicateValues" dxfId="167" priority="1311"/>
    <cfRule type="duplicateValues" dxfId="166" priority="1263"/>
    <cfRule type="duplicateValues" dxfId="165" priority="1228"/>
  </conditionalFormatting>
  <conditionalFormatting sqref="B57">
    <cfRule type="containsText" dxfId="164" priority="292" operator="containsText" text="ID">
      <formula>NOT(ISERROR(SEARCH("ID",B57)))</formula>
    </cfRule>
    <cfRule type="containsText" dxfId="163" priority="290" operator="containsText" text="ID">
      <formula>NOT(ISERROR(SEARCH("ID",B57)))</formula>
    </cfRule>
    <cfRule type="containsText" dxfId="162" priority="293" operator="containsText" text="S">
      <formula>NOT(ISERROR(SEARCH("S",B57)))</formula>
    </cfRule>
    <cfRule type="containsText" dxfId="161" priority="294" operator="containsText" text="S">
      <formula>NOT(ISERROR(SEARCH("S",B57)))</formula>
    </cfRule>
    <cfRule type="containsText" dxfId="160" priority="295" operator="containsText" text="PH">
      <formula>NOT(ISERROR(SEARCH("PH",B57)))</formula>
    </cfRule>
    <cfRule type="containsBlanks" dxfId="159" priority="297">
      <formula>LEN(TRIM(B57))=0</formula>
    </cfRule>
    <cfRule type="containsText" dxfId="158" priority="296" operator="containsText" text="A">
      <formula>NOT(ISERROR(SEARCH("A",B57)))</formula>
    </cfRule>
  </conditionalFormatting>
  <conditionalFormatting sqref="B57:B58">
    <cfRule type="containsText" dxfId="157" priority="229" operator="containsText" text="ML">
      <formula>NOT(ISERROR(SEARCH("ML",B57)))</formula>
    </cfRule>
    <cfRule type="containsText" dxfId="156" priority="233" operator="containsText" text="ID">
      <formula>NOT(ISERROR(SEARCH("ID",B57)))</formula>
    </cfRule>
  </conditionalFormatting>
  <conditionalFormatting sqref="B58">
    <cfRule type="containsText" dxfId="155" priority="235" operator="containsText" text="A">
      <formula>NOT(ISERROR(SEARCH("A",B58)))</formula>
    </cfRule>
    <cfRule type="containsBlanks" dxfId="154" priority="230">
      <formula>LEN(TRIM(B58))=0</formula>
    </cfRule>
    <cfRule type="containsText" dxfId="153" priority="228" operator="containsText" text="ABS">
      <formula>NOT(ISERROR(SEARCH("ABS",B58)))</formula>
    </cfRule>
    <cfRule type="containsText" dxfId="152" priority="231" operator="containsText" text="OT">
      <formula>NOT(ISERROR(SEARCH("OT",B58)))</formula>
    </cfRule>
    <cfRule type="containsText" dxfId="151" priority="232" operator="containsText" text="S">
      <formula>NOT(ISERROR(SEARCH("S",B58)))</formula>
    </cfRule>
    <cfRule type="containsText" dxfId="150" priority="234" operator="containsText" text="PH">
      <formula>NOT(ISERROR(SEARCH("PH",B58)))</formula>
    </cfRule>
  </conditionalFormatting>
  <conditionalFormatting sqref="B59:B61">
    <cfRule type="duplicateValues" dxfId="149" priority="323"/>
    <cfRule type="duplicateValues" dxfId="148" priority="334"/>
    <cfRule type="duplicateValues" dxfId="147" priority="325"/>
    <cfRule type="duplicateValues" dxfId="146" priority="330"/>
    <cfRule type="duplicateValues" dxfId="145" priority="326"/>
    <cfRule type="duplicateValues" dxfId="144" priority="324"/>
    <cfRule type="duplicateValues" dxfId="143" priority="327"/>
    <cfRule type="duplicateValues" dxfId="142" priority="328"/>
    <cfRule type="duplicateValues" dxfId="141" priority="322"/>
    <cfRule type="duplicateValues" dxfId="140" priority="321"/>
    <cfRule type="duplicateValues" dxfId="139" priority="320"/>
    <cfRule type="duplicateValues" dxfId="138" priority="329"/>
    <cfRule type="duplicateValues" dxfId="137" priority="331"/>
    <cfRule type="duplicateValues" dxfId="136" priority="332"/>
    <cfRule type="duplicateValues" dxfId="135" priority="333"/>
  </conditionalFormatting>
  <conditionalFormatting sqref="B59:B62">
    <cfRule type="duplicateValues" dxfId="134" priority="298"/>
  </conditionalFormatting>
  <conditionalFormatting sqref="B61">
    <cfRule type="duplicateValues" dxfId="133" priority="305"/>
    <cfRule type="duplicateValues" dxfId="132" priority="304"/>
    <cfRule type="duplicateValues" dxfId="131" priority="303"/>
    <cfRule type="duplicateValues" dxfId="130" priority="302"/>
    <cfRule type="duplicateValues" dxfId="129" priority="301"/>
    <cfRule type="duplicateValues" dxfId="128" priority="300"/>
    <cfRule type="duplicateValues" dxfId="127" priority="299"/>
  </conditionalFormatting>
  <conditionalFormatting sqref="B62">
    <cfRule type="duplicateValues" dxfId="126" priority="338"/>
    <cfRule type="duplicateValues" dxfId="125" priority="335"/>
    <cfRule type="duplicateValues" dxfId="124" priority="336"/>
    <cfRule type="duplicateValues" dxfId="123" priority="337"/>
    <cfRule type="duplicateValues" dxfId="122" priority="347"/>
    <cfRule type="duplicateValues" dxfId="121" priority="339"/>
    <cfRule type="duplicateValues" dxfId="120" priority="340"/>
    <cfRule type="duplicateValues" dxfId="119" priority="341"/>
    <cfRule type="duplicateValues" dxfId="118" priority="342"/>
    <cfRule type="duplicateValues" dxfId="117" priority="343"/>
    <cfRule type="duplicateValues" dxfId="116" priority="344"/>
    <cfRule type="duplicateValues" dxfId="115" priority="345"/>
    <cfRule type="duplicateValues" dxfId="114" priority="346"/>
    <cfRule type="duplicateValues" dxfId="113" priority="348"/>
    <cfRule type="duplicateValues" dxfId="112" priority="349"/>
    <cfRule type="duplicateValues" dxfId="111" priority="350"/>
  </conditionalFormatting>
  <conditionalFormatting sqref="B63:B1048576 B1:B56">
    <cfRule type="duplicateValues" dxfId="110" priority="77184"/>
  </conditionalFormatting>
  <conditionalFormatting sqref="B63:B1048576 B49:B50 B22:B23 B53:B56 B26 B1:B6 B16:B18 B30:B39">
    <cfRule type="duplicateValues" dxfId="109" priority="73374"/>
  </conditionalFormatting>
  <conditionalFormatting sqref="B63:B1048576 B49:B50 B23 B53:B56 B26 B1:B6 B16:B18 B30:B39">
    <cfRule type="duplicateValues" dxfId="108" priority="73384"/>
  </conditionalFormatting>
  <conditionalFormatting sqref="B63:B1048576 B49:B50 B53:B56 B1:B6 B26 B16:B23 B30:B39">
    <cfRule type="duplicateValues" dxfId="107" priority="76124"/>
    <cfRule type="duplicateValues" dxfId="106" priority="73396"/>
    <cfRule type="duplicateValues" dxfId="105" priority="73395"/>
    <cfRule type="duplicateValues" dxfId="104" priority="73394"/>
    <cfRule type="duplicateValues" dxfId="103" priority="76125"/>
  </conditionalFormatting>
  <conditionalFormatting sqref="B63:B1048576 B49:B50 B53:B56 B15:B24 B1:B9 B26:B40">
    <cfRule type="duplicateValues" dxfId="102" priority="73442"/>
  </conditionalFormatting>
  <conditionalFormatting sqref="B63:B1048576 B49:B50 B53:B56 B15:B24 B1:B9 B26:B41">
    <cfRule type="duplicateValues" dxfId="101" priority="73451"/>
    <cfRule type="duplicateValues" dxfId="100" priority="73452"/>
    <cfRule type="duplicateValues" dxfId="99" priority="73453"/>
  </conditionalFormatting>
  <conditionalFormatting sqref="B63:B1048576 B49:B51 B53:B56 B1:B10 B13:B47">
    <cfRule type="duplicateValues" dxfId="98" priority="77176"/>
  </conditionalFormatting>
  <conditionalFormatting sqref="B63:B1048576 B53:B56 B1:B51">
    <cfRule type="duplicateValues" dxfId="97" priority="77188"/>
  </conditionalFormatting>
  <conditionalFormatting sqref="B63:B1048576">
    <cfRule type="duplicateValues" dxfId="96" priority="65892"/>
  </conditionalFormatting>
  <conditionalFormatting sqref="F4:AI38">
    <cfRule type="containsText" dxfId="95" priority="82" operator="containsText" text="ID">
      <formula>NOT(ISERROR(SEARCH("ID",F4)))</formula>
    </cfRule>
    <cfRule type="containsText" dxfId="94" priority="71" operator="containsText" text="v">
      <formula>NOT(ISERROR(SEARCH("v",F4)))</formula>
    </cfRule>
    <cfRule type="containsText" dxfId="93" priority="72" operator="containsText" text="S">
      <formula>NOT(ISERROR(SEARCH("S",F4)))</formula>
    </cfRule>
    <cfRule type="containsText" dxfId="92" priority="73" operator="containsText" text="ID">
      <formula>NOT(ISERROR(SEARCH("ID",F4)))</formula>
    </cfRule>
    <cfRule type="containsText" dxfId="91" priority="74" operator="containsText" text="S">
      <formula>NOT(ISERROR(SEARCH("S",F4)))</formula>
    </cfRule>
    <cfRule type="containsText" dxfId="90" priority="75" operator="containsText" text="ID">
      <formula>NOT(ISERROR(SEARCH("ID",F4)))</formula>
    </cfRule>
    <cfRule type="containsText" dxfId="89" priority="76" operator="containsText" text="ID">
      <formula>NOT(ISERROR(SEARCH("ID",F4)))</formula>
    </cfRule>
    <cfRule type="containsText" dxfId="88" priority="77" operator="containsText" text="S">
      <formula>NOT(ISERROR(SEARCH("S",F4)))</formula>
    </cfRule>
    <cfRule type="containsText" dxfId="87" priority="78" operator="containsText" text="PH">
      <formula>NOT(ISERROR(SEARCH("PH",F4)))</formula>
    </cfRule>
    <cfRule type="containsText" dxfId="86" priority="79" operator="containsText" text="A">
      <formula>NOT(ISERROR(SEARCH("A",F4)))</formula>
    </cfRule>
    <cfRule type="containsText" dxfId="85" priority="22" operator="containsText" text="ABS">
      <formula>NOT(ISERROR(SEARCH("ABS",F4)))</formula>
    </cfRule>
    <cfRule type="containsText" dxfId="84" priority="81" operator="containsText" text="S">
      <formula>NOT(ISERROR(SEARCH("S",F4)))</formula>
    </cfRule>
    <cfRule type="containsBlanks" dxfId="83" priority="80">
      <formula>LEN(TRIM(F4))=0</formula>
    </cfRule>
    <cfRule type="containsText" dxfId="82" priority="149" operator="containsText" text="ID">
      <formula>NOT(ISERROR(SEARCH("ID",F4)))</formula>
    </cfRule>
    <cfRule type="containsText" dxfId="81" priority="148" operator="containsText" text="S">
      <formula>NOT(ISERROR(SEARCH("S",F4)))</formula>
    </cfRule>
    <cfRule type="containsText" dxfId="80" priority="147" operator="containsText" text="ID">
      <formula>NOT(ISERROR(SEARCH("ID",F4)))</formula>
    </cfRule>
    <cfRule type="containsBlanks" dxfId="79" priority="146">
      <formula>LEN(TRIM(F4))=0</formula>
    </cfRule>
    <cfRule type="containsText" dxfId="78" priority="145" operator="containsText" text="A">
      <formula>NOT(ISERROR(SEARCH("A",F4)))</formula>
    </cfRule>
    <cfRule type="containsText" dxfId="77" priority="144" operator="containsText" text="PH">
      <formula>NOT(ISERROR(SEARCH("PH",F4)))</formula>
    </cfRule>
    <cfRule type="containsBlanks" dxfId="76" priority="143">
      <formula>LEN(TRIM(F4))=0</formula>
    </cfRule>
    <cfRule type="containsText" dxfId="75" priority="142" operator="containsText" text="A">
      <formula>NOT(ISERROR(SEARCH("A",F4)))</formula>
    </cfRule>
    <cfRule type="containsText" dxfId="74" priority="141" operator="containsText" text="PH">
      <formula>NOT(ISERROR(SEARCH("PH",F4)))</formula>
    </cfRule>
    <cfRule type="containsText" dxfId="73" priority="140" operator="containsText" text="S">
      <formula>NOT(ISERROR(SEARCH("S",F4)))</formula>
    </cfRule>
    <cfRule type="containsText" dxfId="72" priority="139" operator="containsText" text="S">
      <formula>NOT(ISERROR(SEARCH("S",F4)))</formula>
    </cfRule>
    <cfRule type="containsText" dxfId="71" priority="138" operator="containsText" text="ID">
      <formula>NOT(ISERROR(SEARCH("ID",F4)))</formula>
    </cfRule>
    <cfRule type="containsText" dxfId="70" priority="137" operator="containsText" text="ID">
      <formula>NOT(ISERROR(SEARCH("ID",F4)))</formula>
    </cfRule>
    <cfRule type="containsText" dxfId="69" priority="136" operator="containsText" text="ML">
      <formula>NOT(ISERROR(SEARCH("ML",F4)))</formula>
    </cfRule>
    <cfRule type="containsText" dxfId="68" priority="135" operator="containsText" text="S">
      <formula>NOT(ISERROR(SEARCH("S",F4)))</formula>
    </cfRule>
    <cfRule type="containsText" dxfId="67" priority="134" operator="containsText" text="ID">
      <formula>NOT(ISERROR(SEARCH("ID",F4)))</formula>
    </cfRule>
    <cfRule type="containsText" dxfId="66" priority="133" operator="containsText" text="ML">
      <formula>NOT(ISERROR(SEARCH("ML",F4)))</formula>
    </cfRule>
    <cfRule type="containsBlanks" dxfId="65" priority="132">
      <formula>LEN(TRIM(F4))=0</formula>
    </cfRule>
    <cfRule type="containsText" dxfId="64" priority="131" operator="containsText" text="A">
      <formula>NOT(ISERROR(SEARCH("A",F4)))</formula>
    </cfRule>
    <cfRule type="containsText" dxfId="63" priority="130" operator="containsText" text="PH">
      <formula>NOT(ISERROR(SEARCH("PH",F4)))</formula>
    </cfRule>
    <cfRule type="containsText" dxfId="62" priority="129" operator="containsText" text="S">
      <formula>NOT(ISERROR(SEARCH("S",F4)))</formula>
    </cfRule>
    <cfRule type="containsText" dxfId="61" priority="128" operator="containsText" text="S">
      <formula>NOT(ISERROR(SEARCH("S",F4)))</formula>
    </cfRule>
    <cfRule type="containsText" dxfId="60" priority="127" operator="containsText" text="ID">
      <formula>NOT(ISERROR(SEARCH("ID",F4)))</formula>
    </cfRule>
    <cfRule type="containsText" dxfId="59" priority="126" operator="containsText" text="ID">
      <formula>NOT(ISERROR(SEARCH("ID",F4)))</formula>
    </cfRule>
    <cfRule type="containsText" dxfId="58" priority="125" operator="containsText" text="ID">
      <formula>NOT(ISERROR(SEARCH("ID",F4)))</formula>
    </cfRule>
    <cfRule type="containsText" dxfId="57" priority="124" operator="containsText" text="ML">
      <formula>NOT(ISERROR(SEARCH("ML",F4)))</formula>
    </cfRule>
    <cfRule type="containsBlanks" dxfId="56" priority="123">
      <formula>LEN(TRIM(F4))=0</formula>
    </cfRule>
    <cfRule type="containsText" dxfId="55" priority="122" operator="containsText" text="A">
      <formula>NOT(ISERROR(SEARCH("A",F4)))</formula>
    </cfRule>
    <cfRule type="containsText" dxfId="54" priority="121" operator="containsText" text="PH">
      <formula>NOT(ISERROR(SEARCH("PH",F4)))</formula>
    </cfRule>
    <cfRule type="containsText" dxfId="53" priority="120" operator="containsText" text="S">
      <formula>NOT(ISERROR(SEARCH("S",F4)))</formula>
    </cfRule>
    <cfRule type="containsText" dxfId="52" priority="119" operator="containsText" text="S">
      <formula>NOT(ISERROR(SEARCH("S",F4)))</formula>
    </cfRule>
    <cfRule type="containsText" dxfId="51" priority="118" operator="containsText" text="ID">
      <formula>NOT(ISERROR(SEARCH("ID",F4)))</formula>
    </cfRule>
    <cfRule type="containsBlanks" dxfId="50" priority="117">
      <formula>LEN(TRIM(F4))=0</formula>
    </cfRule>
    <cfRule type="containsText" dxfId="49" priority="116" operator="containsText" text="A">
      <formula>NOT(ISERROR(SEARCH("A",F4)))</formula>
    </cfRule>
    <cfRule type="containsText" dxfId="48" priority="115" operator="containsText" text="PH">
      <formula>NOT(ISERROR(SEARCH("PH",F4)))</formula>
    </cfRule>
    <cfRule type="containsBlanks" dxfId="47" priority="114">
      <formula>LEN(TRIM(F4))=0</formula>
    </cfRule>
    <cfRule type="containsText" dxfId="46" priority="113" operator="containsText" text="A">
      <formula>NOT(ISERROR(SEARCH("A",F4)))</formula>
    </cfRule>
    <cfRule type="containsText" dxfId="45" priority="112" operator="containsText" text="PH">
      <formula>NOT(ISERROR(SEARCH("PH",F4)))</formula>
    </cfRule>
    <cfRule type="containsText" dxfId="44" priority="111" operator="containsText" text="S">
      <formula>NOT(ISERROR(SEARCH("S",F4)))</formula>
    </cfRule>
    <cfRule type="containsText" dxfId="43" priority="110" operator="containsText" text="S">
      <formula>NOT(ISERROR(SEARCH("S",F4)))</formula>
    </cfRule>
    <cfRule type="containsText" dxfId="42" priority="109" operator="containsText" text="ID">
      <formula>NOT(ISERROR(SEARCH("ID",F4)))</formula>
    </cfRule>
    <cfRule type="containsBlanks" dxfId="41" priority="108">
      <formula>LEN(TRIM(F4))=0</formula>
    </cfRule>
    <cfRule type="containsText" dxfId="40" priority="107" operator="containsText" text="A">
      <formula>NOT(ISERROR(SEARCH("A",F4)))</formula>
    </cfRule>
    <cfRule type="containsText" dxfId="39" priority="106" operator="containsText" text="PH">
      <formula>NOT(ISERROR(SEARCH("PH",F4)))</formula>
    </cfRule>
    <cfRule type="containsText" dxfId="38" priority="105" operator="containsText" text="S">
      <formula>NOT(ISERROR(SEARCH("S",F4)))</formula>
    </cfRule>
    <cfRule type="containsText" dxfId="37" priority="104" operator="containsText" text="S">
      <formula>NOT(ISERROR(SEARCH("S",F4)))</formula>
    </cfRule>
    <cfRule type="containsText" dxfId="36" priority="103" operator="containsText" text="ID">
      <formula>NOT(ISERROR(SEARCH("ID",F4)))</formula>
    </cfRule>
    <cfRule type="containsText" dxfId="35" priority="102" operator="containsText" text="ML">
      <formula>NOT(ISERROR(SEARCH("ML",F4)))</formula>
    </cfRule>
    <cfRule type="containsBlanks" dxfId="34" priority="101">
      <formula>LEN(TRIM(F4))=0</formula>
    </cfRule>
    <cfRule type="containsText" dxfId="33" priority="100" operator="containsText" text="A">
      <formula>NOT(ISERROR(SEARCH("A",F4)))</formula>
    </cfRule>
    <cfRule type="containsText" dxfId="32" priority="86" operator="containsText" text="S">
      <formula>NOT(ISERROR(SEARCH("S",F4)))</formula>
    </cfRule>
    <cfRule type="containsText" dxfId="31" priority="99" operator="containsText" text="PH">
      <formula>NOT(ISERROR(SEARCH("PH",F4)))</formula>
    </cfRule>
    <cfRule type="containsText" dxfId="30" priority="98" operator="containsText" text="S">
      <formula>NOT(ISERROR(SEARCH("S",F4)))</formula>
    </cfRule>
    <cfRule type="containsText" dxfId="29" priority="97" operator="containsText" text="EL">
      <formula>NOT(ISERROR(SEARCH("EL",F4)))</formula>
    </cfRule>
    <cfRule type="containsText" dxfId="28" priority="95" operator="containsText" text="S">
      <formula>NOT(ISERROR(SEARCH("S",F4)))</formula>
    </cfRule>
    <cfRule type="containsText" dxfId="27" priority="94" operator="containsText" text="ML">
      <formula>NOT(ISERROR(SEARCH("ML",F4)))</formula>
    </cfRule>
    <cfRule type="containsText" dxfId="26" priority="93" operator="containsText" text="ID">
      <formula>NOT(ISERROR(SEARCH("ID",F4)))</formula>
    </cfRule>
    <cfRule type="containsBlanks" dxfId="25" priority="92">
      <formula>LEN(TRIM(F4))=0</formula>
    </cfRule>
    <cfRule type="containsText" dxfId="24" priority="91" operator="containsText" text="A">
      <formula>NOT(ISERROR(SEARCH("A",F4)))</formula>
    </cfRule>
    <cfRule type="containsText" dxfId="23" priority="90" operator="containsText" text="PH">
      <formula>NOT(ISERROR(SEARCH("PH",F4)))</formula>
    </cfRule>
    <cfRule type="containsBlanks" dxfId="22" priority="89">
      <formula>LEN(TRIM(F4))=0</formula>
    </cfRule>
    <cfRule type="containsText" dxfId="21" priority="88" operator="containsText" text="A">
      <formula>NOT(ISERROR(SEARCH("A",F4)))</formula>
    </cfRule>
    <cfRule type="containsText" dxfId="20" priority="87" operator="containsText" text="PH">
      <formula>NOT(ISERROR(SEARCH("PH",F4)))</formula>
    </cfRule>
    <cfRule type="containsText" dxfId="19" priority="85" operator="containsText" text="S">
      <formula>NOT(ISERROR(SEARCH("S",F4)))</formula>
    </cfRule>
    <cfRule type="containsText" dxfId="18" priority="84" operator="containsText" text="ID">
      <formula>NOT(ISERROR(SEARCH("ID",F4)))</formula>
    </cfRule>
    <cfRule type="containsText" dxfId="17" priority="83" operator="containsText" text="ID">
      <formula>NOT(ISERROR(SEARCH("ID",F4)))</formula>
    </cfRule>
  </conditionalFormatting>
  <conditionalFormatting sqref="F4:AI52">
    <cfRule type="containsText" dxfId="16" priority="416" operator="containsText" text="PH">
      <formula>NOT(ISERROR(SEARCH("PH",F4)))</formula>
    </cfRule>
    <cfRule type="containsText" dxfId="15" priority="415" operator="containsText" text="ID">
      <formula>NOT(ISERROR(SEARCH("ID",F4)))</formula>
    </cfRule>
    <cfRule type="containsText" dxfId="14" priority="414" operator="containsText" text="S">
      <formula>NOT(ISERROR(SEARCH("S",F4)))</formula>
    </cfRule>
    <cfRule type="containsText" dxfId="13" priority="413" operator="containsText" text="OT">
      <formula>NOT(ISERROR(SEARCH("OT",F4)))</formula>
    </cfRule>
    <cfRule type="containsBlanks" dxfId="12" priority="412">
      <formula>LEN(TRIM(F4))=0</formula>
    </cfRule>
    <cfRule type="containsText" dxfId="11" priority="388" operator="containsText" text="ML">
      <formula>NOT(ISERROR(SEARCH("ML",F4)))</formula>
    </cfRule>
    <cfRule type="containsText" dxfId="10" priority="236" operator="containsText" text="ABS">
      <formula>NOT(ISERROR(SEARCH("ABS",F4)))</formula>
    </cfRule>
    <cfRule type="containsText" dxfId="9" priority="96" operator="containsText" text="CL">
      <formula>NOT(ISERROR(SEARCH("CL",F4)))</formula>
    </cfRule>
    <cfRule type="containsText" dxfId="8" priority="417" operator="containsText" text="A">
      <formula>NOT(ISERROR(SEARCH("A",F4)))</formula>
    </cfRule>
  </conditionalFormatting>
  <conditionalFormatting sqref="I33">
    <cfRule type="containsText" dxfId="7" priority="63" operator="containsText" text="ABS">
      <formula>NOT(ISERROR(SEARCH("ABS",I33)))</formula>
    </cfRule>
    <cfRule type="containsText" dxfId="6" priority="70" operator="containsText" text="A">
      <formula>NOT(ISERROR(SEARCH("A",I33)))</formula>
    </cfRule>
    <cfRule type="containsText" dxfId="5" priority="69" operator="containsText" text="PH">
      <formula>NOT(ISERROR(SEARCH("PH",I33)))</formula>
    </cfRule>
    <cfRule type="containsText" dxfId="4" priority="68" operator="containsText" text="ID">
      <formula>NOT(ISERROR(SEARCH("ID",I33)))</formula>
    </cfRule>
    <cfRule type="containsText" dxfId="3" priority="67" operator="containsText" text="S">
      <formula>NOT(ISERROR(SEARCH("S",I33)))</formula>
    </cfRule>
    <cfRule type="containsText" dxfId="2" priority="66" operator="containsText" text="OT">
      <formula>NOT(ISERROR(SEARCH("OT",I33)))</formula>
    </cfRule>
    <cfRule type="containsBlanks" dxfId="1" priority="65">
      <formula>LEN(TRIM(I33))=0</formula>
    </cfRule>
    <cfRule type="containsText" dxfId="0" priority="64" operator="containsText" text="ML">
      <formula>NOT(ISERROR(SEARCH("ML",I33)))</formula>
    </cfRule>
  </conditionalFormatting>
  <pageMargins left="0.25" right="0.25" top="0.35" bottom="0.48" header="0.3" footer="0.3"/>
  <pageSetup paperSize="8" scale="54" fitToHeight="0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Mason</vt:lpstr>
      <vt:lpstr>MEP</vt:lpstr>
      <vt:lpstr>Cleaners</vt:lpstr>
      <vt:lpstr>Cleaners!Print_Area</vt:lpstr>
      <vt:lpstr>Mason!Print_Area</vt:lpstr>
      <vt:lpstr>MEP!Print_Area</vt:lpstr>
      <vt:lpstr>Cleaners!Print_Titles</vt:lpstr>
      <vt:lpstr>Mason!Print_Titles</vt:lpstr>
      <vt:lpstr>MEP!Print_Titles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2025-12-30T09:37:29Z</dcterms:modified>
</cp:coreProperties>
</file>